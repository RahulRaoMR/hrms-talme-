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lmetech-my.sharepoint.com/personal/badri_talme_in/Documents/"/>
    </mc:Choice>
  </mc:AlternateContent>
  <xr:revisionPtr revIDLastSave="18344" documentId="11_E60897F41BE170836B02CE998F75CCDC64E183C8" xr6:coauthVersionLast="47" xr6:coauthVersionMax="47" xr10:uidLastSave="{90B4E67F-7225-4373-B1E4-E28729B00E54}"/>
  <bookViews>
    <workbookView xWindow="-108" yWindow="-108" windowWidth="23256" windowHeight="12456" firstSheet="4" activeTab="1" xr2:uid="{00000000-000D-0000-FFFF-FFFF00000000}"/>
  </bookViews>
  <sheets>
    <sheet name="Requirement Overview" sheetId="1" r:id="rId1"/>
    <sheet name="Candidate Master" sheetId="2" r:id="rId2"/>
    <sheet name="Recruiter" sheetId="4" r:id="rId3"/>
    <sheet name="H. Role" sheetId="5" r:id="rId4"/>
    <sheet name="Performance Review" sheetId="6" r:id="rId5"/>
    <sheet name="Sheet5" sheetId="11" r:id="rId6"/>
    <sheet name="Dropdowns" sheetId="3" r:id="rId7"/>
    <sheet name="Sheet1" sheetId="7" r:id="rId8"/>
    <sheet name="Sheet2" sheetId="8" r:id="rId9"/>
    <sheet name="Sheet3" sheetId="9" r:id="rId10"/>
    <sheet name="Sheet4" sheetId="10" r:id="rId11"/>
  </sheets>
  <definedNames>
    <definedName name="_xlnm._FilterDatabase" localSheetId="2" hidden="1">Recruiter!$A$1:$G$1</definedName>
    <definedName name="_xlnm._FilterDatabase" localSheetId="0" hidden="1">'Requirement Overview'!$A$1:$W$40</definedName>
    <definedName name="_xlnm._FilterDatabase" localSheetId="5" hidden="1">Sheet5!$B$1:$D$22</definedName>
    <definedName name="_xlnm._FilterDatabase" localSheetId="1" hidden="1">'Candidate Master'!$A$1:$AD$1193</definedName>
  </definedNames>
  <calcPr calcId="191028"/>
  <pivotCaches>
    <pivotCache cacheId="279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8" i="6" l="1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157" i="2"/>
  <c r="E1157" i="2"/>
  <c r="F1157" i="2"/>
  <c r="G1157" i="2"/>
  <c r="D1158" i="2"/>
  <c r="E1158" i="2"/>
  <c r="F1158" i="2"/>
  <c r="G1158" i="2"/>
  <c r="D1159" i="2"/>
  <c r="E1159" i="2"/>
  <c r="F1159" i="2"/>
  <c r="G1159" i="2"/>
  <c r="D1160" i="2"/>
  <c r="E1160" i="2"/>
  <c r="F1160" i="2"/>
  <c r="G1160" i="2"/>
  <c r="D1161" i="2"/>
  <c r="E1161" i="2"/>
  <c r="F1161" i="2"/>
  <c r="G1161" i="2"/>
  <c r="D1162" i="2"/>
  <c r="E1162" i="2"/>
  <c r="F1162" i="2"/>
  <c r="G1162" i="2"/>
  <c r="D1163" i="2"/>
  <c r="E1163" i="2"/>
  <c r="F1163" i="2"/>
  <c r="G1163" i="2"/>
  <c r="D1164" i="2"/>
  <c r="E1164" i="2"/>
  <c r="F1164" i="2"/>
  <c r="G1164" i="2"/>
  <c r="D1165" i="2"/>
  <c r="E1165" i="2"/>
  <c r="F1165" i="2"/>
  <c r="G1165" i="2"/>
  <c r="D1166" i="2"/>
  <c r="E1166" i="2"/>
  <c r="F1166" i="2"/>
  <c r="G1166" i="2"/>
  <c r="D1167" i="2"/>
  <c r="E1167" i="2"/>
  <c r="F1167" i="2"/>
  <c r="G1167" i="2"/>
  <c r="D1168" i="2"/>
  <c r="E1168" i="2"/>
  <c r="F1168" i="2"/>
  <c r="G1168" i="2"/>
  <c r="D1169" i="2"/>
  <c r="E1169" i="2"/>
  <c r="F1169" i="2"/>
  <c r="G1169" i="2"/>
  <c r="D1170" i="2"/>
  <c r="E1170" i="2"/>
  <c r="F1170" i="2"/>
  <c r="G1170" i="2"/>
  <c r="D1171" i="2"/>
  <c r="E1171" i="2"/>
  <c r="F1171" i="2"/>
  <c r="G1171" i="2"/>
  <c r="D1172" i="2"/>
  <c r="E1172" i="2"/>
  <c r="F1172" i="2"/>
  <c r="G1172" i="2"/>
  <c r="D1173" i="2"/>
  <c r="E1173" i="2"/>
  <c r="F1173" i="2"/>
  <c r="G1173" i="2"/>
  <c r="D1174" i="2"/>
  <c r="E1174" i="2"/>
  <c r="F1174" i="2"/>
  <c r="G1174" i="2"/>
  <c r="D1175" i="2"/>
  <c r="E1175" i="2"/>
  <c r="F1175" i="2"/>
  <c r="G1175" i="2"/>
  <c r="D1176" i="2"/>
  <c r="E1176" i="2"/>
  <c r="F1176" i="2"/>
  <c r="G1176" i="2"/>
  <c r="D1177" i="2"/>
  <c r="E1177" i="2"/>
  <c r="F1177" i="2"/>
  <c r="G1177" i="2"/>
  <c r="D1178" i="2"/>
  <c r="E1178" i="2"/>
  <c r="F1178" i="2"/>
  <c r="G1178" i="2"/>
  <c r="D1179" i="2"/>
  <c r="E1179" i="2"/>
  <c r="F1179" i="2"/>
  <c r="G1179" i="2"/>
  <c r="D1180" i="2"/>
  <c r="E1180" i="2"/>
  <c r="F1180" i="2"/>
  <c r="G1180" i="2"/>
  <c r="D1181" i="2"/>
  <c r="E1181" i="2"/>
  <c r="F1181" i="2"/>
  <c r="G1181" i="2"/>
  <c r="D1182" i="2"/>
  <c r="E1182" i="2"/>
  <c r="F1182" i="2"/>
  <c r="G1182" i="2"/>
  <c r="D1183" i="2"/>
  <c r="E1183" i="2"/>
  <c r="F1183" i="2"/>
  <c r="G1183" i="2"/>
  <c r="D1184" i="2"/>
  <c r="E1184" i="2"/>
  <c r="F1184" i="2"/>
  <c r="G1184" i="2"/>
  <c r="D1185" i="2"/>
  <c r="E1185" i="2"/>
  <c r="F1185" i="2"/>
  <c r="G1185" i="2"/>
  <c r="D1186" i="2"/>
  <c r="E1186" i="2"/>
  <c r="F1186" i="2"/>
  <c r="G1186" i="2"/>
  <c r="D1187" i="2"/>
  <c r="E1187" i="2"/>
  <c r="F1187" i="2"/>
  <c r="G1187" i="2"/>
  <c r="D1188" i="2"/>
  <c r="E1188" i="2"/>
  <c r="F1188" i="2"/>
  <c r="G1188" i="2"/>
  <c r="D1189" i="2"/>
  <c r="E1189" i="2"/>
  <c r="F1189" i="2"/>
  <c r="G1189" i="2"/>
  <c r="D1190" i="2"/>
  <c r="E1190" i="2"/>
  <c r="F1190" i="2"/>
  <c r="G1190" i="2"/>
  <c r="D1191" i="2"/>
  <c r="E1191" i="2"/>
  <c r="F1191" i="2"/>
  <c r="G1191" i="2"/>
  <c r="D1192" i="2"/>
  <c r="E1192" i="2"/>
  <c r="F1192" i="2"/>
  <c r="G1192" i="2"/>
  <c r="D1193" i="2"/>
  <c r="E1193" i="2"/>
  <c r="F1193" i="2"/>
  <c r="G1193" i="2"/>
  <c r="D1194" i="2"/>
  <c r="E1194" i="2"/>
  <c r="F1194" i="2"/>
  <c r="G1194" i="2"/>
  <c r="C1185" i="2"/>
  <c r="C1186" i="2"/>
  <c r="C1187" i="2"/>
  <c r="C1188" i="2"/>
  <c r="C1189" i="2"/>
  <c r="C1190" i="2"/>
  <c r="C1191" i="2"/>
  <c r="C1192" i="2"/>
  <c r="C1193" i="2"/>
  <c r="C1194" i="2"/>
  <c r="A73" i="1"/>
  <c r="A71" i="1"/>
  <c r="A72" i="1"/>
  <c r="A69" i="1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A67" i="1"/>
  <c r="A68" i="1"/>
  <c r="A70" i="1"/>
  <c r="C1167" i="2"/>
  <c r="C1168" i="2"/>
  <c r="C1169" i="2"/>
  <c r="C1170" i="2"/>
  <c r="C1166" i="2"/>
  <c r="C1165" i="2"/>
  <c r="C1164" i="2"/>
  <c r="H169" i="6"/>
  <c r="G169" i="6"/>
  <c r="F169" i="6"/>
  <c r="E169" i="6"/>
  <c r="D169" i="6"/>
  <c r="C169" i="6"/>
  <c r="G1149" i="2"/>
  <c r="G1150" i="2"/>
  <c r="G1151" i="2"/>
  <c r="G1152" i="2"/>
  <c r="G1153" i="2"/>
  <c r="G1154" i="2"/>
  <c r="G1155" i="2"/>
  <c r="G1156" i="2"/>
  <c r="F1149" i="2"/>
  <c r="F1150" i="2"/>
  <c r="F1151" i="2"/>
  <c r="F1152" i="2"/>
  <c r="F1153" i="2"/>
  <c r="F1154" i="2"/>
  <c r="F1155" i="2"/>
  <c r="F1156" i="2"/>
  <c r="E1149" i="2"/>
  <c r="E1150" i="2"/>
  <c r="E1151" i="2"/>
  <c r="E1152" i="2"/>
  <c r="E1153" i="2"/>
  <c r="E1154" i="2"/>
  <c r="E1155" i="2"/>
  <c r="E1156" i="2"/>
  <c r="D1149" i="2"/>
  <c r="D1150" i="2"/>
  <c r="D1151" i="2"/>
  <c r="D1152" i="2"/>
  <c r="D1153" i="2"/>
  <c r="D1154" i="2"/>
  <c r="D1155" i="2"/>
  <c r="D1156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G1148" i="2"/>
  <c r="G1147" i="2"/>
  <c r="G1146" i="2"/>
  <c r="G1145" i="2"/>
  <c r="G1144" i="2"/>
  <c r="C1145" i="2"/>
  <c r="C1146" i="2"/>
  <c r="C1147" i="2"/>
  <c r="C1148" i="2"/>
  <c r="C1144" i="2"/>
  <c r="E1148" i="2"/>
  <c r="E1147" i="2"/>
  <c r="E1146" i="2"/>
  <c r="E1145" i="2"/>
  <c r="E1144" i="2"/>
  <c r="D1148" i="2"/>
  <c r="D1147" i="2"/>
  <c r="D1146" i="2"/>
  <c r="D1145" i="2"/>
  <c r="D1144" i="2"/>
  <c r="F1147" i="2"/>
  <c r="F1148" i="2"/>
  <c r="F1146" i="2"/>
  <c r="F1145" i="2"/>
  <c r="F1144" i="2"/>
  <c r="A66" i="1"/>
  <c r="C1131" i="2"/>
  <c r="D1131" i="2"/>
  <c r="E1131" i="2"/>
  <c r="F1131" i="2"/>
  <c r="C1132" i="2"/>
  <c r="D1132" i="2"/>
  <c r="E1132" i="2"/>
  <c r="F1132" i="2"/>
  <c r="C1133" i="2"/>
  <c r="D1133" i="2"/>
  <c r="E1133" i="2"/>
  <c r="F1133" i="2"/>
  <c r="C1134" i="2"/>
  <c r="D1134" i="2"/>
  <c r="E1134" i="2"/>
  <c r="F1134" i="2"/>
  <c r="C1135" i="2"/>
  <c r="D1135" i="2"/>
  <c r="E1135" i="2"/>
  <c r="F1135" i="2"/>
  <c r="C1136" i="2"/>
  <c r="D1136" i="2"/>
  <c r="E1136" i="2"/>
  <c r="F1136" i="2"/>
  <c r="A65" i="1"/>
  <c r="A64" i="1"/>
  <c r="C1107" i="2"/>
  <c r="D1107" i="2"/>
  <c r="E1107" i="2"/>
  <c r="F1107" i="2"/>
  <c r="G1107" i="2"/>
  <c r="C1108" i="2"/>
  <c r="D1108" i="2"/>
  <c r="E1108" i="2"/>
  <c r="F1108" i="2"/>
  <c r="G1108" i="2"/>
  <c r="C1109" i="2"/>
  <c r="D1109" i="2"/>
  <c r="E1109" i="2"/>
  <c r="F1109" i="2"/>
  <c r="G1109" i="2"/>
  <c r="C1110" i="2"/>
  <c r="D1110" i="2"/>
  <c r="E1110" i="2"/>
  <c r="F1110" i="2"/>
  <c r="G1110" i="2"/>
  <c r="C1111" i="2"/>
  <c r="D1111" i="2"/>
  <c r="E1111" i="2"/>
  <c r="F1111" i="2"/>
  <c r="G1111" i="2"/>
  <c r="C1112" i="2"/>
  <c r="D1112" i="2"/>
  <c r="E1112" i="2"/>
  <c r="F1112" i="2"/>
  <c r="G1112" i="2"/>
  <c r="C1113" i="2"/>
  <c r="D1113" i="2"/>
  <c r="E1113" i="2"/>
  <c r="F1113" i="2"/>
  <c r="G1113" i="2"/>
  <c r="C1114" i="2"/>
  <c r="D1114" i="2"/>
  <c r="E1114" i="2"/>
  <c r="F1114" i="2"/>
  <c r="G1114" i="2"/>
  <c r="C1115" i="2"/>
  <c r="D1115" i="2"/>
  <c r="E1115" i="2"/>
  <c r="F1115" i="2"/>
  <c r="G1115" i="2"/>
  <c r="C1116" i="2"/>
  <c r="D1116" i="2"/>
  <c r="E1116" i="2"/>
  <c r="F1116" i="2"/>
  <c r="G1116" i="2"/>
  <c r="C1117" i="2"/>
  <c r="D1117" i="2"/>
  <c r="E1117" i="2"/>
  <c r="F1117" i="2"/>
  <c r="G1117" i="2"/>
  <c r="C1118" i="2"/>
  <c r="D1118" i="2"/>
  <c r="E1118" i="2"/>
  <c r="F1118" i="2"/>
  <c r="G1118" i="2"/>
  <c r="C1119" i="2"/>
  <c r="D1119" i="2"/>
  <c r="E1119" i="2"/>
  <c r="F1119" i="2"/>
  <c r="G1119" i="2"/>
  <c r="C1120" i="2"/>
  <c r="D1120" i="2"/>
  <c r="E1120" i="2"/>
  <c r="F1120" i="2"/>
  <c r="G1120" i="2"/>
  <c r="C1121" i="2"/>
  <c r="D1121" i="2"/>
  <c r="E1121" i="2"/>
  <c r="F1121" i="2"/>
  <c r="G1121" i="2"/>
  <c r="C1122" i="2"/>
  <c r="D1122" i="2"/>
  <c r="E1122" i="2"/>
  <c r="F1122" i="2"/>
  <c r="G1122" i="2"/>
  <c r="C1123" i="2"/>
  <c r="D1123" i="2"/>
  <c r="E1123" i="2"/>
  <c r="F1123" i="2"/>
  <c r="G1123" i="2"/>
  <c r="C1124" i="2"/>
  <c r="D1124" i="2"/>
  <c r="E1124" i="2"/>
  <c r="F1124" i="2"/>
  <c r="G1124" i="2"/>
  <c r="C1125" i="2"/>
  <c r="D1125" i="2"/>
  <c r="E1125" i="2"/>
  <c r="F1125" i="2"/>
  <c r="G1125" i="2"/>
  <c r="C1126" i="2"/>
  <c r="D1126" i="2"/>
  <c r="E1126" i="2"/>
  <c r="F1126" i="2"/>
  <c r="G1126" i="2"/>
  <c r="C1127" i="2"/>
  <c r="C1128" i="2"/>
  <c r="C1129" i="2"/>
  <c r="C1130" i="2"/>
  <c r="D1130" i="2"/>
  <c r="E1130" i="2"/>
  <c r="F1130" i="2"/>
  <c r="G1130" i="2"/>
  <c r="G1131" i="2"/>
  <c r="G1132" i="2"/>
  <c r="G1133" i="2"/>
  <c r="G1134" i="2"/>
  <c r="G1135" i="2"/>
  <c r="G1136" i="2"/>
  <c r="C1137" i="2"/>
  <c r="D1137" i="2"/>
  <c r="E1137" i="2"/>
  <c r="F1137" i="2"/>
  <c r="G1137" i="2"/>
  <c r="C1138" i="2"/>
  <c r="D1138" i="2"/>
  <c r="E1138" i="2"/>
  <c r="F1138" i="2"/>
  <c r="G1138" i="2"/>
  <c r="C1139" i="2"/>
  <c r="D1139" i="2"/>
  <c r="E1139" i="2"/>
  <c r="F1139" i="2"/>
  <c r="G1139" i="2"/>
  <c r="C1140" i="2"/>
  <c r="D1140" i="2"/>
  <c r="E1140" i="2"/>
  <c r="F1140" i="2"/>
  <c r="G1140" i="2"/>
  <c r="C1141" i="2"/>
  <c r="D1141" i="2"/>
  <c r="E1141" i="2"/>
  <c r="F1141" i="2"/>
  <c r="G1141" i="2"/>
  <c r="C1142" i="2"/>
  <c r="D1142" i="2"/>
  <c r="E1142" i="2"/>
  <c r="F1142" i="2"/>
  <c r="G1142" i="2"/>
  <c r="C1143" i="2"/>
  <c r="D1143" i="2"/>
  <c r="E1143" i="2"/>
  <c r="F1143" i="2"/>
  <c r="G1143" i="2"/>
  <c r="A63" i="1"/>
  <c r="C1106" i="2"/>
  <c r="C1105" i="2"/>
  <c r="G1084" i="2"/>
  <c r="F1084" i="2"/>
  <c r="F1085" i="2"/>
  <c r="F1086" i="2"/>
  <c r="F1087" i="2"/>
  <c r="F1088" i="2"/>
  <c r="E1084" i="2"/>
  <c r="E1085" i="2"/>
  <c r="E1086" i="2"/>
  <c r="E1087" i="2"/>
  <c r="E1088" i="2"/>
  <c r="E1089" i="2"/>
  <c r="D1084" i="2"/>
  <c r="D1085" i="2"/>
  <c r="D1086" i="2"/>
  <c r="D1087" i="2"/>
  <c r="D1088" i="2"/>
  <c r="D1089" i="2"/>
  <c r="D1090" i="2"/>
  <c r="C1084" i="2"/>
  <c r="C1085" i="2"/>
  <c r="C1086" i="2"/>
  <c r="C1087" i="2"/>
  <c r="C1088" i="2"/>
  <c r="C1089" i="2"/>
  <c r="H159" i="6"/>
  <c r="G159" i="6"/>
  <c r="F159" i="6"/>
  <c r="E159" i="6"/>
  <c r="D159" i="6"/>
  <c r="C159" i="6"/>
  <c r="G1081" i="2"/>
  <c r="G1082" i="2"/>
  <c r="E1080" i="2"/>
  <c r="E1081" i="2"/>
  <c r="E1082" i="2"/>
  <c r="D1080" i="2"/>
  <c r="D1081" i="2"/>
  <c r="D1082" i="2"/>
  <c r="G1080" i="2"/>
  <c r="G1085" i="2"/>
  <c r="G1086" i="2"/>
  <c r="G1087" i="2"/>
  <c r="G1088" i="2"/>
  <c r="G1089" i="2"/>
  <c r="G1090" i="2"/>
  <c r="G1091" i="2"/>
  <c r="G1094" i="2"/>
  <c r="G1095" i="2"/>
  <c r="G1106" i="2"/>
  <c r="F1080" i="2"/>
  <c r="F1081" i="2"/>
  <c r="F1082" i="2"/>
  <c r="F1089" i="2"/>
  <c r="F1090" i="2"/>
  <c r="F1091" i="2"/>
  <c r="F1094" i="2"/>
  <c r="F1095" i="2"/>
  <c r="F1106" i="2"/>
  <c r="G1105" i="2"/>
  <c r="F1105" i="2"/>
  <c r="E1105" i="2"/>
  <c r="D1105" i="2"/>
  <c r="C1104" i="2"/>
  <c r="C1103" i="2"/>
  <c r="A61" i="1"/>
  <c r="A62" i="1"/>
  <c r="A60" i="1"/>
  <c r="C1102" i="2"/>
  <c r="C1101" i="2"/>
  <c r="C1100" i="2"/>
  <c r="C1099" i="2"/>
  <c r="C1098" i="2"/>
  <c r="C1097" i="2"/>
  <c r="E1095" i="2"/>
  <c r="D1095" i="2"/>
  <c r="C1095" i="2"/>
  <c r="C1093" i="2"/>
  <c r="E1091" i="2"/>
  <c r="D1091" i="2"/>
  <c r="C1091" i="2"/>
  <c r="E1090" i="2"/>
  <c r="C1090" i="2"/>
  <c r="C1080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8" i="2"/>
  <c r="G1079" i="2"/>
  <c r="G1047" i="2"/>
  <c r="G1048" i="2"/>
  <c r="G1049" i="2"/>
  <c r="G1050" i="2"/>
  <c r="G1051" i="2"/>
  <c r="G1052" i="2"/>
  <c r="G1053" i="2"/>
  <c r="G1025" i="2"/>
  <c r="G1026" i="2"/>
  <c r="G1027" i="2"/>
  <c r="G1028" i="2"/>
  <c r="G1014" i="2"/>
  <c r="G1015" i="2"/>
  <c r="G1016" i="2"/>
  <c r="G1017" i="2"/>
  <c r="G1018" i="2"/>
  <c r="G1019" i="2"/>
  <c r="G1020" i="2"/>
  <c r="G1021" i="2"/>
  <c r="G1022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47" i="2"/>
  <c r="F1048" i="2"/>
  <c r="F1049" i="2"/>
  <c r="F1050" i="2"/>
  <c r="F1051" i="2"/>
  <c r="F1052" i="2"/>
  <c r="F1053" i="2"/>
  <c r="F1025" i="2"/>
  <c r="F1026" i="2"/>
  <c r="F1027" i="2"/>
  <c r="F1028" i="2"/>
  <c r="F1014" i="2"/>
  <c r="F1015" i="2"/>
  <c r="F1016" i="2"/>
  <c r="F1017" i="2"/>
  <c r="F1018" i="2"/>
  <c r="F1019" i="2"/>
  <c r="F1020" i="2"/>
  <c r="F1021" i="2"/>
  <c r="F1022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8" i="2"/>
  <c r="E1079" i="2"/>
  <c r="E1094" i="2"/>
  <c r="E1106" i="2"/>
  <c r="E1047" i="2"/>
  <c r="E1048" i="2"/>
  <c r="E1049" i="2"/>
  <c r="E1050" i="2"/>
  <c r="E1051" i="2"/>
  <c r="E1052" i="2"/>
  <c r="E1053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8" i="2"/>
  <c r="D1079" i="2"/>
  <c r="D1094" i="2"/>
  <c r="D1106" i="2"/>
  <c r="D1025" i="2"/>
  <c r="D1026" i="2"/>
  <c r="D1027" i="2"/>
  <c r="D1028" i="2"/>
  <c r="C1078" i="2"/>
  <c r="C1079" i="2"/>
  <c r="C1081" i="2"/>
  <c r="C1082" i="2"/>
  <c r="C1092" i="2"/>
  <c r="C1094" i="2"/>
  <c r="C1096" i="2"/>
  <c r="C1044" i="2"/>
  <c r="C1045" i="2"/>
  <c r="C1046" i="2"/>
  <c r="C1047" i="2"/>
  <c r="C1048" i="2"/>
  <c r="C1049" i="2"/>
  <c r="C1050" i="2"/>
  <c r="C1051" i="2"/>
  <c r="C1052" i="2"/>
  <c r="C1053" i="2"/>
  <c r="C1025" i="2"/>
  <c r="C1026" i="2"/>
  <c r="C1027" i="2"/>
  <c r="C1028" i="2"/>
  <c r="C1029" i="2"/>
  <c r="C1030" i="2"/>
  <c r="C1031" i="2"/>
  <c r="C1032" i="2"/>
  <c r="C964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1077" i="2"/>
  <c r="C1076" i="2"/>
  <c r="C1075" i="2"/>
  <c r="C1074" i="2"/>
  <c r="C1073" i="2"/>
  <c r="C1072" i="2"/>
  <c r="C1071" i="2"/>
  <c r="C1070" i="2"/>
  <c r="C1069" i="2"/>
  <c r="A59" i="1"/>
  <c r="A58" i="1"/>
  <c r="C879" i="2"/>
  <c r="C1068" i="2"/>
  <c r="C1067" i="2"/>
  <c r="C1066" i="2"/>
  <c r="C1065" i="2"/>
  <c r="C1064" i="2"/>
  <c r="C1063" i="2"/>
  <c r="C1062" i="2"/>
  <c r="E1061" i="2"/>
  <c r="D1061" i="2"/>
  <c r="C1061" i="2"/>
  <c r="E1060" i="2"/>
  <c r="D1060" i="2"/>
  <c r="C1060" i="2"/>
  <c r="E1059" i="2"/>
  <c r="D1059" i="2"/>
  <c r="C1059" i="2"/>
  <c r="G1058" i="2"/>
  <c r="F1058" i="2"/>
  <c r="E1058" i="2"/>
  <c r="D1058" i="2"/>
  <c r="C1058" i="2"/>
  <c r="G1057" i="2"/>
  <c r="F1057" i="2"/>
  <c r="E1057" i="2"/>
  <c r="D1057" i="2"/>
  <c r="C1057" i="2"/>
  <c r="G1056" i="2"/>
  <c r="F1056" i="2"/>
  <c r="E1056" i="2"/>
  <c r="D1056" i="2"/>
  <c r="C1056" i="2"/>
  <c r="G1055" i="2"/>
  <c r="F1055" i="2"/>
  <c r="E1055" i="2"/>
  <c r="D1055" i="2"/>
  <c r="C1055" i="2"/>
  <c r="G1054" i="2"/>
  <c r="F1054" i="2"/>
  <c r="E1054" i="2"/>
  <c r="D1054" i="2"/>
  <c r="C1054" i="2"/>
  <c r="D1047" i="2"/>
  <c r="D1048" i="2"/>
  <c r="D1049" i="2"/>
  <c r="D1050" i="2"/>
  <c r="D1051" i="2"/>
  <c r="D1052" i="2"/>
  <c r="D1053" i="2"/>
  <c r="C896" i="2"/>
  <c r="G1046" i="2"/>
  <c r="F1046" i="2"/>
  <c r="E1046" i="2"/>
  <c r="D1046" i="2"/>
  <c r="G1045" i="2"/>
  <c r="F1045" i="2"/>
  <c r="E1045" i="2"/>
  <c r="D1045" i="2"/>
  <c r="G1044" i="2"/>
  <c r="F1044" i="2"/>
  <c r="E1044" i="2"/>
  <c r="D1044" i="2"/>
  <c r="C149" i="6"/>
  <c r="G149" i="6"/>
  <c r="F149" i="6"/>
  <c r="E149" i="6"/>
  <c r="D149" i="6"/>
  <c r="G1043" i="2"/>
  <c r="F1043" i="2"/>
  <c r="E1043" i="2"/>
  <c r="D1043" i="2"/>
  <c r="C1043" i="2"/>
  <c r="G1042" i="2"/>
  <c r="F1042" i="2"/>
  <c r="E1042" i="2"/>
  <c r="D1042" i="2"/>
  <c r="C1042" i="2"/>
  <c r="G1041" i="2"/>
  <c r="F1041" i="2"/>
  <c r="E1041" i="2"/>
  <c r="D1041" i="2"/>
  <c r="C1041" i="2"/>
  <c r="G1040" i="2"/>
  <c r="F1040" i="2"/>
  <c r="E1040" i="2"/>
  <c r="D1040" i="2"/>
  <c r="C1040" i="2"/>
  <c r="G1039" i="2"/>
  <c r="F1039" i="2"/>
  <c r="E1039" i="2"/>
  <c r="D1039" i="2"/>
  <c r="C1039" i="2"/>
  <c r="G1038" i="2"/>
  <c r="F1038" i="2"/>
  <c r="E1038" i="2"/>
  <c r="D1038" i="2"/>
  <c r="C1038" i="2"/>
  <c r="G1037" i="2"/>
  <c r="F1037" i="2"/>
  <c r="E1037" i="2"/>
  <c r="D1037" i="2"/>
  <c r="C1037" i="2"/>
  <c r="G1036" i="2"/>
  <c r="F1036" i="2"/>
  <c r="E1036" i="2"/>
  <c r="D1036" i="2"/>
  <c r="C1036" i="2"/>
  <c r="G1035" i="2"/>
  <c r="F1035" i="2"/>
  <c r="E1035" i="2"/>
  <c r="D1035" i="2"/>
  <c r="C1035" i="2"/>
  <c r="G1034" i="2"/>
  <c r="F1034" i="2"/>
  <c r="E1034" i="2"/>
  <c r="D1034" i="2"/>
  <c r="C1034" i="2"/>
  <c r="G1033" i="2"/>
  <c r="F1033" i="2"/>
  <c r="E1033" i="2"/>
  <c r="D1033" i="2"/>
  <c r="C1033" i="2"/>
  <c r="G1032" i="2"/>
  <c r="F1032" i="2"/>
  <c r="E1032" i="2"/>
  <c r="D1032" i="2"/>
  <c r="G1031" i="2"/>
  <c r="F1031" i="2"/>
  <c r="E1031" i="2"/>
  <c r="D1031" i="2"/>
  <c r="G1030" i="2"/>
  <c r="F1030" i="2"/>
  <c r="E1030" i="2"/>
  <c r="D1030" i="2"/>
  <c r="G1029" i="2"/>
  <c r="F1029" i="2"/>
  <c r="E1029" i="2"/>
  <c r="D1029" i="2"/>
  <c r="G1024" i="2"/>
  <c r="F1024" i="2"/>
  <c r="E1024" i="2"/>
  <c r="D1024" i="2"/>
  <c r="C1024" i="2"/>
  <c r="G1023" i="2"/>
  <c r="F1023" i="2"/>
  <c r="E1023" i="2"/>
  <c r="D1023" i="2"/>
  <c r="C1023" i="2"/>
  <c r="E1022" i="2"/>
  <c r="D1022" i="2"/>
  <c r="C1022" i="2"/>
  <c r="E1021" i="2"/>
  <c r="D1021" i="2"/>
  <c r="C1021" i="2"/>
  <c r="E1020" i="2"/>
  <c r="D1020" i="2"/>
  <c r="C1020" i="2"/>
  <c r="E1019" i="2"/>
  <c r="D1019" i="2"/>
  <c r="C1019" i="2"/>
  <c r="E1018" i="2"/>
  <c r="D1018" i="2"/>
  <c r="C1018" i="2"/>
  <c r="E1017" i="2"/>
  <c r="D1017" i="2"/>
  <c r="C1017" i="2"/>
  <c r="E1016" i="2"/>
  <c r="D1016" i="2"/>
  <c r="C1016" i="2"/>
  <c r="E1015" i="2"/>
  <c r="D1015" i="2"/>
  <c r="C1015" i="2"/>
  <c r="E1014" i="2"/>
  <c r="D1014" i="2"/>
  <c r="C1014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51" i="2"/>
  <c r="F952" i="2"/>
  <c r="F953" i="2"/>
  <c r="F954" i="2"/>
  <c r="F955" i="2"/>
  <c r="F956" i="2"/>
  <c r="F957" i="2"/>
  <c r="F958" i="2"/>
  <c r="F915" i="2"/>
  <c r="F916" i="2"/>
  <c r="F917" i="2"/>
  <c r="F918" i="2"/>
  <c r="F919" i="2"/>
  <c r="F920" i="2"/>
  <c r="F921" i="2"/>
  <c r="F922" i="2"/>
  <c r="F923" i="2"/>
  <c r="F924" i="2"/>
  <c r="A57" i="1"/>
  <c r="A56" i="1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G973" i="2"/>
  <c r="E973" i="2"/>
  <c r="D973" i="2"/>
  <c r="G972" i="2"/>
  <c r="E972" i="2"/>
  <c r="D972" i="2"/>
  <c r="C972" i="2"/>
  <c r="G971" i="2"/>
  <c r="E971" i="2"/>
  <c r="D971" i="2"/>
  <c r="C971" i="2"/>
  <c r="G970" i="2"/>
  <c r="E970" i="2"/>
  <c r="D970" i="2"/>
  <c r="C970" i="2"/>
  <c r="G969" i="2"/>
  <c r="E969" i="2"/>
  <c r="D969" i="2"/>
  <c r="C969" i="2"/>
  <c r="G968" i="2"/>
  <c r="E968" i="2"/>
  <c r="D968" i="2"/>
  <c r="C968" i="2"/>
  <c r="G967" i="2"/>
  <c r="E967" i="2"/>
  <c r="D967" i="2"/>
  <c r="C967" i="2"/>
  <c r="G966" i="2"/>
  <c r="E966" i="2"/>
  <c r="D966" i="2"/>
  <c r="C966" i="2"/>
  <c r="G965" i="2"/>
  <c r="E965" i="2"/>
  <c r="D965" i="2"/>
  <c r="C965" i="2"/>
  <c r="G962" i="2"/>
  <c r="G963" i="2"/>
  <c r="G964" i="2"/>
  <c r="G961" i="2"/>
  <c r="F962" i="2"/>
  <c r="F963" i="2"/>
  <c r="F964" i="2"/>
  <c r="F961" i="2"/>
  <c r="C961" i="2"/>
  <c r="C962" i="2"/>
  <c r="C963" i="2"/>
  <c r="G960" i="2"/>
  <c r="F960" i="2"/>
  <c r="G958" i="2"/>
  <c r="E958" i="2"/>
  <c r="D958" i="2"/>
  <c r="C958" i="2"/>
  <c r="G959" i="2"/>
  <c r="F959" i="2"/>
  <c r="G950" i="2"/>
  <c r="G951" i="2"/>
  <c r="G952" i="2"/>
  <c r="G953" i="2"/>
  <c r="G954" i="2"/>
  <c r="G955" i="2"/>
  <c r="G956" i="2"/>
  <c r="G957" i="2"/>
  <c r="C950" i="2"/>
  <c r="C951" i="2"/>
  <c r="C952" i="2"/>
  <c r="C953" i="2"/>
  <c r="C954" i="2"/>
  <c r="C955" i="2"/>
  <c r="C956" i="2"/>
  <c r="C957" i="2"/>
  <c r="C959" i="2"/>
  <c r="C960" i="2"/>
  <c r="G949" i="2"/>
  <c r="G948" i="2"/>
  <c r="C949" i="2"/>
  <c r="C948" i="2"/>
  <c r="C947" i="2"/>
  <c r="D999" i="2"/>
  <c r="E999" i="2"/>
  <c r="D1000" i="2"/>
  <c r="E1000" i="2"/>
  <c r="D1001" i="2"/>
  <c r="E1001" i="2"/>
  <c r="D1002" i="2"/>
  <c r="E1002" i="2"/>
  <c r="D1003" i="2"/>
  <c r="E1003" i="2"/>
  <c r="D1004" i="2"/>
  <c r="E1004" i="2"/>
  <c r="D1005" i="2"/>
  <c r="E1005" i="2"/>
  <c r="D1006" i="2"/>
  <c r="E1006" i="2"/>
  <c r="D1007" i="2"/>
  <c r="E1007" i="2"/>
  <c r="D1008" i="2"/>
  <c r="E1008" i="2"/>
  <c r="D1009" i="2"/>
  <c r="E1009" i="2"/>
  <c r="D1010" i="2"/>
  <c r="E1010" i="2"/>
  <c r="D1011" i="2"/>
  <c r="E1011" i="2"/>
  <c r="D1012" i="2"/>
  <c r="E1012" i="2"/>
  <c r="D1013" i="2"/>
  <c r="E1013" i="2"/>
  <c r="D854" i="2"/>
  <c r="E854" i="2"/>
  <c r="D855" i="2"/>
  <c r="E855" i="2"/>
  <c r="D856" i="2"/>
  <c r="E856" i="2"/>
  <c r="D857" i="2"/>
  <c r="E857" i="2"/>
  <c r="D858" i="2"/>
  <c r="E858" i="2"/>
  <c r="D859" i="2"/>
  <c r="E859" i="2"/>
  <c r="D860" i="2"/>
  <c r="E860" i="2"/>
  <c r="D861" i="2"/>
  <c r="E861" i="2"/>
  <c r="D862" i="2"/>
  <c r="E862" i="2"/>
  <c r="D863" i="2"/>
  <c r="E863" i="2"/>
  <c r="D864" i="2"/>
  <c r="E864" i="2"/>
  <c r="D865" i="2"/>
  <c r="E865" i="2"/>
  <c r="D866" i="2"/>
  <c r="E866" i="2"/>
  <c r="D867" i="2"/>
  <c r="E867" i="2"/>
  <c r="D868" i="2"/>
  <c r="E868" i="2"/>
  <c r="D869" i="2"/>
  <c r="E869" i="2"/>
  <c r="D870" i="2"/>
  <c r="E870" i="2"/>
  <c r="D871" i="2"/>
  <c r="E871" i="2"/>
  <c r="D872" i="2"/>
  <c r="E872" i="2"/>
  <c r="D873" i="2"/>
  <c r="E873" i="2"/>
  <c r="D874" i="2"/>
  <c r="E874" i="2"/>
  <c r="D875" i="2"/>
  <c r="E875" i="2"/>
  <c r="D876" i="2"/>
  <c r="E876" i="2"/>
  <c r="D877" i="2"/>
  <c r="E877" i="2"/>
  <c r="D882" i="2"/>
  <c r="E882" i="2"/>
  <c r="D883" i="2"/>
  <c r="E883" i="2"/>
  <c r="D884" i="2"/>
  <c r="E884" i="2"/>
  <c r="D885" i="2"/>
  <c r="E885" i="2"/>
  <c r="D886" i="2"/>
  <c r="E886" i="2"/>
  <c r="D887" i="2"/>
  <c r="E887" i="2"/>
  <c r="D888" i="2"/>
  <c r="E888" i="2"/>
  <c r="D889" i="2"/>
  <c r="E889" i="2"/>
  <c r="D890" i="2"/>
  <c r="E890" i="2"/>
  <c r="D891" i="2"/>
  <c r="E891" i="2"/>
  <c r="D892" i="2"/>
  <c r="E892" i="2"/>
  <c r="D893" i="2"/>
  <c r="E893" i="2"/>
  <c r="D894" i="2"/>
  <c r="E894" i="2"/>
  <c r="D895" i="2"/>
  <c r="E895" i="2"/>
  <c r="D896" i="2"/>
  <c r="E896" i="2"/>
  <c r="D897" i="2"/>
  <c r="E897" i="2"/>
  <c r="D898" i="2"/>
  <c r="E898" i="2"/>
  <c r="D899" i="2"/>
  <c r="E899" i="2"/>
  <c r="D900" i="2"/>
  <c r="E900" i="2"/>
  <c r="D901" i="2"/>
  <c r="E901" i="2"/>
  <c r="D902" i="2"/>
  <c r="E902" i="2"/>
  <c r="D903" i="2"/>
  <c r="E903" i="2"/>
  <c r="D904" i="2"/>
  <c r="E904" i="2"/>
  <c r="D905" i="2"/>
  <c r="E905" i="2"/>
  <c r="D906" i="2"/>
  <c r="E906" i="2"/>
  <c r="D907" i="2"/>
  <c r="E907" i="2"/>
  <c r="D908" i="2"/>
  <c r="E908" i="2"/>
  <c r="D909" i="2"/>
  <c r="E909" i="2"/>
  <c r="D910" i="2"/>
  <c r="E910" i="2"/>
  <c r="D911" i="2"/>
  <c r="E911" i="2"/>
  <c r="D912" i="2"/>
  <c r="E912" i="2"/>
  <c r="D913" i="2"/>
  <c r="E913" i="2"/>
  <c r="D914" i="2"/>
  <c r="E914" i="2"/>
  <c r="D915" i="2"/>
  <c r="E915" i="2"/>
  <c r="D916" i="2"/>
  <c r="E916" i="2"/>
  <c r="D917" i="2"/>
  <c r="E917" i="2"/>
  <c r="D918" i="2"/>
  <c r="E918" i="2"/>
  <c r="D919" i="2"/>
  <c r="E919" i="2"/>
  <c r="D920" i="2"/>
  <c r="E920" i="2"/>
  <c r="D921" i="2"/>
  <c r="E921" i="2"/>
  <c r="D922" i="2"/>
  <c r="E922" i="2"/>
  <c r="D923" i="2"/>
  <c r="E923" i="2"/>
  <c r="D924" i="2"/>
  <c r="E924" i="2"/>
  <c r="D925" i="2"/>
  <c r="E925" i="2"/>
  <c r="D926" i="2"/>
  <c r="E926" i="2"/>
  <c r="D927" i="2"/>
  <c r="E927" i="2"/>
  <c r="D928" i="2"/>
  <c r="E928" i="2"/>
  <c r="D929" i="2"/>
  <c r="E929" i="2"/>
  <c r="D930" i="2"/>
  <c r="E930" i="2"/>
  <c r="D931" i="2"/>
  <c r="E931" i="2"/>
  <c r="D932" i="2"/>
  <c r="E932" i="2"/>
  <c r="D933" i="2"/>
  <c r="E933" i="2"/>
  <c r="D934" i="2"/>
  <c r="E934" i="2"/>
  <c r="D935" i="2"/>
  <c r="E935" i="2"/>
  <c r="D936" i="2"/>
  <c r="E936" i="2"/>
  <c r="D937" i="2"/>
  <c r="E937" i="2"/>
  <c r="D938" i="2"/>
  <c r="E938" i="2"/>
  <c r="D939" i="2"/>
  <c r="E939" i="2"/>
  <c r="D940" i="2"/>
  <c r="E940" i="2"/>
  <c r="D941" i="2"/>
  <c r="E941" i="2"/>
  <c r="D942" i="2"/>
  <c r="E942" i="2"/>
  <c r="D943" i="2"/>
  <c r="E943" i="2"/>
  <c r="D944" i="2"/>
  <c r="E944" i="2"/>
  <c r="D945" i="2"/>
  <c r="E945" i="2"/>
  <c r="D946" i="2"/>
  <c r="E946" i="2"/>
  <c r="D947" i="2"/>
  <c r="E947" i="2"/>
  <c r="D948" i="2"/>
  <c r="E948" i="2"/>
  <c r="D949" i="2"/>
  <c r="E949" i="2"/>
  <c r="D950" i="2"/>
  <c r="E950" i="2"/>
  <c r="D951" i="2"/>
  <c r="E951" i="2"/>
  <c r="D952" i="2"/>
  <c r="E952" i="2"/>
  <c r="D953" i="2"/>
  <c r="E953" i="2"/>
  <c r="D954" i="2"/>
  <c r="E954" i="2"/>
  <c r="D955" i="2"/>
  <c r="E955" i="2"/>
  <c r="D956" i="2"/>
  <c r="E956" i="2"/>
  <c r="D957" i="2"/>
  <c r="E957" i="2"/>
  <c r="D959" i="2"/>
  <c r="E959" i="2"/>
  <c r="D960" i="2"/>
  <c r="E960" i="2"/>
  <c r="D961" i="2"/>
  <c r="E961" i="2"/>
  <c r="D962" i="2"/>
  <c r="E962" i="2"/>
  <c r="D963" i="2"/>
  <c r="E963" i="2"/>
  <c r="D964" i="2"/>
  <c r="E964" i="2"/>
  <c r="D976" i="2"/>
  <c r="E976" i="2"/>
  <c r="D977" i="2"/>
  <c r="E977" i="2"/>
  <c r="D978" i="2"/>
  <c r="E978" i="2"/>
  <c r="D979" i="2"/>
  <c r="E979" i="2"/>
  <c r="D980" i="2"/>
  <c r="E980" i="2"/>
  <c r="D981" i="2"/>
  <c r="E981" i="2"/>
  <c r="D982" i="2"/>
  <c r="E982" i="2"/>
  <c r="D983" i="2"/>
  <c r="E983" i="2"/>
  <c r="D984" i="2"/>
  <c r="E984" i="2"/>
  <c r="D985" i="2"/>
  <c r="E985" i="2"/>
  <c r="D986" i="2"/>
  <c r="E986" i="2"/>
  <c r="D987" i="2"/>
  <c r="E987" i="2"/>
  <c r="D988" i="2"/>
  <c r="E988" i="2"/>
  <c r="D989" i="2"/>
  <c r="E989" i="2"/>
  <c r="D990" i="2"/>
  <c r="E990" i="2"/>
  <c r="D991" i="2"/>
  <c r="E991" i="2"/>
  <c r="D992" i="2"/>
  <c r="E992" i="2"/>
  <c r="D993" i="2"/>
  <c r="E993" i="2"/>
  <c r="D994" i="2"/>
  <c r="E994" i="2"/>
  <c r="D995" i="2"/>
  <c r="E995" i="2"/>
  <c r="D996" i="2"/>
  <c r="E996" i="2"/>
  <c r="D997" i="2"/>
  <c r="E997" i="2"/>
  <c r="D998" i="2"/>
  <c r="E998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C925" i="2"/>
  <c r="F925" i="2"/>
  <c r="G925" i="2"/>
  <c r="C926" i="2"/>
  <c r="F926" i="2"/>
  <c r="G926" i="2"/>
  <c r="C927" i="2"/>
  <c r="F927" i="2"/>
  <c r="G927" i="2"/>
  <c r="C928" i="2"/>
  <c r="F928" i="2"/>
  <c r="G928" i="2"/>
  <c r="C929" i="2"/>
  <c r="F929" i="2"/>
  <c r="G929" i="2"/>
  <c r="C930" i="2"/>
  <c r="F930" i="2"/>
  <c r="G930" i="2"/>
  <c r="C931" i="2"/>
  <c r="F931" i="2"/>
  <c r="G931" i="2"/>
  <c r="C932" i="2"/>
  <c r="F932" i="2"/>
  <c r="G932" i="2"/>
  <c r="G916" i="2"/>
  <c r="F911" i="2"/>
  <c r="F914" i="2"/>
  <c r="F904" i="2"/>
  <c r="F905" i="2"/>
  <c r="F906" i="2"/>
  <c r="F907" i="2"/>
  <c r="F908" i="2"/>
  <c r="F909" i="2"/>
  <c r="F910" i="2"/>
  <c r="F912" i="2"/>
  <c r="F913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45" i="2"/>
  <c r="C946" i="2"/>
  <c r="C89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1" i="2"/>
  <c r="G872" i="2"/>
  <c r="G873" i="2"/>
  <c r="G874" i="2"/>
  <c r="G875" i="2"/>
  <c r="G876" i="2"/>
  <c r="G877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7" i="2"/>
  <c r="G918" i="2"/>
  <c r="G919" i="2"/>
  <c r="G920" i="2"/>
  <c r="G921" i="2"/>
  <c r="G922" i="2"/>
  <c r="G923" i="2"/>
  <c r="G924" i="2"/>
  <c r="F903" i="2"/>
  <c r="F902" i="2"/>
  <c r="F901" i="2"/>
  <c r="F900" i="2"/>
  <c r="F894" i="2"/>
  <c r="F895" i="2"/>
  <c r="F896" i="2"/>
  <c r="F897" i="2"/>
  <c r="F898" i="2"/>
  <c r="F899" i="2"/>
  <c r="F876" i="2"/>
  <c r="F877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55" i="2"/>
  <c r="F856" i="2"/>
  <c r="F857" i="2"/>
  <c r="F858" i="2"/>
  <c r="F859" i="2"/>
  <c r="F860" i="2"/>
  <c r="F861" i="2"/>
  <c r="F862" i="2"/>
  <c r="F863" i="2"/>
  <c r="F864" i="2"/>
  <c r="F866" i="2"/>
  <c r="F867" i="2"/>
  <c r="F868" i="2"/>
  <c r="F869" i="2"/>
  <c r="F870" i="2"/>
  <c r="F871" i="2"/>
  <c r="F872" i="2"/>
  <c r="F873" i="2"/>
  <c r="F874" i="2"/>
  <c r="F875" i="2"/>
  <c r="C895" i="2"/>
  <c r="C894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8" i="2"/>
  <c r="F847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G853" i="2"/>
  <c r="F853" i="2"/>
  <c r="E853" i="2"/>
  <c r="D853" i="2"/>
  <c r="C853" i="2"/>
  <c r="G852" i="2"/>
  <c r="F852" i="2"/>
  <c r="E852" i="2"/>
  <c r="D852" i="2"/>
  <c r="C852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F838" i="2"/>
  <c r="F839" i="2"/>
  <c r="F840" i="2"/>
  <c r="F841" i="2"/>
  <c r="F842" i="2"/>
  <c r="F843" i="2"/>
  <c r="F844" i="2"/>
  <c r="F845" i="2"/>
  <c r="F846" i="2"/>
  <c r="F848" i="2"/>
  <c r="F849" i="2"/>
  <c r="F850" i="2"/>
  <c r="F851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38" i="2"/>
  <c r="G831" i="2"/>
  <c r="F831" i="2"/>
  <c r="E831" i="2"/>
  <c r="D831" i="2"/>
  <c r="C831" i="2"/>
  <c r="G830" i="2"/>
  <c r="F830" i="2"/>
  <c r="E830" i="2"/>
  <c r="D830" i="2"/>
  <c r="C830" i="2"/>
  <c r="C838" i="2"/>
  <c r="C822" i="2"/>
  <c r="C823" i="2"/>
  <c r="C824" i="2"/>
  <c r="C825" i="2"/>
  <c r="A55" i="1"/>
  <c r="G818" i="2"/>
  <c r="G819" i="2"/>
  <c r="G820" i="2"/>
  <c r="G821" i="2"/>
  <c r="G822" i="2"/>
  <c r="G823" i="2"/>
  <c r="G825" i="2"/>
  <c r="G826" i="2"/>
  <c r="G827" i="2"/>
  <c r="G828" i="2"/>
  <c r="G829" i="2"/>
  <c r="D818" i="2"/>
  <c r="G809" i="2"/>
  <c r="G810" i="2"/>
  <c r="G811" i="2"/>
  <c r="G812" i="2"/>
  <c r="G813" i="2"/>
  <c r="G814" i="2"/>
  <c r="G815" i="2"/>
  <c r="G816" i="2"/>
  <c r="G817" i="2"/>
  <c r="C800" i="2"/>
  <c r="D800" i="2"/>
  <c r="E800" i="2"/>
  <c r="F800" i="2"/>
  <c r="C801" i="2"/>
  <c r="D801" i="2"/>
  <c r="E801" i="2"/>
  <c r="F801" i="2"/>
  <c r="C802" i="2"/>
  <c r="D802" i="2"/>
  <c r="E802" i="2"/>
  <c r="F802" i="2"/>
  <c r="C803" i="2"/>
  <c r="D803" i="2"/>
  <c r="E803" i="2"/>
  <c r="F803" i="2"/>
  <c r="C804" i="2"/>
  <c r="D804" i="2"/>
  <c r="E804" i="2"/>
  <c r="F804" i="2"/>
  <c r="C805" i="2"/>
  <c r="D805" i="2"/>
  <c r="E805" i="2"/>
  <c r="F805" i="2"/>
  <c r="C806" i="2"/>
  <c r="D806" i="2"/>
  <c r="E806" i="2"/>
  <c r="F806" i="2"/>
  <c r="D807" i="2"/>
  <c r="E807" i="2"/>
  <c r="F807" i="2"/>
  <c r="D808" i="2"/>
  <c r="E808" i="2"/>
  <c r="F808" i="2"/>
  <c r="D809" i="2"/>
  <c r="E809" i="2"/>
  <c r="F809" i="2"/>
  <c r="D810" i="2"/>
  <c r="E810" i="2"/>
  <c r="F810" i="2"/>
  <c r="D811" i="2"/>
  <c r="E811" i="2"/>
  <c r="F811" i="2"/>
  <c r="D812" i="2"/>
  <c r="E812" i="2"/>
  <c r="F812" i="2"/>
  <c r="D813" i="2"/>
  <c r="E813" i="2"/>
  <c r="F813" i="2"/>
  <c r="D814" i="2"/>
  <c r="E814" i="2"/>
  <c r="F814" i="2"/>
  <c r="D815" i="2"/>
  <c r="E815" i="2"/>
  <c r="F815" i="2"/>
  <c r="D816" i="2"/>
  <c r="E816" i="2"/>
  <c r="F816" i="2"/>
  <c r="D817" i="2"/>
  <c r="E817" i="2"/>
  <c r="F817" i="2"/>
  <c r="E818" i="2"/>
  <c r="F818" i="2"/>
  <c r="D819" i="2"/>
  <c r="E819" i="2"/>
  <c r="F819" i="2"/>
  <c r="D820" i="2"/>
  <c r="E820" i="2"/>
  <c r="F820" i="2"/>
  <c r="D821" i="2"/>
  <c r="E821" i="2"/>
  <c r="F821" i="2"/>
  <c r="D822" i="2"/>
  <c r="E822" i="2"/>
  <c r="F822" i="2"/>
  <c r="D823" i="2"/>
  <c r="E823" i="2"/>
  <c r="F823" i="2"/>
  <c r="D824" i="2"/>
  <c r="E824" i="2"/>
  <c r="F824" i="2"/>
  <c r="D825" i="2"/>
  <c r="E825" i="2"/>
  <c r="F825" i="2"/>
  <c r="C826" i="2"/>
  <c r="D826" i="2"/>
  <c r="E826" i="2"/>
  <c r="F826" i="2"/>
  <c r="C827" i="2"/>
  <c r="D827" i="2"/>
  <c r="E827" i="2"/>
  <c r="F827" i="2"/>
  <c r="C828" i="2"/>
  <c r="D828" i="2"/>
  <c r="E828" i="2"/>
  <c r="F828" i="2"/>
  <c r="C829" i="2"/>
  <c r="D829" i="2"/>
  <c r="E829" i="2"/>
  <c r="F829" i="2"/>
  <c r="C832" i="2"/>
  <c r="D832" i="2"/>
  <c r="E832" i="2"/>
  <c r="F832" i="2"/>
  <c r="C833" i="2"/>
  <c r="D833" i="2"/>
  <c r="E833" i="2"/>
  <c r="F833" i="2"/>
  <c r="C834" i="2"/>
  <c r="D834" i="2"/>
  <c r="E834" i="2"/>
  <c r="F834" i="2"/>
  <c r="C835" i="2"/>
  <c r="D835" i="2"/>
  <c r="E835" i="2"/>
  <c r="F835" i="2"/>
  <c r="C836" i="2"/>
  <c r="D836" i="2"/>
  <c r="E836" i="2"/>
  <c r="F836" i="2"/>
  <c r="C837" i="2"/>
  <c r="D837" i="2"/>
  <c r="E837" i="2"/>
  <c r="F837" i="2"/>
  <c r="C793" i="2"/>
  <c r="D793" i="2"/>
  <c r="E793" i="2"/>
  <c r="F793" i="2"/>
  <c r="C794" i="2"/>
  <c r="D794" i="2"/>
  <c r="E794" i="2"/>
  <c r="F794" i="2"/>
  <c r="C795" i="2"/>
  <c r="D795" i="2"/>
  <c r="E795" i="2"/>
  <c r="F795" i="2"/>
  <c r="C796" i="2"/>
  <c r="D796" i="2"/>
  <c r="E796" i="2"/>
  <c r="F796" i="2"/>
  <c r="C797" i="2"/>
  <c r="D797" i="2"/>
  <c r="E797" i="2"/>
  <c r="F797" i="2"/>
  <c r="C798" i="2"/>
  <c r="D798" i="2"/>
  <c r="E798" i="2"/>
  <c r="F798" i="2"/>
  <c r="C799" i="2"/>
  <c r="D799" i="2"/>
  <c r="E799" i="2"/>
  <c r="F799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784" i="2"/>
  <c r="G785" i="2"/>
  <c r="G786" i="2"/>
  <c r="G787" i="2"/>
  <c r="G788" i="2"/>
  <c r="G789" i="2"/>
  <c r="G790" i="2"/>
  <c r="G791" i="2"/>
  <c r="C789" i="2"/>
  <c r="D789" i="2"/>
  <c r="E789" i="2"/>
  <c r="F789" i="2"/>
  <c r="C790" i="2"/>
  <c r="D790" i="2"/>
  <c r="E790" i="2"/>
  <c r="F790" i="2"/>
  <c r="C791" i="2"/>
  <c r="D791" i="2"/>
  <c r="E791" i="2"/>
  <c r="F791" i="2"/>
  <c r="C792" i="2"/>
  <c r="D792" i="2"/>
  <c r="E792" i="2"/>
  <c r="F792" i="2"/>
  <c r="C782" i="2"/>
  <c r="D782" i="2"/>
  <c r="E782" i="2"/>
  <c r="F782" i="2"/>
  <c r="C783" i="2"/>
  <c r="D783" i="2"/>
  <c r="E783" i="2"/>
  <c r="F783" i="2"/>
  <c r="C784" i="2"/>
  <c r="D784" i="2"/>
  <c r="E784" i="2"/>
  <c r="F784" i="2"/>
  <c r="C785" i="2"/>
  <c r="D785" i="2"/>
  <c r="E785" i="2"/>
  <c r="F785" i="2"/>
  <c r="C786" i="2"/>
  <c r="D786" i="2"/>
  <c r="E786" i="2"/>
  <c r="F786" i="2"/>
  <c r="C787" i="2"/>
  <c r="D787" i="2"/>
  <c r="E787" i="2"/>
  <c r="F787" i="2"/>
  <c r="C788" i="2"/>
  <c r="D788" i="2"/>
  <c r="E788" i="2"/>
  <c r="F788" i="2"/>
  <c r="A54" i="1"/>
  <c r="A47" i="1"/>
  <c r="A48" i="1"/>
  <c r="A49" i="1"/>
  <c r="A50" i="1"/>
  <c r="A51" i="1"/>
  <c r="A52" i="1"/>
  <c r="A53" i="1"/>
  <c r="G782" i="2"/>
  <c r="G781" i="2"/>
  <c r="F781" i="2"/>
  <c r="E781" i="2"/>
  <c r="D781" i="2"/>
  <c r="C781" i="2"/>
  <c r="G783" i="2"/>
  <c r="G780" i="2"/>
  <c r="F780" i="2"/>
  <c r="E780" i="2"/>
  <c r="D780" i="2"/>
  <c r="C780" i="2"/>
  <c r="G779" i="2"/>
  <c r="F779" i="2"/>
  <c r="E779" i="2"/>
  <c r="D779" i="2"/>
  <c r="C779" i="2"/>
  <c r="G708" i="2"/>
  <c r="C778" i="2"/>
  <c r="D777" i="2"/>
  <c r="E777" i="2"/>
  <c r="F777" i="2"/>
  <c r="G777" i="2"/>
  <c r="C777" i="2"/>
  <c r="G774" i="2"/>
  <c r="G775" i="2"/>
  <c r="G776" i="2"/>
  <c r="G773" i="2"/>
  <c r="F774" i="2"/>
  <c r="F775" i="2"/>
  <c r="F776" i="2"/>
  <c r="F773" i="2"/>
  <c r="E774" i="2"/>
  <c r="E775" i="2"/>
  <c r="E776" i="2"/>
  <c r="E773" i="2"/>
  <c r="D773" i="2"/>
  <c r="D774" i="2"/>
  <c r="D775" i="2"/>
  <c r="D776" i="2"/>
  <c r="C774" i="2"/>
  <c r="C775" i="2"/>
  <c r="C776" i="2"/>
  <c r="C773" i="2"/>
  <c r="G772" i="2"/>
  <c r="F772" i="2"/>
  <c r="E772" i="2"/>
  <c r="D772" i="2"/>
  <c r="C772" i="2"/>
  <c r="G771" i="2"/>
  <c r="F771" i="2"/>
  <c r="E771" i="2"/>
  <c r="D771" i="2"/>
  <c r="C771" i="2"/>
  <c r="C770" i="2"/>
  <c r="C769" i="2"/>
  <c r="C768" i="2"/>
  <c r="C767" i="2"/>
  <c r="G770" i="2"/>
  <c r="F770" i="2"/>
  <c r="E770" i="2"/>
  <c r="D770" i="2"/>
  <c r="G769" i="2"/>
  <c r="F769" i="2"/>
  <c r="E769" i="2"/>
  <c r="D769" i="2"/>
  <c r="G768" i="2"/>
  <c r="F768" i="2"/>
  <c r="E768" i="2"/>
  <c r="D768" i="2"/>
  <c r="G767" i="2"/>
  <c r="F767" i="2"/>
  <c r="E767" i="2"/>
  <c r="D767" i="2"/>
  <c r="A46" i="1"/>
  <c r="F766" i="2"/>
  <c r="D766" i="2"/>
  <c r="E766" i="2"/>
  <c r="C766" i="2"/>
  <c r="G107" i="6"/>
  <c r="F107" i="6"/>
  <c r="E107" i="6"/>
  <c r="C761" i="2"/>
  <c r="D107" i="6"/>
  <c r="G765" i="2"/>
  <c r="E765" i="2"/>
  <c r="D765" i="2"/>
  <c r="C765" i="2"/>
  <c r="G764" i="2"/>
  <c r="E764" i="2"/>
  <c r="D764" i="2"/>
  <c r="C764" i="2"/>
  <c r="G763" i="2"/>
  <c r="E763" i="2"/>
  <c r="D763" i="2"/>
  <c r="C763" i="2"/>
  <c r="G762" i="2"/>
  <c r="E762" i="2"/>
  <c r="D762" i="2"/>
  <c r="C762" i="2"/>
  <c r="G761" i="2"/>
  <c r="F761" i="2"/>
  <c r="E761" i="2"/>
  <c r="D761" i="2"/>
  <c r="C760" i="2"/>
  <c r="G755" i="2"/>
  <c r="G756" i="2"/>
  <c r="G757" i="2"/>
  <c r="G758" i="2"/>
  <c r="G759" i="2"/>
  <c r="G760" i="2"/>
  <c r="G766" i="2"/>
  <c r="F755" i="2"/>
  <c r="F756" i="2"/>
  <c r="F757" i="2"/>
  <c r="F758" i="2"/>
  <c r="F759" i="2"/>
  <c r="E755" i="2"/>
  <c r="E756" i="2"/>
  <c r="E757" i="2"/>
  <c r="E758" i="2"/>
  <c r="E759" i="2"/>
  <c r="E760" i="2"/>
  <c r="D755" i="2"/>
  <c r="D756" i="2"/>
  <c r="D757" i="2"/>
  <c r="D758" i="2"/>
  <c r="D759" i="2"/>
  <c r="D760" i="2"/>
  <c r="C755" i="2"/>
  <c r="C756" i="2"/>
  <c r="C757" i="2"/>
  <c r="C758" i="2"/>
  <c r="C759" i="2"/>
  <c r="G754" i="2"/>
  <c r="F754" i="2"/>
  <c r="D754" i="2"/>
  <c r="C754" i="2"/>
  <c r="G753" i="2"/>
  <c r="F753" i="2"/>
  <c r="C753" i="2"/>
  <c r="G746" i="2"/>
  <c r="G747" i="2"/>
  <c r="G748" i="2"/>
  <c r="G749" i="2"/>
  <c r="G750" i="2"/>
  <c r="G751" i="2"/>
  <c r="G752" i="2"/>
  <c r="F746" i="2"/>
  <c r="F747" i="2"/>
  <c r="F748" i="2"/>
  <c r="F749" i="2"/>
  <c r="F750" i="2"/>
  <c r="F751" i="2"/>
  <c r="F752" i="2"/>
  <c r="E746" i="2"/>
  <c r="E747" i="2"/>
  <c r="E748" i="2"/>
  <c r="E749" i="2"/>
  <c r="E750" i="2"/>
  <c r="E751" i="2"/>
  <c r="E752" i="2"/>
  <c r="E753" i="2"/>
  <c r="E754" i="2"/>
  <c r="D746" i="2"/>
  <c r="D747" i="2"/>
  <c r="D748" i="2"/>
  <c r="D749" i="2"/>
  <c r="D750" i="2"/>
  <c r="D751" i="2"/>
  <c r="D752" i="2"/>
  <c r="D753" i="2"/>
  <c r="C746" i="2"/>
  <c r="C747" i="2"/>
  <c r="C748" i="2"/>
  <c r="C749" i="2"/>
  <c r="C750" i="2"/>
  <c r="C751" i="2"/>
  <c r="C752" i="2"/>
  <c r="D745" i="2"/>
  <c r="E745" i="2"/>
  <c r="F745" i="2"/>
  <c r="G745" i="2"/>
  <c r="E744" i="2"/>
  <c r="F744" i="2"/>
  <c r="G744" i="2"/>
  <c r="D744" i="2"/>
  <c r="C745" i="2"/>
  <c r="C744" i="2"/>
  <c r="G743" i="2"/>
  <c r="G742" i="2"/>
  <c r="F743" i="2"/>
  <c r="F742" i="2"/>
  <c r="E743" i="2"/>
  <c r="E742" i="2"/>
  <c r="D743" i="2"/>
  <c r="D742" i="2"/>
  <c r="C743" i="2"/>
  <c r="C742" i="2"/>
  <c r="G741" i="2"/>
  <c r="F741" i="2"/>
  <c r="E741" i="2"/>
  <c r="D741" i="2"/>
  <c r="C741" i="2"/>
  <c r="G740" i="2"/>
  <c r="F740" i="2"/>
  <c r="E740" i="2"/>
  <c r="D740" i="2"/>
  <c r="C740" i="2"/>
  <c r="G738" i="2"/>
  <c r="G739" i="2"/>
  <c r="G737" i="2"/>
  <c r="F738" i="2"/>
  <c r="F739" i="2"/>
  <c r="F737" i="2"/>
  <c r="C737" i="2"/>
  <c r="D737" i="2"/>
  <c r="E737" i="2"/>
  <c r="C738" i="2"/>
  <c r="D738" i="2"/>
  <c r="E738" i="2"/>
  <c r="C739" i="2"/>
  <c r="D739" i="2"/>
  <c r="E739" i="2"/>
  <c r="G733" i="2"/>
  <c r="G734" i="2"/>
  <c r="G735" i="2"/>
  <c r="G736" i="2"/>
  <c r="C734" i="2"/>
  <c r="D734" i="2"/>
  <c r="E734" i="2"/>
  <c r="F734" i="2"/>
  <c r="C735" i="2"/>
  <c r="D735" i="2"/>
  <c r="E735" i="2"/>
  <c r="F735" i="2"/>
  <c r="C736" i="2"/>
  <c r="D736" i="2"/>
  <c r="E736" i="2"/>
  <c r="F736" i="2"/>
  <c r="F733" i="2"/>
  <c r="E733" i="2"/>
  <c r="D733" i="2"/>
  <c r="C733" i="2"/>
  <c r="F732" i="2"/>
  <c r="E732" i="2"/>
  <c r="D732" i="2"/>
  <c r="C732" i="2"/>
  <c r="F731" i="2"/>
  <c r="E731" i="2"/>
  <c r="D731" i="2"/>
  <c r="C731" i="2"/>
  <c r="E730" i="2"/>
  <c r="D730" i="2"/>
  <c r="C730" i="2"/>
  <c r="G729" i="2"/>
  <c r="G728" i="2"/>
  <c r="F729" i="2"/>
  <c r="F728" i="2"/>
  <c r="D729" i="2"/>
  <c r="D728" i="2"/>
  <c r="C729" i="2"/>
  <c r="C728" i="2"/>
  <c r="G727" i="2"/>
  <c r="G726" i="2"/>
  <c r="F727" i="2"/>
  <c r="F726" i="2"/>
  <c r="D727" i="2"/>
  <c r="C727" i="2"/>
  <c r="C726" i="2"/>
  <c r="G723" i="2"/>
  <c r="G724" i="2"/>
  <c r="G725" i="2"/>
  <c r="F725" i="2"/>
  <c r="D722" i="2"/>
  <c r="D723" i="2"/>
  <c r="D724" i="2"/>
  <c r="D725" i="2"/>
  <c r="D726" i="2"/>
  <c r="C721" i="2"/>
  <c r="C722" i="2"/>
  <c r="C723" i="2"/>
  <c r="C724" i="2"/>
  <c r="C725" i="2"/>
  <c r="D93" i="6"/>
  <c r="G720" i="2"/>
  <c r="F720" i="2"/>
  <c r="E720" i="2"/>
  <c r="D720" i="2"/>
  <c r="C720" i="2"/>
  <c r="G719" i="2"/>
  <c r="F719" i="2"/>
  <c r="E719" i="2"/>
  <c r="D719" i="2"/>
  <c r="C719" i="2"/>
  <c r="G718" i="2"/>
  <c r="F718" i="2"/>
  <c r="E718" i="2"/>
  <c r="D718" i="2"/>
  <c r="C718" i="2"/>
  <c r="C717" i="2"/>
  <c r="F716" i="2"/>
  <c r="C713" i="2"/>
  <c r="C714" i="2"/>
  <c r="C715" i="2"/>
  <c r="C716" i="2"/>
  <c r="G713" i="2"/>
  <c r="G714" i="2"/>
  <c r="G715" i="2"/>
  <c r="G716" i="2"/>
  <c r="G717" i="2"/>
  <c r="G721" i="2"/>
  <c r="G722" i="2"/>
  <c r="D713" i="2"/>
  <c r="D714" i="2"/>
  <c r="D715" i="2"/>
  <c r="D716" i="2"/>
  <c r="D717" i="2"/>
  <c r="D721" i="2"/>
  <c r="E713" i="2"/>
  <c r="E714" i="2"/>
  <c r="E715" i="2"/>
  <c r="E716" i="2"/>
  <c r="E717" i="2"/>
  <c r="E721" i="2"/>
  <c r="E722" i="2"/>
  <c r="E723" i="2"/>
  <c r="E724" i="2"/>
  <c r="E725" i="2"/>
  <c r="E726" i="2"/>
  <c r="E727" i="2"/>
  <c r="E728" i="2"/>
  <c r="E729" i="2"/>
  <c r="F721" i="2"/>
  <c r="F722" i="2"/>
  <c r="F723" i="2"/>
  <c r="F724" i="2"/>
  <c r="F713" i="2"/>
  <c r="F714" i="2"/>
  <c r="F715" i="2"/>
  <c r="F717" i="2"/>
  <c r="G712" i="2"/>
  <c r="G711" i="2"/>
  <c r="G710" i="2"/>
  <c r="E712" i="2"/>
  <c r="E711" i="2"/>
  <c r="E710" i="2"/>
  <c r="D712" i="2"/>
  <c r="D711" i="2"/>
  <c r="D710" i="2"/>
  <c r="C712" i="2"/>
  <c r="C711" i="2"/>
  <c r="C710" i="2"/>
  <c r="F712" i="2"/>
  <c r="F711" i="2"/>
  <c r="C706" i="2"/>
  <c r="D706" i="2"/>
  <c r="E706" i="2"/>
  <c r="F706" i="2"/>
  <c r="G706" i="2"/>
  <c r="C707" i="2"/>
  <c r="D707" i="2"/>
  <c r="E707" i="2"/>
  <c r="F707" i="2"/>
  <c r="G707" i="2"/>
  <c r="C708" i="2"/>
  <c r="D708" i="2"/>
  <c r="E708" i="2"/>
  <c r="F708" i="2"/>
  <c r="C709" i="2"/>
  <c r="D709" i="2"/>
  <c r="E709" i="2"/>
  <c r="F709" i="2"/>
  <c r="G709" i="2"/>
  <c r="G705" i="2"/>
  <c r="E705" i="2"/>
  <c r="D705" i="2"/>
  <c r="C705" i="2"/>
  <c r="E704" i="2"/>
  <c r="E703" i="2"/>
  <c r="E702" i="2"/>
  <c r="D704" i="2"/>
  <c r="D703" i="2"/>
  <c r="D702" i="2"/>
  <c r="C704" i="2"/>
  <c r="C703" i="2"/>
  <c r="C702" i="2"/>
  <c r="E701" i="2"/>
  <c r="D701" i="2"/>
  <c r="C701" i="2"/>
  <c r="G701" i="2"/>
  <c r="G702" i="2"/>
  <c r="G703" i="2"/>
  <c r="G704" i="2"/>
  <c r="C700" i="2"/>
  <c r="D700" i="2"/>
  <c r="E700" i="2"/>
  <c r="G700" i="2"/>
  <c r="G699" i="2"/>
  <c r="G698" i="2"/>
  <c r="G697" i="2"/>
  <c r="E699" i="2"/>
  <c r="E698" i="2"/>
  <c r="C699" i="2"/>
  <c r="G692" i="2"/>
  <c r="G693" i="2"/>
  <c r="G694" i="2"/>
  <c r="G695" i="2"/>
  <c r="G696" i="2"/>
  <c r="D692" i="2"/>
  <c r="D693" i="2"/>
  <c r="D694" i="2"/>
  <c r="D695" i="2"/>
  <c r="D696" i="2"/>
  <c r="D697" i="2"/>
  <c r="D698" i="2"/>
  <c r="D699" i="2"/>
  <c r="C692" i="2"/>
  <c r="C693" i="2"/>
  <c r="C694" i="2"/>
  <c r="C695" i="2"/>
  <c r="C696" i="2"/>
  <c r="C697" i="2"/>
  <c r="C698" i="2"/>
  <c r="E692" i="2"/>
  <c r="E693" i="2"/>
  <c r="E694" i="2"/>
  <c r="E695" i="2"/>
  <c r="E696" i="2"/>
  <c r="E697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10" i="2"/>
  <c r="C676" i="2"/>
  <c r="D676" i="2"/>
  <c r="E676" i="2"/>
  <c r="F676" i="2"/>
  <c r="G676" i="2"/>
  <c r="C677" i="2"/>
  <c r="D677" i="2"/>
  <c r="E677" i="2"/>
  <c r="F677" i="2"/>
  <c r="G677" i="2"/>
  <c r="G670" i="2"/>
  <c r="G671" i="2"/>
  <c r="F663" i="2"/>
  <c r="F662" i="2"/>
  <c r="J77" i="6"/>
  <c r="I77" i="6"/>
  <c r="H77" i="6"/>
  <c r="G77" i="6"/>
  <c r="F77" i="6"/>
  <c r="E77" i="6"/>
  <c r="D77" i="6"/>
  <c r="C77" i="6"/>
  <c r="F632" i="2"/>
  <c r="F633" i="2"/>
  <c r="F634" i="2"/>
  <c r="F635" i="2"/>
  <c r="F636" i="2"/>
  <c r="F637" i="2"/>
  <c r="F638" i="2"/>
  <c r="A44" i="1"/>
  <c r="A45" i="1"/>
  <c r="F621" i="2"/>
  <c r="F622" i="2"/>
  <c r="F624" i="2"/>
  <c r="G615" i="2"/>
  <c r="F615" i="2"/>
  <c r="E615" i="2"/>
  <c r="D615" i="2"/>
  <c r="C615" i="2"/>
  <c r="G614" i="2"/>
  <c r="F614" i="2"/>
  <c r="E614" i="2"/>
  <c r="D614" i="2"/>
  <c r="C614" i="2"/>
  <c r="G613" i="2"/>
  <c r="F613" i="2"/>
  <c r="E613" i="2"/>
  <c r="D613" i="2"/>
  <c r="C613" i="2"/>
  <c r="A41" i="1"/>
  <c r="A42" i="1"/>
  <c r="A43" i="1"/>
  <c r="G604" i="2"/>
  <c r="F604" i="2"/>
  <c r="E604" i="2"/>
  <c r="D604" i="2"/>
  <c r="C604" i="2"/>
  <c r="G603" i="2"/>
  <c r="F603" i="2"/>
  <c r="E603" i="2"/>
  <c r="D603" i="2"/>
  <c r="C603" i="2"/>
  <c r="C578" i="2"/>
  <c r="G601" i="2"/>
  <c r="F601" i="2"/>
  <c r="E601" i="2"/>
  <c r="D601" i="2"/>
  <c r="C601" i="2"/>
  <c r="G600" i="2"/>
  <c r="F600" i="2"/>
  <c r="E600" i="2"/>
  <c r="D600" i="2"/>
  <c r="C600" i="2"/>
  <c r="G599" i="2"/>
  <c r="F599" i="2"/>
  <c r="E599" i="2"/>
  <c r="D599" i="2"/>
  <c r="C599" i="2"/>
  <c r="G598" i="2"/>
  <c r="F598" i="2"/>
  <c r="E598" i="2"/>
  <c r="D598" i="2"/>
  <c r="C59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G563" i="2"/>
  <c r="F563" i="2"/>
  <c r="E563" i="2"/>
  <c r="D563" i="2"/>
  <c r="C563" i="2"/>
  <c r="G562" i="2"/>
  <c r="F562" i="2"/>
  <c r="E562" i="2"/>
  <c r="D562" i="2"/>
  <c r="C562" i="2"/>
  <c r="G561" i="2"/>
  <c r="F561" i="2"/>
  <c r="E561" i="2"/>
  <c r="D561" i="2"/>
  <c r="C561" i="2"/>
  <c r="C62" i="6"/>
  <c r="D62" i="6"/>
  <c r="E62" i="6"/>
  <c r="F62" i="6"/>
  <c r="G62" i="6"/>
  <c r="H62" i="6"/>
  <c r="I62" i="6"/>
  <c r="J62" i="6"/>
  <c r="G537" i="2"/>
  <c r="F537" i="2"/>
  <c r="E537" i="2"/>
  <c r="D537" i="2"/>
  <c r="C537" i="2"/>
  <c r="G536" i="2"/>
  <c r="F536" i="2"/>
  <c r="E536" i="2"/>
  <c r="D536" i="2"/>
  <c r="C536" i="2"/>
  <c r="G535" i="2"/>
  <c r="F535" i="2"/>
  <c r="E535" i="2"/>
  <c r="D535" i="2"/>
  <c r="C535" i="2"/>
  <c r="G534" i="2"/>
  <c r="F534" i="2"/>
  <c r="E534" i="2"/>
  <c r="D534" i="2"/>
  <c r="C534" i="2"/>
  <c r="G529" i="2"/>
  <c r="F529" i="2"/>
  <c r="E529" i="2"/>
  <c r="D529" i="2"/>
  <c r="C529" i="2"/>
  <c r="G528" i="2"/>
  <c r="F528" i="2"/>
  <c r="E528" i="2"/>
  <c r="D528" i="2"/>
  <c r="C528" i="2"/>
  <c r="G527" i="2"/>
  <c r="F527" i="2"/>
  <c r="E527" i="2"/>
  <c r="D527" i="2"/>
  <c r="C527" i="2"/>
  <c r="G526" i="2"/>
  <c r="F526" i="2"/>
  <c r="E526" i="2"/>
  <c r="D526" i="2"/>
  <c r="C526" i="2"/>
  <c r="G525" i="2"/>
  <c r="F525" i="2"/>
  <c r="E525" i="2"/>
  <c r="D525" i="2"/>
  <c r="C525" i="2"/>
  <c r="G524" i="2"/>
  <c r="F524" i="2"/>
  <c r="E524" i="2"/>
  <c r="D524" i="2"/>
  <c r="C524" i="2"/>
  <c r="G523" i="2"/>
  <c r="F523" i="2"/>
  <c r="E523" i="2"/>
  <c r="D523" i="2"/>
  <c r="C523" i="2"/>
  <c r="G522" i="2"/>
  <c r="F522" i="2"/>
  <c r="E522" i="2"/>
  <c r="D522" i="2"/>
  <c r="C522" i="2"/>
  <c r="G521" i="2"/>
  <c r="F521" i="2"/>
  <c r="E521" i="2"/>
  <c r="D521" i="2"/>
  <c r="C521" i="2"/>
  <c r="G520" i="2"/>
  <c r="F520" i="2"/>
  <c r="E520" i="2"/>
  <c r="D520" i="2"/>
  <c r="C520" i="2"/>
  <c r="G519" i="2"/>
  <c r="F519" i="2"/>
  <c r="E519" i="2"/>
  <c r="D519" i="2"/>
  <c r="C519" i="2"/>
  <c r="G518" i="2"/>
  <c r="F518" i="2"/>
  <c r="E518" i="2"/>
  <c r="D518" i="2"/>
  <c r="C518" i="2"/>
  <c r="G517" i="2"/>
  <c r="F517" i="2"/>
  <c r="E517" i="2"/>
  <c r="D517" i="2"/>
  <c r="C517" i="2"/>
  <c r="G515" i="2"/>
  <c r="F515" i="2"/>
  <c r="E515" i="2"/>
  <c r="D515" i="2"/>
  <c r="C515" i="2"/>
  <c r="G514" i="2"/>
  <c r="F514" i="2"/>
  <c r="E514" i="2"/>
  <c r="D514" i="2"/>
  <c r="C514" i="2"/>
  <c r="G512" i="2"/>
  <c r="F512" i="2"/>
  <c r="E512" i="2"/>
  <c r="D512" i="2"/>
  <c r="C512" i="2"/>
  <c r="G511" i="2"/>
  <c r="F511" i="2"/>
  <c r="E511" i="2"/>
  <c r="D511" i="2"/>
  <c r="C511" i="2"/>
  <c r="G510" i="2"/>
  <c r="F510" i="2"/>
  <c r="E510" i="2"/>
  <c r="D510" i="2"/>
  <c r="C510" i="2"/>
  <c r="G509" i="2"/>
  <c r="F509" i="2"/>
  <c r="E509" i="2"/>
  <c r="D509" i="2"/>
  <c r="C509" i="2"/>
  <c r="C485" i="2"/>
  <c r="G485" i="2"/>
  <c r="F485" i="2"/>
  <c r="D485" i="2"/>
  <c r="E485" i="2"/>
  <c r="C477" i="2"/>
  <c r="D477" i="2"/>
  <c r="E477" i="2"/>
  <c r="F477" i="2"/>
  <c r="G477" i="2"/>
  <c r="C532" i="2"/>
  <c r="D532" i="2"/>
  <c r="E532" i="2"/>
  <c r="F532" i="2"/>
  <c r="G532" i="2"/>
  <c r="C533" i="2"/>
  <c r="D533" i="2"/>
  <c r="E533" i="2"/>
  <c r="F533" i="2"/>
  <c r="G533" i="2"/>
  <c r="C538" i="2"/>
  <c r="D538" i="2"/>
  <c r="E538" i="2"/>
  <c r="F538" i="2"/>
  <c r="G538" i="2"/>
  <c r="C539" i="2"/>
  <c r="D539" i="2"/>
  <c r="E539" i="2"/>
  <c r="F539" i="2"/>
  <c r="G539" i="2"/>
  <c r="C540" i="2"/>
  <c r="D540" i="2"/>
  <c r="E540" i="2"/>
  <c r="F540" i="2"/>
  <c r="G540" i="2"/>
  <c r="C541" i="2"/>
  <c r="D541" i="2"/>
  <c r="E541" i="2"/>
  <c r="F541" i="2"/>
  <c r="G541" i="2"/>
  <c r="C542" i="2"/>
  <c r="D542" i="2"/>
  <c r="E542" i="2"/>
  <c r="F542" i="2"/>
  <c r="G542" i="2"/>
  <c r="C543" i="2"/>
  <c r="D543" i="2"/>
  <c r="E543" i="2"/>
  <c r="F543" i="2"/>
  <c r="G543" i="2"/>
  <c r="C544" i="2"/>
  <c r="D544" i="2"/>
  <c r="E544" i="2"/>
  <c r="F544" i="2"/>
  <c r="G544" i="2"/>
  <c r="C545" i="2"/>
  <c r="D545" i="2"/>
  <c r="E545" i="2"/>
  <c r="F545" i="2"/>
  <c r="G545" i="2"/>
  <c r="C546" i="2"/>
  <c r="D546" i="2"/>
  <c r="E546" i="2"/>
  <c r="F546" i="2"/>
  <c r="G546" i="2"/>
  <c r="C547" i="2"/>
  <c r="D547" i="2"/>
  <c r="E547" i="2"/>
  <c r="F547" i="2"/>
  <c r="G547" i="2"/>
  <c r="C548" i="2"/>
  <c r="D548" i="2"/>
  <c r="E548" i="2"/>
  <c r="F548" i="2"/>
  <c r="G548" i="2"/>
  <c r="C549" i="2"/>
  <c r="D549" i="2"/>
  <c r="E549" i="2"/>
  <c r="F549" i="2"/>
  <c r="G549" i="2"/>
  <c r="C550" i="2"/>
  <c r="D550" i="2"/>
  <c r="E550" i="2"/>
  <c r="F550" i="2"/>
  <c r="G550" i="2"/>
  <c r="C551" i="2"/>
  <c r="D551" i="2"/>
  <c r="E551" i="2"/>
  <c r="F551" i="2"/>
  <c r="G551" i="2"/>
  <c r="C552" i="2"/>
  <c r="D552" i="2"/>
  <c r="E552" i="2"/>
  <c r="F552" i="2"/>
  <c r="G552" i="2"/>
  <c r="C553" i="2"/>
  <c r="D553" i="2"/>
  <c r="E553" i="2"/>
  <c r="F553" i="2"/>
  <c r="G553" i="2"/>
  <c r="C554" i="2"/>
  <c r="D554" i="2"/>
  <c r="E554" i="2"/>
  <c r="F554" i="2"/>
  <c r="G554" i="2"/>
  <c r="C555" i="2"/>
  <c r="D555" i="2"/>
  <c r="E555" i="2"/>
  <c r="F555" i="2"/>
  <c r="G555" i="2"/>
  <c r="C556" i="2"/>
  <c r="D556" i="2"/>
  <c r="E556" i="2"/>
  <c r="F556" i="2"/>
  <c r="G556" i="2"/>
  <c r="C557" i="2"/>
  <c r="D557" i="2"/>
  <c r="E557" i="2"/>
  <c r="F557" i="2"/>
  <c r="G557" i="2"/>
  <c r="C558" i="2"/>
  <c r="D558" i="2"/>
  <c r="E558" i="2"/>
  <c r="F558" i="2"/>
  <c r="G558" i="2"/>
  <c r="C559" i="2"/>
  <c r="D559" i="2"/>
  <c r="E559" i="2"/>
  <c r="F559" i="2"/>
  <c r="G559" i="2"/>
  <c r="C560" i="2"/>
  <c r="D560" i="2"/>
  <c r="E560" i="2"/>
  <c r="F560" i="2"/>
  <c r="G560" i="2"/>
  <c r="C564" i="2"/>
  <c r="D564" i="2"/>
  <c r="E564" i="2"/>
  <c r="F564" i="2"/>
  <c r="G564" i="2"/>
  <c r="C565" i="2"/>
  <c r="D565" i="2"/>
  <c r="E565" i="2"/>
  <c r="F565" i="2"/>
  <c r="G565" i="2"/>
  <c r="C566" i="2"/>
  <c r="D566" i="2"/>
  <c r="E566" i="2"/>
  <c r="F566" i="2"/>
  <c r="G566" i="2"/>
  <c r="C567" i="2"/>
  <c r="D567" i="2"/>
  <c r="E567" i="2"/>
  <c r="F567" i="2"/>
  <c r="G567" i="2"/>
  <c r="C568" i="2"/>
  <c r="D568" i="2"/>
  <c r="E568" i="2"/>
  <c r="F568" i="2"/>
  <c r="G568" i="2"/>
  <c r="C569" i="2"/>
  <c r="D569" i="2"/>
  <c r="E569" i="2"/>
  <c r="F569" i="2"/>
  <c r="G569" i="2"/>
  <c r="C570" i="2"/>
  <c r="D570" i="2"/>
  <c r="E570" i="2"/>
  <c r="F570" i="2"/>
  <c r="G570" i="2"/>
  <c r="C571" i="2"/>
  <c r="D571" i="2"/>
  <c r="E571" i="2"/>
  <c r="F571" i="2"/>
  <c r="G571" i="2"/>
  <c r="C572" i="2"/>
  <c r="D572" i="2"/>
  <c r="E572" i="2"/>
  <c r="F572" i="2"/>
  <c r="G572" i="2"/>
  <c r="C573" i="2"/>
  <c r="D573" i="2"/>
  <c r="E573" i="2"/>
  <c r="F573" i="2"/>
  <c r="G573" i="2"/>
  <c r="C574" i="2"/>
  <c r="D574" i="2"/>
  <c r="E574" i="2"/>
  <c r="F574" i="2"/>
  <c r="G574" i="2"/>
  <c r="C575" i="2"/>
  <c r="D575" i="2"/>
  <c r="E575" i="2"/>
  <c r="F575" i="2"/>
  <c r="G575" i="2"/>
  <c r="C576" i="2"/>
  <c r="D576" i="2"/>
  <c r="E576" i="2"/>
  <c r="F576" i="2"/>
  <c r="G576" i="2"/>
  <c r="C577" i="2"/>
  <c r="D577" i="2"/>
  <c r="E577" i="2"/>
  <c r="F577" i="2"/>
  <c r="G577" i="2"/>
  <c r="D578" i="2"/>
  <c r="E578" i="2"/>
  <c r="F578" i="2"/>
  <c r="G578" i="2"/>
  <c r="D579" i="2"/>
  <c r="E579" i="2"/>
  <c r="F579" i="2"/>
  <c r="G579" i="2"/>
  <c r="D580" i="2"/>
  <c r="E580" i="2"/>
  <c r="F580" i="2"/>
  <c r="G580" i="2"/>
  <c r="D581" i="2"/>
  <c r="E581" i="2"/>
  <c r="F581" i="2"/>
  <c r="G581" i="2"/>
  <c r="D582" i="2"/>
  <c r="E582" i="2"/>
  <c r="F582" i="2"/>
  <c r="G582" i="2"/>
  <c r="D583" i="2"/>
  <c r="E583" i="2"/>
  <c r="F583" i="2"/>
  <c r="G583" i="2"/>
  <c r="D584" i="2"/>
  <c r="E584" i="2"/>
  <c r="F584" i="2"/>
  <c r="G584" i="2"/>
  <c r="D585" i="2"/>
  <c r="E585" i="2"/>
  <c r="F585" i="2"/>
  <c r="G585" i="2"/>
  <c r="D586" i="2"/>
  <c r="E586" i="2"/>
  <c r="F586" i="2"/>
  <c r="G586" i="2"/>
  <c r="D587" i="2"/>
  <c r="E587" i="2"/>
  <c r="F587" i="2"/>
  <c r="G587" i="2"/>
  <c r="D588" i="2"/>
  <c r="E588" i="2"/>
  <c r="F588" i="2"/>
  <c r="G588" i="2"/>
  <c r="D589" i="2"/>
  <c r="E589" i="2"/>
  <c r="F589" i="2"/>
  <c r="G589" i="2"/>
  <c r="D590" i="2"/>
  <c r="E590" i="2"/>
  <c r="F590" i="2"/>
  <c r="G590" i="2"/>
  <c r="C591" i="2"/>
  <c r="D591" i="2"/>
  <c r="E591" i="2"/>
  <c r="F591" i="2"/>
  <c r="G591" i="2"/>
  <c r="C592" i="2"/>
  <c r="D592" i="2"/>
  <c r="E592" i="2"/>
  <c r="F592" i="2"/>
  <c r="G592" i="2"/>
  <c r="C593" i="2"/>
  <c r="D593" i="2"/>
  <c r="E593" i="2"/>
  <c r="F593" i="2"/>
  <c r="G593" i="2"/>
  <c r="C594" i="2"/>
  <c r="D594" i="2"/>
  <c r="E594" i="2"/>
  <c r="F594" i="2"/>
  <c r="G594" i="2"/>
  <c r="C595" i="2"/>
  <c r="D595" i="2"/>
  <c r="E595" i="2"/>
  <c r="F595" i="2"/>
  <c r="G595" i="2"/>
  <c r="C596" i="2"/>
  <c r="D596" i="2"/>
  <c r="E596" i="2"/>
  <c r="F596" i="2"/>
  <c r="G596" i="2"/>
  <c r="C597" i="2"/>
  <c r="D597" i="2"/>
  <c r="E597" i="2"/>
  <c r="F597" i="2"/>
  <c r="G597" i="2"/>
  <c r="C602" i="2"/>
  <c r="D602" i="2"/>
  <c r="E602" i="2"/>
  <c r="F602" i="2"/>
  <c r="G602" i="2"/>
  <c r="C605" i="2"/>
  <c r="D605" i="2"/>
  <c r="E605" i="2"/>
  <c r="F605" i="2"/>
  <c r="G605" i="2"/>
  <c r="C606" i="2"/>
  <c r="D606" i="2"/>
  <c r="E606" i="2"/>
  <c r="F606" i="2"/>
  <c r="G606" i="2"/>
  <c r="C607" i="2"/>
  <c r="D607" i="2"/>
  <c r="E607" i="2"/>
  <c r="F607" i="2"/>
  <c r="G607" i="2"/>
  <c r="C608" i="2"/>
  <c r="D608" i="2"/>
  <c r="E608" i="2"/>
  <c r="F608" i="2"/>
  <c r="G608" i="2"/>
  <c r="C609" i="2"/>
  <c r="D609" i="2"/>
  <c r="E609" i="2"/>
  <c r="F609" i="2"/>
  <c r="G609" i="2"/>
  <c r="C610" i="2"/>
  <c r="D610" i="2"/>
  <c r="E610" i="2"/>
  <c r="F610" i="2"/>
  <c r="G610" i="2"/>
  <c r="C611" i="2"/>
  <c r="D611" i="2"/>
  <c r="E611" i="2"/>
  <c r="F611" i="2"/>
  <c r="G611" i="2"/>
  <c r="C612" i="2"/>
  <c r="D612" i="2"/>
  <c r="E612" i="2"/>
  <c r="F612" i="2"/>
  <c r="G612" i="2"/>
  <c r="C616" i="2"/>
  <c r="D616" i="2"/>
  <c r="E616" i="2"/>
  <c r="F616" i="2"/>
  <c r="G616" i="2"/>
  <c r="C617" i="2"/>
  <c r="D617" i="2"/>
  <c r="E617" i="2"/>
  <c r="F617" i="2"/>
  <c r="G617" i="2"/>
  <c r="C618" i="2"/>
  <c r="D618" i="2"/>
  <c r="E618" i="2"/>
  <c r="F618" i="2"/>
  <c r="G618" i="2"/>
  <c r="C619" i="2"/>
  <c r="D619" i="2"/>
  <c r="E619" i="2"/>
  <c r="F619" i="2"/>
  <c r="G619" i="2"/>
  <c r="C620" i="2"/>
  <c r="D620" i="2"/>
  <c r="E620" i="2"/>
  <c r="F620" i="2"/>
  <c r="G620" i="2"/>
  <c r="C621" i="2"/>
  <c r="D621" i="2"/>
  <c r="E621" i="2"/>
  <c r="G621" i="2"/>
  <c r="C622" i="2"/>
  <c r="D622" i="2"/>
  <c r="E622" i="2"/>
  <c r="G622" i="2"/>
  <c r="C623" i="2"/>
  <c r="D623" i="2"/>
  <c r="E623" i="2"/>
  <c r="F623" i="2"/>
  <c r="G623" i="2"/>
  <c r="C624" i="2"/>
  <c r="D624" i="2"/>
  <c r="E624" i="2"/>
  <c r="G624" i="2"/>
  <c r="C625" i="2"/>
  <c r="D625" i="2"/>
  <c r="E625" i="2"/>
  <c r="F625" i="2"/>
  <c r="G625" i="2"/>
  <c r="C626" i="2"/>
  <c r="D626" i="2"/>
  <c r="E626" i="2"/>
  <c r="F626" i="2"/>
  <c r="G626" i="2"/>
  <c r="C627" i="2"/>
  <c r="D627" i="2"/>
  <c r="E627" i="2"/>
  <c r="F627" i="2"/>
  <c r="G627" i="2"/>
  <c r="C628" i="2"/>
  <c r="D628" i="2"/>
  <c r="E628" i="2"/>
  <c r="F628" i="2"/>
  <c r="G628" i="2"/>
  <c r="C629" i="2"/>
  <c r="D629" i="2"/>
  <c r="E629" i="2"/>
  <c r="F629" i="2"/>
  <c r="G629" i="2"/>
  <c r="C630" i="2"/>
  <c r="D630" i="2"/>
  <c r="E630" i="2"/>
  <c r="F630" i="2"/>
  <c r="G630" i="2"/>
  <c r="C631" i="2"/>
  <c r="D631" i="2"/>
  <c r="E631" i="2"/>
  <c r="F631" i="2"/>
  <c r="G631" i="2"/>
  <c r="C632" i="2"/>
  <c r="G632" i="2"/>
  <c r="C633" i="2"/>
  <c r="G633" i="2"/>
  <c r="C634" i="2"/>
  <c r="G634" i="2"/>
  <c r="C635" i="2"/>
  <c r="G635" i="2"/>
  <c r="C636" i="2"/>
  <c r="G636" i="2"/>
  <c r="C637" i="2"/>
  <c r="G637" i="2"/>
  <c r="C638" i="2"/>
  <c r="G638" i="2"/>
  <c r="C639" i="2"/>
  <c r="F639" i="2"/>
  <c r="G639" i="2"/>
  <c r="C640" i="2"/>
  <c r="F640" i="2"/>
  <c r="G640" i="2"/>
  <c r="C641" i="2"/>
  <c r="F641" i="2"/>
  <c r="G641" i="2"/>
  <c r="C642" i="2"/>
  <c r="F642" i="2"/>
  <c r="G642" i="2"/>
  <c r="C643" i="2"/>
  <c r="D643" i="2"/>
  <c r="E643" i="2"/>
  <c r="F643" i="2"/>
  <c r="G643" i="2"/>
  <c r="C644" i="2"/>
  <c r="D644" i="2"/>
  <c r="E644" i="2"/>
  <c r="F644" i="2"/>
  <c r="G644" i="2"/>
  <c r="C645" i="2"/>
  <c r="D645" i="2"/>
  <c r="E645" i="2"/>
  <c r="F645" i="2"/>
  <c r="G645" i="2"/>
  <c r="C646" i="2"/>
  <c r="D646" i="2"/>
  <c r="E646" i="2"/>
  <c r="F646" i="2"/>
  <c r="G646" i="2"/>
  <c r="C647" i="2"/>
  <c r="D647" i="2"/>
  <c r="E647" i="2"/>
  <c r="F647" i="2"/>
  <c r="G647" i="2"/>
  <c r="C648" i="2"/>
  <c r="D648" i="2"/>
  <c r="E648" i="2"/>
  <c r="F648" i="2"/>
  <c r="G648" i="2"/>
  <c r="C649" i="2"/>
  <c r="D649" i="2"/>
  <c r="E649" i="2"/>
  <c r="F649" i="2"/>
  <c r="G649" i="2"/>
  <c r="C650" i="2"/>
  <c r="D650" i="2"/>
  <c r="E650" i="2"/>
  <c r="F650" i="2"/>
  <c r="G650" i="2"/>
  <c r="C651" i="2"/>
  <c r="D651" i="2"/>
  <c r="E651" i="2"/>
  <c r="F651" i="2"/>
  <c r="G651" i="2"/>
  <c r="C652" i="2"/>
  <c r="D652" i="2"/>
  <c r="E652" i="2"/>
  <c r="F652" i="2"/>
  <c r="G652" i="2"/>
  <c r="C653" i="2"/>
  <c r="D653" i="2"/>
  <c r="E653" i="2"/>
  <c r="F653" i="2"/>
  <c r="G653" i="2"/>
  <c r="C654" i="2"/>
  <c r="D654" i="2"/>
  <c r="E654" i="2"/>
  <c r="F654" i="2"/>
  <c r="G654" i="2"/>
  <c r="C655" i="2"/>
  <c r="D655" i="2"/>
  <c r="E655" i="2"/>
  <c r="F655" i="2"/>
  <c r="G655" i="2"/>
  <c r="C656" i="2"/>
  <c r="D656" i="2"/>
  <c r="E656" i="2"/>
  <c r="F656" i="2"/>
  <c r="G656" i="2"/>
  <c r="C657" i="2"/>
  <c r="D657" i="2"/>
  <c r="E657" i="2"/>
  <c r="F657" i="2"/>
  <c r="G657" i="2"/>
  <c r="C658" i="2"/>
  <c r="D658" i="2"/>
  <c r="E658" i="2"/>
  <c r="F658" i="2"/>
  <c r="G658" i="2"/>
  <c r="C659" i="2"/>
  <c r="D659" i="2"/>
  <c r="E659" i="2"/>
  <c r="F659" i="2"/>
  <c r="G659" i="2"/>
  <c r="C660" i="2"/>
  <c r="D660" i="2"/>
  <c r="E660" i="2"/>
  <c r="F660" i="2"/>
  <c r="G660" i="2"/>
  <c r="C661" i="2"/>
  <c r="D661" i="2"/>
  <c r="E661" i="2"/>
  <c r="F661" i="2"/>
  <c r="G661" i="2"/>
  <c r="C662" i="2"/>
  <c r="D662" i="2"/>
  <c r="E662" i="2"/>
  <c r="G662" i="2"/>
  <c r="C663" i="2"/>
  <c r="D663" i="2"/>
  <c r="E663" i="2"/>
  <c r="G663" i="2"/>
  <c r="C664" i="2"/>
  <c r="D664" i="2"/>
  <c r="E664" i="2"/>
  <c r="F664" i="2"/>
  <c r="G664" i="2"/>
  <c r="C665" i="2"/>
  <c r="D665" i="2"/>
  <c r="E665" i="2"/>
  <c r="F665" i="2"/>
  <c r="G665" i="2"/>
  <c r="C666" i="2"/>
  <c r="D666" i="2"/>
  <c r="E666" i="2"/>
  <c r="F666" i="2"/>
  <c r="G666" i="2"/>
  <c r="C667" i="2"/>
  <c r="D667" i="2"/>
  <c r="E667" i="2"/>
  <c r="F667" i="2"/>
  <c r="G667" i="2"/>
  <c r="C668" i="2"/>
  <c r="D668" i="2"/>
  <c r="E668" i="2"/>
  <c r="F668" i="2"/>
  <c r="G668" i="2"/>
  <c r="C669" i="2"/>
  <c r="D669" i="2"/>
  <c r="E669" i="2"/>
  <c r="F669" i="2"/>
  <c r="G669" i="2"/>
  <c r="C670" i="2"/>
  <c r="D670" i="2"/>
  <c r="E670" i="2"/>
  <c r="F670" i="2"/>
  <c r="C671" i="2"/>
  <c r="D671" i="2"/>
  <c r="E671" i="2"/>
  <c r="F671" i="2"/>
  <c r="C672" i="2"/>
  <c r="D672" i="2"/>
  <c r="E672" i="2"/>
  <c r="F672" i="2"/>
  <c r="G672" i="2"/>
  <c r="C673" i="2"/>
  <c r="D673" i="2"/>
  <c r="E673" i="2"/>
  <c r="F673" i="2"/>
  <c r="G673" i="2"/>
  <c r="C674" i="2"/>
  <c r="D674" i="2"/>
  <c r="E674" i="2"/>
  <c r="F674" i="2"/>
  <c r="G674" i="2"/>
  <c r="C675" i="2"/>
  <c r="D675" i="2"/>
  <c r="E675" i="2"/>
  <c r="F675" i="2"/>
  <c r="G675" i="2"/>
  <c r="C678" i="2"/>
  <c r="D678" i="2"/>
  <c r="E678" i="2"/>
  <c r="F678" i="2"/>
  <c r="G678" i="2"/>
  <c r="C679" i="2"/>
  <c r="D679" i="2"/>
  <c r="E679" i="2"/>
  <c r="F679" i="2"/>
  <c r="G679" i="2"/>
  <c r="C680" i="2"/>
  <c r="D680" i="2"/>
  <c r="E680" i="2"/>
  <c r="F680" i="2"/>
  <c r="G680" i="2"/>
  <c r="C681" i="2"/>
  <c r="D681" i="2"/>
  <c r="E681" i="2"/>
  <c r="F681" i="2"/>
  <c r="G681" i="2"/>
  <c r="C682" i="2"/>
  <c r="D682" i="2"/>
  <c r="E682" i="2"/>
  <c r="F682" i="2"/>
  <c r="G682" i="2"/>
  <c r="C683" i="2"/>
  <c r="D683" i="2"/>
  <c r="E683" i="2"/>
  <c r="F683" i="2"/>
  <c r="G683" i="2"/>
  <c r="C684" i="2"/>
  <c r="D684" i="2"/>
  <c r="E684" i="2"/>
  <c r="F684" i="2"/>
  <c r="G684" i="2"/>
  <c r="C685" i="2"/>
  <c r="D685" i="2"/>
  <c r="E685" i="2"/>
  <c r="F685" i="2"/>
  <c r="G685" i="2"/>
  <c r="C686" i="2"/>
  <c r="D686" i="2"/>
  <c r="E686" i="2"/>
  <c r="F686" i="2"/>
  <c r="G686" i="2"/>
  <c r="C687" i="2"/>
  <c r="D687" i="2"/>
  <c r="E687" i="2"/>
  <c r="F687" i="2"/>
  <c r="G687" i="2"/>
  <c r="C688" i="2"/>
  <c r="D688" i="2"/>
  <c r="E688" i="2"/>
  <c r="F688" i="2"/>
  <c r="G688" i="2"/>
  <c r="C689" i="2"/>
  <c r="D689" i="2"/>
  <c r="E689" i="2"/>
  <c r="F689" i="2"/>
  <c r="G689" i="2"/>
  <c r="C690" i="2"/>
  <c r="D690" i="2"/>
  <c r="E690" i="2"/>
  <c r="F690" i="2"/>
  <c r="G690" i="2"/>
  <c r="C691" i="2"/>
  <c r="D691" i="2"/>
  <c r="E691" i="2"/>
  <c r="F691" i="2"/>
  <c r="G691" i="2"/>
  <c r="G481" i="2"/>
  <c r="G482" i="2"/>
  <c r="G483" i="2"/>
  <c r="G484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13" i="2"/>
  <c r="G516" i="2"/>
  <c r="G530" i="2"/>
  <c r="G531" i="2"/>
  <c r="G474" i="2"/>
  <c r="G475" i="2"/>
  <c r="G476" i="2"/>
  <c r="G478" i="2"/>
  <c r="G479" i="2"/>
  <c r="G480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54" i="2"/>
  <c r="G455" i="2"/>
  <c r="G456" i="2"/>
  <c r="G457" i="2"/>
  <c r="G458" i="2"/>
  <c r="G447" i="2"/>
  <c r="G448" i="2"/>
  <c r="G449" i="2"/>
  <c r="G450" i="2"/>
  <c r="G451" i="2"/>
  <c r="G452" i="2"/>
  <c r="G453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22" i="2"/>
  <c r="G423" i="2"/>
  <c r="G424" i="2"/>
  <c r="G425" i="2"/>
  <c r="G426" i="2"/>
  <c r="G427" i="2"/>
  <c r="G428" i="2"/>
  <c r="G429" i="2"/>
  <c r="G430" i="2"/>
  <c r="G431" i="2"/>
  <c r="G432" i="2"/>
  <c r="G414" i="2"/>
  <c r="G415" i="2"/>
  <c r="G416" i="2"/>
  <c r="G417" i="2"/>
  <c r="G418" i="2"/>
  <c r="G419" i="2"/>
  <c r="G420" i="2"/>
  <c r="C489" i="2"/>
  <c r="D489" i="2"/>
  <c r="E489" i="2"/>
  <c r="F489" i="2"/>
  <c r="C490" i="2"/>
  <c r="D490" i="2"/>
  <c r="E490" i="2"/>
  <c r="F490" i="2"/>
  <c r="C491" i="2"/>
  <c r="D491" i="2"/>
  <c r="E491" i="2"/>
  <c r="F491" i="2"/>
  <c r="C492" i="2"/>
  <c r="D492" i="2"/>
  <c r="E492" i="2"/>
  <c r="F492" i="2"/>
  <c r="C493" i="2"/>
  <c r="D493" i="2"/>
  <c r="E493" i="2"/>
  <c r="F493" i="2"/>
  <c r="C494" i="2"/>
  <c r="D494" i="2"/>
  <c r="E494" i="2"/>
  <c r="F494" i="2"/>
  <c r="C495" i="2"/>
  <c r="D495" i="2"/>
  <c r="E495" i="2"/>
  <c r="F495" i="2"/>
  <c r="C496" i="2"/>
  <c r="D496" i="2"/>
  <c r="E496" i="2"/>
  <c r="F496" i="2"/>
  <c r="C497" i="2"/>
  <c r="D497" i="2"/>
  <c r="E497" i="2"/>
  <c r="F497" i="2"/>
  <c r="C498" i="2"/>
  <c r="D498" i="2"/>
  <c r="E498" i="2"/>
  <c r="F498" i="2"/>
  <c r="C499" i="2"/>
  <c r="D499" i="2"/>
  <c r="E499" i="2"/>
  <c r="F499" i="2"/>
  <c r="C500" i="2"/>
  <c r="D500" i="2"/>
  <c r="E500" i="2"/>
  <c r="F500" i="2"/>
  <c r="C501" i="2"/>
  <c r="D501" i="2"/>
  <c r="E501" i="2"/>
  <c r="F501" i="2"/>
  <c r="C502" i="2"/>
  <c r="D502" i="2"/>
  <c r="E502" i="2"/>
  <c r="F502" i="2"/>
  <c r="C503" i="2"/>
  <c r="D503" i="2"/>
  <c r="E503" i="2"/>
  <c r="F503" i="2"/>
  <c r="C504" i="2"/>
  <c r="D504" i="2"/>
  <c r="E504" i="2"/>
  <c r="F504" i="2"/>
  <c r="C505" i="2"/>
  <c r="D505" i="2"/>
  <c r="E505" i="2"/>
  <c r="F505" i="2"/>
  <c r="C506" i="2"/>
  <c r="D506" i="2"/>
  <c r="E506" i="2"/>
  <c r="F506" i="2"/>
  <c r="C507" i="2"/>
  <c r="D507" i="2"/>
  <c r="E507" i="2"/>
  <c r="F507" i="2"/>
  <c r="C508" i="2"/>
  <c r="D508" i="2"/>
  <c r="E508" i="2"/>
  <c r="F508" i="2"/>
  <c r="C513" i="2"/>
  <c r="D513" i="2"/>
  <c r="E513" i="2"/>
  <c r="F513" i="2"/>
  <c r="C516" i="2"/>
  <c r="D516" i="2"/>
  <c r="E516" i="2"/>
  <c r="F516" i="2"/>
  <c r="C530" i="2"/>
  <c r="D530" i="2"/>
  <c r="E530" i="2"/>
  <c r="F530" i="2"/>
  <c r="C531" i="2"/>
  <c r="D531" i="2"/>
  <c r="E531" i="2"/>
  <c r="F531" i="2"/>
  <c r="C478" i="2"/>
  <c r="D478" i="2"/>
  <c r="E478" i="2"/>
  <c r="F478" i="2"/>
  <c r="C479" i="2"/>
  <c r="D479" i="2"/>
  <c r="E479" i="2"/>
  <c r="F479" i="2"/>
  <c r="C480" i="2"/>
  <c r="D480" i="2"/>
  <c r="E480" i="2"/>
  <c r="F480" i="2"/>
  <c r="C481" i="2"/>
  <c r="D481" i="2"/>
  <c r="E481" i="2"/>
  <c r="F481" i="2"/>
  <c r="C482" i="2"/>
  <c r="D482" i="2"/>
  <c r="E482" i="2"/>
  <c r="F482" i="2"/>
  <c r="C483" i="2"/>
  <c r="D483" i="2"/>
  <c r="E483" i="2"/>
  <c r="F483" i="2"/>
  <c r="C484" i="2"/>
  <c r="D484" i="2"/>
  <c r="E484" i="2"/>
  <c r="F484" i="2"/>
  <c r="C486" i="2"/>
  <c r="D486" i="2"/>
  <c r="E486" i="2"/>
  <c r="F486" i="2"/>
  <c r="C487" i="2"/>
  <c r="D487" i="2"/>
  <c r="E487" i="2"/>
  <c r="F487" i="2"/>
  <c r="C488" i="2"/>
  <c r="D488" i="2"/>
  <c r="E488" i="2"/>
  <c r="F488" i="2"/>
  <c r="C476" i="2"/>
  <c r="F476" i="2"/>
  <c r="E476" i="2"/>
  <c r="D476" i="2"/>
  <c r="F475" i="2"/>
  <c r="E475" i="2"/>
  <c r="D475" i="2"/>
  <c r="C475" i="2"/>
  <c r="F474" i="2"/>
  <c r="E474" i="2"/>
  <c r="D474" i="2"/>
  <c r="C474" i="2"/>
  <c r="F473" i="2"/>
  <c r="E473" i="2"/>
  <c r="D473" i="2"/>
  <c r="C473" i="2"/>
  <c r="F472" i="2"/>
  <c r="E472" i="2"/>
  <c r="D472" i="2"/>
  <c r="C472" i="2"/>
  <c r="F471" i="2"/>
  <c r="E471" i="2"/>
  <c r="D471" i="2"/>
  <c r="C471" i="2"/>
  <c r="F470" i="2"/>
  <c r="E470" i="2"/>
  <c r="D470" i="2"/>
  <c r="C470" i="2"/>
  <c r="C466" i="2"/>
  <c r="D466" i="2"/>
  <c r="E466" i="2"/>
  <c r="F466" i="2"/>
  <c r="C467" i="2"/>
  <c r="D467" i="2"/>
  <c r="E467" i="2"/>
  <c r="F467" i="2"/>
  <c r="C468" i="2"/>
  <c r="D468" i="2"/>
  <c r="E468" i="2"/>
  <c r="F468" i="2"/>
  <c r="C469" i="2"/>
  <c r="D469" i="2"/>
  <c r="E469" i="2"/>
  <c r="F469" i="2"/>
  <c r="F465" i="2"/>
  <c r="E465" i="2"/>
  <c r="D465" i="2"/>
  <c r="C465" i="2"/>
  <c r="C461" i="2"/>
  <c r="C462" i="2"/>
  <c r="C463" i="2"/>
  <c r="C464" i="2"/>
  <c r="F461" i="2"/>
  <c r="F462" i="2"/>
  <c r="F463" i="2"/>
  <c r="F464" i="2"/>
  <c r="E461" i="2"/>
  <c r="E462" i="2"/>
  <c r="E463" i="2"/>
  <c r="E464" i="2"/>
  <c r="D461" i="2"/>
  <c r="D462" i="2"/>
  <c r="D463" i="2"/>
  <c r="D464" i="2"/>
  <c r="D460" i="2"/>
  <c r="F459" i="2"/>
  <c r="E459" i="2"/>
  <c r="D459" i="2"/>
  <c r="C459" i="2"/>
  <c r="F457" i="2"/>
  <c r="F456" i="2"/>
  <c r="F455" i="2"/>
  <c r="F454" i="2"/>
  <c r="F453" i="2"/>
  <c r="E457" i="2"/>
  <c r="D457" i="2"/>
  <c r="C457" i="2"/>
  <c r="E456" i="2"/>
  <c r="D456" i="2"/>
  <c r="C456" i="2"/>
  <c r="E455" i="2"/>
  <c r="D455" i="2"/>
  <c r="C455" i="2"/>
  <c r="E454" i="2"/>
  <c r="D454" i="2"/>
  <c r="C454" i="2"/>
  <c r="F452" i="2"/>
  <c r="E452" i="2"/>
  <c r="D452" i="2"/>
  <c r="C452" i="2"/>
  <c r="F451" i="2"/>
  <c r="E451" i="2"/>
  <c r="D451" i="2"/>
  <c r="C451" i="2"/>
  <c r="F450" i="2"/>
  <c r="E450" i="2"/>
  <c r="D450" i="2"/>
  <c r="C450" i="2"/>
  <c r="F449" i="2"/>
  <c r="E449" i="2"/>
  <c r="D449" i="2"/>
  <c r="C449" i="2"/>
  <c r="F448" i="2"/>
  <c r="E448" i="2"/>
  <c r="D448" i="2"/>
  <c r="C448" i="2"/>
  <c r="F446" i="2"/>
  <c r="E446" i="2"/>
  <c r="D446" i="2"/>
  <c r="C446" i="2"/>
  <c r="F445" i="2"/>
  <c r="E445" i="2"/>
  <c r="D445" i="2"/>
  <c r="C445" i="2"/>
  <c r="F444" i="2"/>
  <c r="E444" i="2"/>
  <c r="D444" i="2"/>
  <c r="C444" i="2"/>
  <c r="F443" i="2"/>
  <c r="E443" i="2"/>
  <c r="D443" i="2"/>
  <c r="C443" i="2"/>
  <c r="F442" i="2"/>
  <c r="E442" i="2"/>
  <c r="D442" i="2"/>
  <c r="C442" i="2"/>
  <c r="F441" i="2"/>
  <c r="E441" i="2"/>
  <c r="D441" i="2"/>
  <c r="C441" i="2"/>
  <c r="F440" i="2"/>
  <c r="E440" i="2"/>
  <c r="D440" i="2"/>
  <c r="C440" i="2"/>
  <c r="J47" i="6"/>
  <c r="C47" i="6"/>
  <c r="D47" i="6"/>
  <c r="E47" i="6"/>
  <c r="F47" i="6"/>
  <c r="G47" i="6"/>
  <c r="H47" i="6"/>
  <c r="I47" i="6"/>
  <c r="A39" i="1"/>
  <c r="A40" i="1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21" i="2"/>
  <c r="G388" i="2"/>
  <c r="G389" i="2"/>
  <c r="G390" i="2"/>
  <c r="G391" i="2"/>
  <c r="G392" i="2"/>
  <c r="G393" i="2"/>
  <c r="G394" i="2"/>
  <c r="G395" i="2"/>
  <c r="G396" i="2"/>
  <c r="G397" i="2"/>
  <c r="G387" i="2"/>
  <c r="C399" i="2"/>
  <c r="D399" i="2"/>
  <c r="E399" i="2"/>
  <c r="F399" i="2"/>
  <c r="C400" i="2"/>
  <c r="D400" i="2"/>
  <c r="E400" i="2"/>
  <c r="F400" i="2"/>
  <c r="C401" i="2"/>
  <c r="D401" i="2"/>
  <c r="E401" i="2"/>
  <c r="F401" i="2"/>
  <c r="C402" i="2"/>
  <c r="D402" i="2"/>
  <c r="E402" i="2"/>
  <c r="F402" i="2"/>
  <c r="C403" i="2"/>
  <c r="D403" i="2"/>
  <c r="E403" i="2"/>
  <c r="F403" i="2"/>
  <c r="C404" i="2"/>
  <c r="D404" i="2"/>
  <c r="E404" i="2"/>
  <c r="F404" i="2"/>
  <c r="C405" i="2"/>
  <c r="D405" i="2"/>
  <c r="E405" i="2"/>
  <c r="F405" i="2"/>
  <c r="C406" i="2"/>
  <c r="D406" i="2"/>
  <c r="E406" i="2"/>
  <c r="F406" i="2"/>
  <c r="C407" i="2"/>
  <c r="D407" i="2"/>
  <c r="E407" i="2"/>
  <c r="F407" i="2"/>
  <c r="C408" i="2"/>
  <c r="D408" i="2"/>
  <c r="E408" i="2"/>
  <c r="F408" i="2"/>
  <c r="C409" i="2"/>
  <c r="D409" i="2"/>
  <c r="E409" i="2"/>
  <c r="F409" i="2"/>
  <c r="C410" i="2"/>
  <c r="D410" i="2"/>
  <c r="E410" i="2"/>
  <c r="F410" i="2"/>
  <c r="C411" i="2"/>
  <c r="D411" i="2"/>
  <c r="E411" i="2"/>
  <c r="F411" i="2"/>
  <c r="C412" i="2"/>
  <c r="D412" i="2"/>
  <c r="E412" i="2"/>
  <c r="C413" i="2"/>
  <c r="D413" i="2"/>
  <c r="E413" i="2"/>
  <c r="C414" i="2"/>
  <c r="D414" i="2"/>
  <c r="E414" i="2"/>
  <c r="F414" i="2"/>
  <c r="C415" i="2"/>
  <c r="D415" i="2"/>
  <c r="E415" i="2"/>
  <c r="F415" i="2"/>
  <c r="C416" i="2"/>
  <c r="D416" i="2"/>
  <c r="E416" i="2"/>
  <c r="F416" i="2"/>
  <c r="C417" i="2"/>
  <c r="D417" i="2"/>
  <c r="E417" i="2"/>
  <c r="F417" i="2"/>
  <c r="C418" i="2"/>
  <c r="D418" i="2"/>
  <c r="E418" i="2"/>
  <c r="F418" i="2"/>
  <c r="C419" i="2"/>
  <c r="D419" i="2"/>
  <c r="E419" i="2"/>
  <c r="F419" i="2"/>
  <c r="C420" i="2"/>
  <c r="D420" i="2"/>
  <c r="E420" i="2"/>
  <c r="F420" i="2"/>
  <c r="C421" i="2"/>
  <c r="D421" i="2"/>
  <c r="E421" i="2"/>
  <c r="F421" i="2"/>
  <c r="C422" i="2"/>
  <c r="D422" i="2"/>
  <c r="E422" i="2"/>
  <c r="F422" i="2"/>
  <c r="C423" i="2"/>
  <c r="D423" i="2"/>
  <c r="E423" i="2"/>
  <c r="F423" i="2"/>
  <c r="C424" i="2"/>
  <c r="D424" i="2"/>
  <c r="E424" i="2"/>
  <c r="F424" i="2"/>
  <c r="C425" i="2"/>
  <c r="D425" i="2"/>
  <c r="E425" i="2"/>
  <c r="F425" i="2"/>
  <c r="C426" i="2"/>
  <c r="D426" i="2"/>
  <c r="E426" i="2"/>
  <c r="F426" i="2"/>
  <c r="C427" i="2"/>
  <c r="D427" i="2"/>
  <c r="E427" i="2"/>
  <c r="F427" i="2"/>
  <c r="C428" i="2"/>
  <c r="D428" i="2"/>
  <c r="E428" i="2"/>
  <c r="F428" i="2"/>
  <c r="C429" i="2"/>
  <c r="D429" i="2"/>
  <c r="E429" i="2"/>
  <c r="F429" i="2"/>
  <c r="C430" i="2"/>
  <c r="D430" i="2"/>
  <c r="E430" i="2"/>
  <c r="F430" i="2"/>
  <c r="C431" i="2"/>
  <c r="D431" i="2"/>
  <c r="E431" i="2"/>
  <c r="F431" i="2"/>
  <c r="C432" i="2"/>
  <c r="D432" i="2"/>
  <c r="E432" i="2"/>
  <c r="F432" i="2"/>
  <c r="C433" i="2"/>
  <c r="D433" i="2"/>
  <c r="E433" i="2"/>
  <c r="F433" i="2"/>
  <c r="C434" i="2"/>
  <c r="D434" i="2"/>
  <c r="E434" i="2"/>
  <c r="F434" i="2"/>
  <c r="C435" i="2"/>
  <c r="D435" i="2"/>
  <c r="E435" i="2"/>
  <c r="F435" i="2"/>
  <c r="C436" i="2"/>
  <c r="D436" i="2"/>
  <c r="E436" i="2"/>
  <c r="F436" i="2"/>
  <c r="C437" i="2"/>
  <c r="D437" i="2"/>
  <c r="E437" i="2"/>
  <c r="F437" i="2"/>
  <c r="C438" i="2"/>
  <c r="D438" i="2"/>
  <c r="E438" i="2"/>
  <c r="F438" i="2"/>
  <c r="C439" i="2"/>
  <c r="D439" i="2"/>
  <c r="E439" i="2"/>
  <c r="F439" i="2"/>
  <c r="C447" i="2"/>
  <c r="D447" i="2"/>
  <c r="E447" i="2"/>
  <c r="F447" i="2"/>
  <c r="C453" i="2"/>
  <c r="D453" i="2"/>
  <c r="E453" i="2"/>
  <c r="C458" i="2"/>
  <c r="D458" i="2"/>
  <c r="E458" i="2"/>
  <c r="F458" i="2"/>
  <c r="C460" i="2"/>
  <c r="E460" i="2"/>
  <c r="F460" i="2"/>
  <c r="C390" i="2"/>
  <c r="C392" i="2"/>
  <c r="D392" i="2"/>
  <c r="E392" i="2"/>
  <c r="F392" i="2"/>
  <c r="C393" i="2"/>
  <c r="D393" i="2"/>
  <c r="E393" i="2"/>
  <c r="F393" i="2"/>
  <c r="C394" i="2"/>
  <c r="D394" i="2"/>
  <c r="E394" i="2"/>
  <c r="F394" i="2"/>
  <c r="C395" i="2"/>
  <c r="D395" i="2"/>
  <c r="E395" i="2"/>
  <c r="F395" i="2"/>
  <c r="C396" i="2"/>
  <c r="D396" i="2"/>
  <c r="E396" i="2"/>
  <c r="F396" i="2"/>
  <c r="C397" i="2"/>
  <c r="D397" i="2"/>
  <c r="E397" i="2"/>
  <c r="F397" i="2"/>
  <c r="C398" i="2"/>
  <c r="D398" i="2"/>
  <c r="E398" i="2"/>
  <c r="F398" i="2"/>
  <c r="F391" i="2"/>
  <c r="C391" i="2"/>
  <c r="F389" i="2"/>
  <c r="F390" i="2"/>
  <c r="E389" i="2"/>
  <c r="E390" i="2"/>
  <c r="E391" i="2"/>
  <c r="D389" i="2"/>
  <c r="D390" i="2"/>
  <c r="D391" i="2"/>
  <c r="C389" i="2"/>
  <c r="C388" i="2"/>
  <c r="D388" i="2"/>
  <c r="E388" i="2"/>
  <c r="C381" i="2"/>
  <c r="D381" i="2"/>
  <c r="E381" i="2"/>
  <c r="F381" i="2"/>
  <c r="C382" i="2"/>
  <c r="D382" i="2"/>
  <c r="E382" i="2"/>
  <c r="F382" i="2"/>
  <c r="C383" i="2"/>
  <c r="D383" i="2"/>
  <c r="E383" i="2"/>
  <c r="F383" i="2"/>
  <c r="G383" i="2"/>
  <c r="C384" i="2"/>
  <c r="D384" i="2"/>
  <c r="E384" i="2"/>
  <c r="F384" i="2"/>
  <c r="G384" i="2"/>
  <c r="D385" i="2"/>
  <c r="E385" i="2"/>
  <c r="F385" i="2"/>
  <c r="G385" i="2"/>
  <c r="D386" i="2"/>
  <c r="E386" i="2"/>
  <c r="F386" i="2"/>
  <c r="G386" i="2"/>
  <c r="C387" i="2"/>
  <c r="D387" i="2"/>
  <c r="E387" i="2"/>
  <c r="A38" i="1"/>
  <c r="C373" i="2"/>
  <c r="F372" i="2"/>
  <c r="D372" i="2"/>
  <c r="C365" i="2"/>
  <c r="C366" i="2"/>
  <c r="C367" i="2"/>
  <c r="C368" i="2"/>
  <c r="C369" i="2"/>
  <c r="C370" i="2"/>
  <c r="C371" i="2"/>
  <c r="G365" i="2"/>
  <c r="G366" i="2"/>
  <c r="G367" i="2"/>
  <c r="G368" i="2"/>
  <c r="G369" i="2"/>
  <c r="G370" i="2"/>
  <c r="G371" i="2"/>
  <c r="G372" i="2"/>
  <c r="C372" i="2"/>
  <c r="D365" i="2"/>
  <c r="D366" i="2"/>
  <c r="D367" i="2"/>
  <c r="D368" i="2"/>
  <c r="D369" i="2"/>
  <c r="D370" i="2"/>
  <c r="D371" i="2"/>
  <c r="E365" i="2"/>
  <c r="E366" i="2"/>
  <c r="E367" i="2"/>
  <c r="E368" i="2"/>
  <c r="E369" i="2"/>
  <c r="E370" i="2"/>
  <c r="E371" i="2"/>
  <c r="E372" i="2"/>
  <c r="F365" i="2"/>
  <c r="F366" i="2"/>
  <c r="F367" i="2"/>
  <c r="F368" i="2"/>
  <c r="F369" i="2"/>
  <c r="F370" i="2"/>
  <c r="F371" i="2"/>
  <c r="C364" i="2"/>
  <c r="D364" i="2"/>
  <c r="E364" i="2"/>
  <c r="F364" i="2"/>
  <c r="G364" i="2"/>
  <c r="C363" i="2"/>
  <c r="D363" i="2"/>
  <c r="E363" i="2"/>
  <c r="F363" i="2"/>
  <c r="G363" i="2"/>
  <c r="C362" i="2"/>
  <c r="D362" i="2"/>
  <c r="E362" i="2"/>
  <c r="F362" i="2"/>
  <c r="G362" i="2"/>
  <c r="C361" i="2"/>
  <c r="D361" i="2"/>
  <c r="E361" i="2"/>
  <c r="F361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G344" i="2"/>
  <c r="F344" i="2"/>
  <c r="E344" i="2"/>
  <c r="D344" i="2"/>
  <c r="C344" i="2"/>
  <c r="G343" i="2"/>
  <c r="F343" i="2"/>
  <c r="E343" i="2"/>
  <c r="D343" i="2"/>
  <c r="G342" i="2"/>
  <c r="F342" i="2"/>
  <c r="E342" i="2"/>
  <c r="D342" i="2"/>
  <c r="C341" i="2"/>
  <c r="D341" i="2"/>
  <c r="E341" i="2"/>
  <c r="F341" i="2"/>
  <c r="G341" i="2"/>
  <c r="C340" i="2"/>
  <c r="D340" i="2"/>
  <c r="E340" i="2"/>
  <c r="F340" i="2"/>
  <c r="G340" i="2"/>
  <c r="G336" i="2"/>
  <c r="F336" i="2"/>
  <c r="E327" i="2"/>
  <c r="E328" i="2"/>
  <c r="E329" i="2"/>
  <c r="E330" i="2"/>
  <c r="E331" i="2"/>
  <c r="G337" i="2"/>
  <c r="G338" i="2"/>
  <c r="G339" i="2"/>
  <c r="F337" i="2"/>
  <c r="F338" i="2"/>
  <c r="F339" i="2"/>
  <c r="E338" i="2"/>
  <c r="E339" i="2"/>
  <c r="D337" i="2"/>
  <c r="D338" i="2"/>
  <c r="D339" i="2"/>
  <c r="C337" i="2"/>
  <c r="C338" i="2"/>
  <c r="C339" i="2"/>
  <c r="G332" i="2"/>
  <c r="G333" i="2"/>
  <c r="G334" i="2"/>
  <c r="G335" i="2"/>
  <c r="F332" i="2"/>
  <c r="F333" i="2"/>
  <c r="F334" i="2"/>
  <c r="F335" i="2"/>
  <c r="D332" i="2"/>
  <c r="D333" i="2"/>
  <c r="D334" i="2"/>
  <c r="D335" i="2"/>
  <c r="C332" i="2"/>
  <c r="C333" i="2"/>
  <c r="C334" i="2"/>
  <c r="C335" i="2"/>
  <c r="C336" i="2"/>
  <c r="E332" i="2"/>
  <c r="E333" i="2"/>
  <c r="E334" i="2"/>
  <c r="E335" i="2"/>
  <c r="G327" i="2"/>
  <c r="G328" i="2"/>
  <c r="G329" i="2"/>
  <c r="G330" i="2"/>
  <c r="G331" i="2"/>
  <c r="F327" i="2"/>
  <c r="F328" i="2"/>
  <c r="F329" i="2"/>
  <c r="F330" i="2"/>
  <c r="F331" i="2"/>
  <c r="D327" i="2"/>
  <c r="D328" i="2"/>
  <c r="D329" i="2"/>
  <c r="D330" i="2"/>
  <c r="D331" i="2"/>
  <c r="C327" i="2"/>
  <c r="C328" i="2"/>
  <c r="C329" i="2"/>
  <c r="C330" i="2"/>
  <c r="C331" i="2"/>
  <c r="C326" i="2"/>
  <c r="D326" i="2"/>
  <c r="E326" i="2"/>
  <c r="F326" i="2"/>
  <c r="G326" i="2"/>
  <c r="G325" i="2"/>
  <c r="F325" i="2"/>
  <c r="E325" i="2"/>
  <c r="D325" i="2"/>
  <c r="C325" i="2"/>
  <c r="C324" i="2"/>
  <c r="D324" i="2"/>
  <c r="E324" i="2"/>
  <c r="F324" i="2"/>
  <c r="G324" i="2"/>
  <c r="C323" i="2"/>
  <c r="D323" i="2"/>
  <c r="E323" i="2"/>
  <c r="F323" i="2"/>
  <c r="G323" i="2"/>
  <c r="C322" i="2"/>
  <c r="D322" i="2"/>
  <c r="E322" i="2"/>
  <c r="F322" i="2"/>
  <c r="G322" i="2"/>
  <c r="C321" i="2"/>
  <c r="D321" i="2"/>
  <c r="E321" i="2"/>
  <c r="F321" i="2"/>
  <c r="G321" i="2"/>
  <c r="C307" i="2"/>
  <c r="C308" i="2"/>
  <c r="C309" i="2"/>
  <c r="C310" i="2"/>
  <c r="C311" i="2"/>
  <c r="C312" i="2"/>
  <c r="C313" i="2"/>
  <c r="C314" i="2"/>
  <c r="C315" i="2"/>
  <c r="C316" i="2"/>
  <c r="C317" i="2"/>
  <c r="A37" i="1"/>
  <c r="A36" i="1"/>
  <c r="F5" i="2"/>
  <c r="C296" i="2"/>
  <c r="D296" i="2"/>
  <c r="E296" i="2"/>
  <c r="F296" i="2"/>
  <c r="G296" i="2"/>
  <c r="C297" i="2"/>
  <c r="D297" i="2"/>
  <c r="E297" i="2"/>
  <c r="F297" i="2"/>
  <c r="G297" i="2"/>
  <c r="C298" i="2"/>
  <c r="D298" i="2"/>
  <c r="E298" i="2"/>
  <c r="F298" i="2"/>
  <c r="G298" i="2"/>
  <c r="C299" i="2"/>
  <c r="D299" i="2"/>
  <c r="E299" i="2"/>
  <c r="F299" i="2"/>
  <c r="G299" i="2"/>
  <c r="C300" i="2"/>
  <c r="D300" i="2"/>
  <c r="E300" i="2"/>
  <c r="F300" i="2"/>
  <c r="G300" i="2"/>
  <c r="C301" i="2"/>
  <c r="D301" i="2"/>
  <c r="E301" i="2"/>
  <c r="F301" i="2"/>
  <c r="G301" i="2"/>
  <c r="C302" i="2"/>
  <c r="D302" i="2"/>
  <c r="E302" i="2"/>
  <c r="F302" i="2"/>
  <c r="G302" i="2"/>
  <c r="C303" i="2"/>
  <c r="D303" i="2"/>
  <c r="E303" i="2"/>
  <c r="F303" i="2"/>
  <c r="G303" i="2"/>
  <c r="C304" i="2"/>
  <c r="D304" i="2"/>
  <c r="E304" i="2"/>
  <c r="F304" i="2"/>
  <c r="G304" i="2"/>
  <c r="C305" i="2"/>
  <c r="D305" i="2"/>
  <c r="E305" i="2"/>
  <c r="F305" i="2"/>
  <c r="G305" i="2"/>
  <c r="C306" i="2"/>
  <c r="D306" i="2"/>
  <c r="E306" i="2"/>
  <c r="F306" i="2"/>
  <c r="G306" i="2"/>
  <c r="D307" i="2"/>
  <c r="E307" i="2"/>
  <c r="F307" i="2"/>
  <c r="G307" i="2"/>
  <c r="D308" i="2"/>
  <c r="E308" i="2"/>
  <c r="F308" i="2"/>
  <c r="G308" i="2"/>
  <c r="D309" i="2"/>
  <c r="E309" i="2"/>
  <c r="F309" i="2"/>
  <c r="G309" i="2"/>
  <c r="D310" i="2"/>
  <c r="E310" i="2"/>
  <c r="F310" i="2"/>
  <c r="G310" i="2"/>
  <c r="D311" i="2"/>
  <c r="E311" i="2"/>
  <c r="F311" i="2"/>
  <c r="G311" i="2"/>
  <c r="D312" i="2"/>
  <c r="E312" i="2"/>
  <c r="F312" i="2"/>
  <c r="G312" i="2"/>
  <c r="D313" i="2"/>
  <c r="E313" i="2"/>
  <c r="F313" i="2"/>
  <c r="G313" i="2"/>
  <c r="D314" i="2"/>
  <c r="E314" i="2"/>
  <c r="F314" i="2"/>
  <c r="G314" i="2"/>
  <c r="D315" i="2"/>
  <c r="E315" i="2"/>
  <c r="F315" i="2"/>
  <c r="G315" i="2"/>
  <c r="D316" i="2"/>
  <c r="E316" i="2"/>
  <c r="F316" i="2"/>
  <c r="G316" i="2"/>
  <c r="D317" i="2"/>
  <c r="E317" i="2"/>
  <c r="F317" i="2"/>
  <c r="G317" i="2"/>
  <c r="C318" i="2"/>
  <c r="D318" i="2"/>
  <c r="E318" i="2"/>
  <c r="F318" i="2"/>
  <c r="G318" i="2"/>
  <c r="C319" i="2"/>
  <c r="D319" i="2"/>
  <c r="E319" i="2"/>
  <c r="F319" i="2"/>
  <c r="G319" i="2"/>
  <c r="C320" i="2"/>
  <c r="D320" i="2"/>
  <c r="E320" i="2"/>
  <c r="F320" i="2"/>
  <c r="G320" i="2"/>
  <c r="F289" i="2"/>
  <c r="C291" i="2"/>
  <c r="D291" i="2"/>
  <c r="E291" i="2"/>
  <c r="F291" i="2"/>
  <c r="G291" i="2"/>
  <c r="C292" i="2"/>
  <c r="D292" i="2"/>
  <c r="E292" i="2"/>
  <c r="F292" i="2"/>
  <c r="G292" i="2"/>
  <c r="C293" i="2"/>
  <c r="D293" i="2"/>
  <c r="E293" i="2"/>
  <c r="F293" i="2"/>
  <c r="G293" i="2"/>
  <c r="C294" i="2"/>
  <c r="D294" i="2"/>
  <c r="E294" i="2"/>
  <c r="F294" i="2"/>
  <c r="G294" i="2"/>
  <c r="C295" i="2"/>
  <c r="D295" i="2"/>
  <c r="E295" i="2"/>
  <c r="F295" i="2"/>
  <c r="G295" i="2"/>
  <c r="G287" i="2"/>
  <c r="G288" i="2"/>
  <c r="G289" i="2"/>
  <c r="G290" i="2"/>
  <c r="F286" i="2"/>
  <c r="F287" i="2"/>
  <c r="F288" i="2"/>
  <c r="F290" i="2"/>
  <c r="E286" i="2"/>
  <c r="E287" i="2"/>
  <c r="E288" i="2"/>
  <c r="E289" i="2"/>
  <c r="E290" i="2"/>
  <c r="D286" i="2"/>
  <c r="D287" i="2"/>
  <c r="D288" i="2"/>
  <c r="D289" i="2"/>
  <c r="D290" i="2"/>
  <c r="C287" i="2"/>
  <c r="C288" i="2"/>
  <c r="C289" i="2"/>
  <c r="C290" i="2"/>
  <c r="C286" i="2"/>
  <c r="G286" i="2"/>
  <c r="C28" i="6"/>
  <c r="D28" i="6"/>
  <c r="E28" i="6"/>
  <c r="F28" i="6"/>
  <c r="G28" i="6"/>
  <c r="H28" i="6"/>
  <c r="I28" i="6"/>
  <c r="F285" i="2"/>
  <c r="D285" i="2"/>
  <c r="C285" i="2"/>
  <c r="D284" i="2"/>
  <c r="C280" i="2"/>
  <c r="C281" i="2"/>
  <c r="C282" i="2"/>
  <c r="C283" i="2"/>
  <c r="C284" i="2"/>
  <c r="G280" i="2"/>
  <c r="G281" i="2"/>
  <c r="G282" i="2"/>
  <c r="G283" i="2"/>
  <c r="G284" i="2"/>
  <c r="G285" i="2"/>
  <c r="F280" i="2"/>
  <c r="F281" i="2"/>
  <c r="F282" i="2"/>
  <c r="F283" i="2"/>
  <c r="F284" i="2"/>
  <c r="E280" i="2"/>
  <c r="E281" i="2"/>
  <c r="E282" i="2"/>
  <c r="E283" i="2"/>
  <c r="E284" i="2"/>
  <c r="E285" i="2"/>
  <c r="D280" i="2"/>
  <c r="D281" i="2"/>
  <c r="D282" i="2"/>
  <c r="D283" i="2"/>
  <c r="G279" i="2"/>
  <c r="F279" i="2"/>
  <c r="E279" i="2"/>
  <c r="D279" i="2"/>
  <c r="C279" i="2"/>
  <c r="G278" i="2"/>
  <c r="F278" i="2"/>
  <c r="E278" i="2"/>
  <c r="D278" i="2"/>
  <c r="C278" i="2"/>
  <c r="G277" i="2"/>
  <c r="F277" i="2"/>
  <c r="E277" i="2"/>
  <c r="D277" i="2"/>
  <c r="C277" i="2"/>
  <c r="G276" i="2"/>
  <c r="F276" i="2"/>
  <c r="E276" i="2"/>
  <c r="D276" i="2"/>
  <c r="C276" i="2"/>
  <c r="G275" i="2"/>
  <c r="F275" i="2"/>
  <c r="E275" i="2"/>
  <c r="D275" i="2"/>
  <c r="C275" i="2"/>
  <c r="G274" i="2"/>
  <c r="F274" i="2"/>
  <c r="E274" i="2"/>
  <c r="D274" i="2"/>
  <c r="C274" i="2"/>
  <c r="F33" i="2"/>
  <c r="D153" i="2"/>
  <c r="G266" i="2"/>
  <c r="F266" i="2"/>
  <c r="E266" i="2"/>
  <c r="F265" i="2"/>
  <c r="D266" i="2"/>
  <c r="C266" i="2"/>
  <c r="F263" i="2"/>
  <c r="F264" i="2"/>
  <c r="E263" i="2"/>
  <c r="E264" i="2"/>
  <c r="E265" i="2"/>
  <c r="D263" i="2"/>
  <c r="D264" i="2"/>
  <c r="D265" i="2"/>
  <c r="C265" i="2"/>
  <c r="A34" i="1"/>
  <c r="A35" i="1"/>
  <c r="G258" i="2"/>
  <c r="G259" i="2"/>
  <c r="G260" i="2"/>
  <c r="G261" i="2"/>
  <c r="G262" i="2"/>
  <c r="G263" i="2"/>
  <c r="G264" i="2"/>
  <c r="G265" i="2"/>
  <c r="G257" i="2"/>
  <c r="F258" i="2"/>
  <c r="F259" i="2"/>
  <c r="F260" i="2"/>
  <c r="F261" i="2"/>
  <c r="F262" i="2"/>
  <c r="F257" i="2"/>
  <c r="E258" i="2"/>
  <c r="E259" i="2"/>
  <c r="E260" i="2"/>
  <c r="E261" i="2"/>
  <c r="E262" i="2"/>
  <c r="E257" i="2"/>
  <c r="D257" i="2"/>
  <c r="D258" i="2"/>
  <c r="D259" i="2"/>
  <c r="D260" i="2"/>
  <c r="D261" i="2"/>
  <c r="D262" i="2"/>
  <c r="C259" i="2"/>
  <c r="C260" i="2"/>
  <c r="C261" i="2"/>
  <c r="C262" i="2"/>
  <c r="C263" i="2"/>
  <c r="C264" i="2"/>
  <c r="E254" i="2"/>
  <c r="E255" i="2"/>
  <c r="E256" i="2"/>
  <c r="D254" i="2"/>
  <c r="D255" i="2"/>
  <c r="D256" i="2"/>
  <c r="G254" i="2"/>
  <c r="G255" i="2"/>
  <c r="G256" i="2"/>
  <c r="F254" i="2"/>
  <c r="F255" i="2"/>
  <c r="F256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D237" i="2"/>
  <c r="E237" i="2"/>
  <c r="F237" i="2"/>
  <c r="G237" i="2"/>
  <c r="D238" i="2"/>
  <c r="E238" i="2"/>
  <c r="F238" i="2"/>
  <c r="G238" i="2"/>
  <c r="D239" i="2"/>
  <c r="E239" i="2"/>
  <c r="F239" i="2"/>
  <c r="G239" i="2"/>
  <c r="D240" i="2"/>
  <c r="E240" i="2"/>
  <c r="F240" i="2"/>
  <c r="G240" i="2"/>
  <c r="D241" i="2"/>
  <c r="E241" i="2"/>
  <c r="F241" i="2"/>
  <c r="G241" i="2"/>
  <c r="D242" i="2"/>
  <c r="E242" i="2"/>
  <c r="F242" i="2"/>
  <c r="G242" i="2"/>
  <c r="D243" i="2"/>
  <c r="E243" i="2"/>
  <c r="F243" i="2"/>
  <c r="G243" i="2"/>
  <c r="D244" i="2"/>
  <c r="E244" i="2"/>
  <c r="F244" i="2"/>
  <c r="G244" i="2"/>
  <c r="D245" i="2"/>
  <c r="E245" i="2"/>
  <c r="F245" i="2"/>
  <c r="G245" i="2"/>
  <c r="D246" i="2"/>
  <c r="E246" i="2"/>
  <c r="F246" i="2"/>
  <c r="G246" i="2"/>
  <c r="D247" i="2"/>
  <c r="E247" i="2"/>
  <c r="F247" i="2"/>
  <c r="G247" i="2"/>
  <c r="D248" i="2"/>
  <c r="E248" i="2"/>
  <c r="F248" i="2"/>
  <c r="G248" i="2"/>
  <c r="D249" i="2"/>
  <c r="E249" i="2"/>
  <c r="F249" i="2"/>
  <c r="G249" i="2"/>
  <c r="D250" i="2"/>
  <c r="E250" i="2"/>
  <c r="F250" i="2"/>
  <c r="G250" i="2"/>
  <c r="D251" i="2"/>
  <c r="E251" i="2"/>
  <c r="F251" i="2"/>
  <c r="G251" i="2"/>
  <c r="D252" i="2"/>
  <c r="E252" i="2"/>
  <c r="F252" i="2"/>
  <c r="G252" i="2"/>
  <c r="D253" i="2"/>
  <c r="E253" i="2"/>
  <c r="F253" i="2"/>
  <c r="G253" i="2"/>
  <c r="C226" i="2"/>
  <c r="G232" i="2"/>
  <c r="G233" i="2"/>
  <c r="G234" i="2"/>
  <c r="G235" i="2"/>
  <c r="G236" i="2"/>
  <c r="F234" i="2"/>
  <c r="F235" i="2"/>
  <c r="F236" i="2"/>
  <c r="F233" i="2"/>
  <c r="F232" i="2"/>
  <c r="G230" i="2"/>
  <c r="G231" i="2"/>
  <c r="F230" i="2"/>
  <c r="F231" i="2"/>
  <c r="G228" i="2"/>
  <c r="G229" i="2"/>
  <c r="F228" i="2"/>
  <c r="F229" i="2"/>
  <c r="G227" i="2"/>
  <c r="F227" i="2"/>
  <c r="G226" i="2"/>
  <c r="G225" i="2"/>
  <c r="F226" i="2"/>
  <c r="F225" i="2"/>
  <c r="G224" i="2"/>
  <c r="F224" i="2"/>
  <c r="G223" i="2"/>
  <c r="F223" i="2"/>
  <c r="G222" i="2"/>
  <c r="F222" i="2"/>
  <c r="C237" i="2"/>
  <c r="E236" i="2"/>
  <c r="D236" i="2"/>
  <c r="C236" i="2"/>
  <c r="E235" i="2"/>
  <c r="D235" i="2"/>
  <c r="C235" i="2"/>
  <c r="E234" i="2"/>
  <c r="D234" i="2"/>
  <c r="C234" i="2"/>
  <c r="E233" i="2"/>
  <c r="D233" i="2"/>
  <c r="C233" i="2"/>
  <c r="E232" i="2"/>
  <c r="D232" i="2"/>
  <c r="C232" i="2"/>
  <c r="E231" i="2"/>
  <c r="D231" i="2"/>
  <c r="C231" i="2"/>
  <c r="E230" i="2"/>
  <c r="D230" i="2"/>
  <c r="C230" i="2"/>
  <c r="E229" i="2"/>
  <c r="D229" i="2"/>
  <c r="C229" i="2"/>
  <c r="E228" i="2"/>
  <c r="D228" i="2"/>
  <c r="C228" i="2"/>
  <c r="E227" i="2"/>
  <c r="D227" i="2"/>
  <c r="C227" i="2"/>
  <c r="E226" i="2"/>
  <c r="D226" i="2"/>
  <c r="E225" i="2"/>
  <c r="D225" i="2"/>
  <c r="C225" i="2"/>
  <c r="E224" i="2"/>
  <c r="D224" i="2"/>
  <c r="C224" i="2"/>
  <c r="E223" i="2"/>
  <c r="D223" i="2"/>
  <c r="C223" i="2"/>
  <c r="E222" i="2"/>
  <c r="D222" i="2"/>
  <c r="C222" i="2"/>
  <c r="E213" i="2"/>
  <c r="D213" i="2"/>
  <c r="C213" i="2"/>
  <c r="E212" i="2"/>
  <c r="D212" i="2"/>
  <c r="C212" i="2"/>
  <c r="E211" i="2"/>
  <c r="D211" i="2"/>
  <c r="C211" i="2"/>
  <c r="A33" i="1"/>
  <c r="G221" i="2"/>
  <c r="F221" i="2"/>
  <c r="E221" i="2"/>
  <c r="D221" i="2"/>
  <c r="C221" i="2"/>
  <c r="G220" i="2"/>
  <c r="F220" i="2"/>
  <c r="E220" i="2"/>
  <c r="D220" i="2"/>
  <c r="C220" i="2"/>
  <c r="G219" i="2"/>
  <c r="F219" i="2"/>
  <c r="E219" i="2"/>
  <c r="D219" i="2"/>
  <c r="C219" i="2"/>
  <c r="E218" i="2"/>
  <c r="D218" i="2"/>
  <c r="C218" i="2"/>
  <c r="E217" i="2"/>
  <c r="D217" i="2"/>
  <c r="C217" i="2"/>
  <c r="E216" i="2"/>
  <c r="D216" i="2"/>
  <c r="C216" i="2"/>
  <c r="E215" i="2"/>
  <c r="D215" i="2"/>
  <c r="C215" i="2"/>
  <c r="E214" i="2"/>
  <c r="D214" i="2"/>
  <c r="C214" i="2"/>
  <c r="E208" i="2"/>
  <c r="E209" i="2"/>
  <c r="E210" i="2"/>
  <c r="D208" i="2"/>
  <c r="D209" i="2"/>
  <c r="D210" i="2"/>
  <c r="C208" i="2"/>
  <c r="C209" i="2"/>
  <c r="C210" i="2"/>
  <c r="G190" i="2"/>
  <c r="C179" i="2"/>
  <c r="D179" i="2"/>
  <c r="E179" i="2"/>
  <c r="F179" i="2"/>
  <c r="G179" i="2"/>
  <c r="C180" i="2"/>
  <c r="D180" i="2"/>
  <c r="E180" i="2"/>
  <c r="F180" i="2"/>
  <c r="G180" i="2"/>
  <c r="C181" i="2"/>
  <c r="D181" i="2"/>
  <c r="E181" i="2"/>
  <c r="F181" i="2"/>
  <c r="G181" i="2"/>
  <c r="C182" i="2"/>
  <c r="D182" i="2"/>
  <c r="E182" i="2"/>
  <c r="F182" i="2"/>
  <c r="G182" i="2"/>
  <c r="C183" i="2"/>
  <c r="D183" i="2"/>
  <c r="E183" i="2"/>
  <c r="F183" i="2"/>
  <c r="G183" i="2"/>
  <c r="C184" i="2"/>
  <c r="D184" i="2"/>
  <c r="E184" i="2"/>
  <c r="F184" i="2"/>
  <c r="G184" i="2"/>
  <c r="C185" i="2"/>
  <c r="D185" i="2"/>
  <c r="E185" i="2"/>
  <c r="F185" i="2"/>
  <c r="G185" i="2"/>
  <c r="C186" i="2"/>
  <c r="D186" i="2"/>
  <c r="E186" i="2"/>
  <c r="F186" i="2"/>
  <c r="G186" i="2"/>
  <c r="C187" i="2"/>
  <c r="D187" i="2"/>
  <c r="E187" i="2"/>
  <c r="F187" i="2"/>
  <c r="G187" i="2"/>
  <c r="C188" i="2"/>
  <c r="D188" i="2"/>
  <c r="E188" i="2"/>
  <c r="F188" i="2"/>
  <c r="G188" i="2"/>
  <c r="C189" i="2"/>
  <c r="D189" i="2"/>
  <c r="E189" i="2"/>
  <c r="F189" i="2"/>
  <c r="G189" i="2"/>
  <c r="C190" i="2"/>
  <c r="D190" i="2"/>
  <c r="E190" i="2"/>
  <c r="F190" i="2"/>
  <c r="C191" i="2"/>
  <c r="D191" i="2"/>
  <c r="E191" i="2"/>
  <c r="F191" i="2"/>
  <c r="C192" i="2"/>
  <c r="D192" i="2"/>
  <c r="E192" i="2"/>
  <c r="F192" i="2"/>
  <c r="C193" i="2"/>
  <c r="D193" i="2"/>
  <c r="E193" i="2"/>
  <c r="F193" i="2"/>
  <c r="C194" i="2"/>
  <c r="D194" i="2"/>
  <c r="E194" i="2"/>
  <c r="F194" i="2"/>
  <c r="G194" i="2"/>
  <c r="C195" i="2"/>
  <c r="D195" i="2"/>
  <c r="E195" i="2"/>
  <c r="F195" i="2"/>
  <c r="G195" i="2"/>
  <c r="C196" i="2"/>
  <c r="D196" i="2"/>
  <c r="E196" i="2"/>
  <c r="F196" i="2"/>
  <c r="G196" i="2"/>
  <c r="C197" i="2"/>
  <c r="D197" i="2"/>
  <c r="E197" i="2"/>
  <c r="F197" i="2"/>
  <c r="G197" i="2"/>
  <c r="C198" i="2"/>
  <c r="D198" i="2"/>
  <c r="E198" i="2"/>
  <c r="F198" i="2"/>
  <c r="G198" i="2"/>
  <c r="C199" i="2"/>
  <c r="D199" i="2"/>
  <c r="E199" i="2"/>
  <c r="F199" i="2"/>
  <c r="G199" i="2"/>
  <c r="C200" i="2"/>
  <c r="D200" i="2"/>
  <c r="E200" i="2"/>
  <c r="F200" i="2"/>
  <c r="G200" i="2"/>
  <c r="C201" i="2"/>
  <c r="D201" i="2"/>
  <c r="E201" i="2"/>
  <c r="F201" i="2"/>
  <c r="G201" i="2"/>
  <c r="C202" i="2"/>
  <c r="D202" i="2"/>
  <c r="E202" i="2"/>
  <c r="F202" i="2"/>
  <c r="G202" i="2"/>
  <c r="C203" i="2"/>
  <c r="D203" i="2"/>
  <c r="E203" i="2"/>
  <c r="C204" i="2"/>
  <c r="D204" i="2"/>
  <c r="E204" i="2"/>
  <c r="C205" i="2"/>
  <c r="D205" i="2"/>
  <c r="E205" i="2"/>
  <c r="C206" i="2"/>
  <c r="D206" i="2"/>
  <c r="E206" i="2"/>
  <c r="C207" i="2"/>
  <c r="D207" i="2"/>
  <c r="E207" i="2"/>
  <c r="A30" i="1"/>
  <c r="A31" i="1"/>
  <c r="A32" i="1"/>
  <c r="D174" i="2"/>
  <c r="E174" i="2"/>
  <c r="F174" i="2"/>
  <c r="G174" i="2"/>
  <c r="D175" i="2"/>
  <c r="E175" i="2"/>
  <c r="F175" i="2"/>
  <c r="G175" i="2"/>
  <c r="D176" i="2"/>
  <c r="E176" i="2"/>
  <c r="F176" i="2"/>
  <c r="G176" i="2"/>
  <c r="D177" i="2"/>
  <c r="E177" i="2"/>
  <c r="F177" i="2"/>
  <c r="G177" i="2"/>
  <c r="D178" i="2"/>
  <c r="E178" i="2"/>
  <c r="F178" i="2"/>
  <c r="G178" i="2"/>
  <c r="C174" i="2"/>
  <c r="C175" i="2"/>
  <c r="C176" i="2"/>
  <c r="C177" i="2"/>
  <c r="C178" i="2"/>
  <c r="G99" i="2"/>
  <c r="E99" i="2"/>
  <c r="F99" i="2"/>
  <c r="D99" i="2"/>
  <c r="G89" i="2"/>
  <c r="F89" i="2"/>
  <c r="E89" i="2"/>
  <c r="D89" i="2"/>
  <c r="C99" i="2"/>
  <c r="C89" i="2"/>
  <c r="G169" i="2"/>
  <c r="F169" i="2"/>
  <c r="E169" i="2"/>
  <c r="D169" i="2"/>
  <c r="C169" i="2"/>
  <c r="G168" i="2"/>
  <c r="F168" i="2"/>
  <c r="E168" i="2"/>
  <c r="D168" i="2"/>
  <c r="C168" i="2"/>
  <c r="G167" i="2"/>
  <c r="F167" i="2"/>
  <c r="E167" i="2"/>
  <c r="D167" i="2"/>
  <c r="C167" i="2"/>
  <c r="G166" i="2"/>
  <c r="F166" i="2"/>
  <c r="E166" i="2"/>
  <c r="D166" i="2"/>
  <c r="C166" i="2"/>
  <c r="G165" i="2"/>
  <c r="F165" i="2"/>
  <c r="E165" i="2"/>
  <c r="D165" i="2"/>
  <c r="C165" i="2"/>
  <c r="A28" i="1"/>
  <c r="A29" i="1"/>
  <c r="A26" i="1"/>
  <c r="A27" i="1"/>
  <c r="F151" i="2"/>
  <c r="C20" i="6"/>
  <c r="D20" i="6"/>
  <c r="E20" i="6"/>
  <c r="F20" i="6"/>
  <c r="G20" i="6"/>
  <c r="H20" i="6"/>
  <c r="I20" i="6"/>
  <c r="F125" i="2"/>
  <c r="F102" i="2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" i="1"/>
  <c r="D7" i="6"/>
  <c r="E7" i="6"/>
  <c r="F7" i="6"/>
  <c r="G7" i="6"/>
  <c r="H7" i="6"/>
  <c r="I7" i="6"/>
  <c r="C7" i="6"/>
  <c r="F16" i="2"/>
  <c r="F17" i="2"/>
  <c r="F18" i="2"/>
  <c r="F19" i="2"/>
  <c r="F20" i="2"/>
  <c r="F21" i="2"/>
  <c r="F22" i="2"/>
  <c r="D17" i="2"/>
  <c r="D18" i="2"/>
  <c r="D19" i="2"/>
  <c r="D20" i="2"/>
  <c r="D21" i="2"/>
  <c r="D22" i="2"/>
  <c r="E17" i="2"/>
  <c r="E18" i="2"/>
  <c r="E19" i="2"/>
  <c r="E20" i="2"/>
  <c r="E21" i="2"/>
  <c r="E22" i="2"/>
  <c r="E16" i="2"/>
  <c r="D16" i="2"/>
  <c r="C23" i="2"/>
  <c r="D23" i="2"/>
  <c r="E23" i="2"/>
  <c r="F23" i="2"/>
  <c r="F14" i="2"/>
  <c r="F13" i="2"/>
  <c r="F12" i="2"/>
  <c r="F11" i="2"/>
  <c r="F10" i="2"/>
  <c r="F9" i="2"/>
  <c r="F8" i="2"/>
  <c r="F7" i="2"/>
  <c r="F6" i="2"/>
  <c r="F4" i="2"/>
  <c r="F3" i="2"/>
  <c r="F2" i="2"/>
  <c r="D2" i="2"/>
  <c r="C173" i="2"/>
  <c r="C172" i="2"/>
  <c r="C171" i="2"/>
  <c r="C170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8" i="2"/>
  <c r="C97" i="2"/>
  <c r="C96" i="2"/>
  <c r="C95" i="2"/>
  <c r="C94" i="2"/>
  <c r="C93" i="2"/>
  <c r="C92" i="2"/>
  <c r="C91" i="2"/>
  <c r="C90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15" i="2"/>
  <c r="C14" i="2"/>
  <c r="C13" i="2"/>
  <c r="C12" i="2"/>
  <c r="C11" i="2"/>
  <c r="C10" i="2"/>
  <c r="C9" i="2"/>
  <c r="C8" i="2"/>
  <c r="G173" i="2"/>
  <c r="G172" i="2"/>
  <c r="G171" i="2"/>
  <c r="G170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8" i="2"/>
  <c r="G97" i="2"/>
  <c r="G96" i="2"/>
  <c r="G95" i="2"/>
  <c r="G94" i="2"/>
  <c r="G93" i="2"/>
  <c r="G92" i="2"/>
  <c r="G91" i="2"/>
  <c r="G90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15" i="2"/>
  <c r="F173" i="2"/>
  <c r="F172" i="2"/>
  <c r="F171" i="2"/>
  <c r="F170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1" i="2"/>
  <c r="F100" i="2"/>
  <c r="F98" i="2"/>
  <c r="F97" i="2"/>
  <c r="F96" i="2"/>
  <c r="F95" i="2"/>
  <c r="F93" i="2"/>
  <c r="F92" i="2"/>
  <c r="F91" i="2"/>
  <c r="F90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2" i="2"/>
  <c r="F31" i="2"/>
  <c r="F30" i="2"/>
  <c r="F29" i="2"/>
  <c r="F28" i="2"/>
  <c r="F27" i="2"/>
  <c r="F26" i="2"/>
  <c r="F25" i="2"/>
  <c r="F24" i="2"/>
  <c r="F15" i="2"/>
  <c r="E173" i="2"/>
  <c r="E172" i="2"/>
  <c r="E171" i="2"/>
  <c r="E170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8" i="2"/>
  <c r="E97" i="2"/>
  <c r="E96" i="2"/>
  <c r="E95" i="2"/>
  <c r="E94" i="2"/>
  <c r="E93" i="2"/>
  <c r="E92" i="2"/>
  <c r="E91" i="2"/>
  <c r="E90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14" i="2"/>
  <c r="E13" i="2"/>
  <c r="E12" i="2"/>
  <c r="E11" i="2"/>
  <c r="E10" i="2"/>
  <c r="E9" i="2"/>
  <c r="E8" i="2"/>
  <c r="E7" i="2"/>
  <c r="E6" i="2"/>
  <c r="E5" i="2"/>
  <c r="E4" i="2"/>
  <c r="E3" i="2"/>
  <c r="D173" i="2"/>
  <c r="D172" i="2"/>
  <c r="D171" i="2"/>
  <c r="D170" i="2"/>
  <c r="D164" i="2"/>
  <c r="D163" i="2"/>
  <c r="D162" i="2"/>
  <c r="D161" i="2"/>
  <c r="D160" i="2"/>
  <c r="D159" i="2"/>
  <c r="D158" i="2"/>
  <c r="D157" i="2"/>
  <c r="D156" i="2"/>
  <c r="D155" i="2"/>
  <c r="D154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8" i="2"/>
  <c r="D97" i="2"/>
  <c r="D96" i="2"/>
  <c r="D95" i="2"/>
  <c r="D94" i="2"/>
  <c r="D93" i="2"/>
  <c r="D92" i="2"/>
  <c r="D91" i="2"/>
  <c r="D90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15" i="2"/>
</calcChain>
</file>

<file path=xl/sharedStrings.xml><?xml version="1.0" encoding="utf-8"?>
<sst xmlns="http://schemas.openxmlformats.org/spreadsheetml/2006/main" count="17586" uniqueCount="4680">
  <si>
    <t>Aging</t>
  </si>
  <si>
    <t>Type of Hire</t>
  </si>
  <si>
    <t>Job ID</t>
  </si>
  <si>
    <t>Job Posted Date</t>
  </si>
  <si>
    <t>Business Unit</t>
  </si>
  <si>
    <t>Department</t>
  </si>
  <si>
    <t>Client</t>
  </si>
  <si>
    <t>Domain</t>
  </si>
  <si>
    <t>Position</t>
  </si>
  <si>
    <t>Priority</t>
  </si>
  <si>
    <t>Number of Openings</t>
  </si>
  <si>
    <t>Position Current Status</t>
  </si>
  <si>
    <t>Remarks</t>
  </si>
  <si>
    <t>Candidate Concerned</t>
  </si>
  <si>
    <t>Date of Hold</t>
  </si>
  <si>
    <t>Date of Offer Stage</t>
  </si>
  <si>
    <t>Date of Offer</t>
  </si>
  <si>
    <t>Date of Joining</t>
  </si>
  <si>
    <t>CTC of Candidate</t>
  </si>
  <si>
    <t>Source</t>
  </si>
  <si>
    <t>Harmonized Role</t>
  </si>
  <si>
    <t>Recruiter tagged</t>
  </si>
  <si>
    <t>Original Job Post Date</t>
  </si>
  <si>
    <t>New</t>
  </si>
  <si>
    <t>A001</t>
  </si>
  <si>
    <t>Talme</t>
  </si>
  <si>
    <t>EMIDS</t>
  </si>
  <si>
    <t>IT</t>
  </si>
  <si>
    <t>Python Developer</t>
  </si>
  <si>
    <t>High</t>
  </si>
  <si>
    <t>Open</t>
  </si>
  <si>
    <t>A002</t>
  </si>
  <si>
    <t>Lead Data Engineer</t>
  </si>
  <si>
    <t>A003</t>
  </si>
  <si>
    <t>Python Architect</t>
  </si>
  <si>
    <t>A004</t>
  </si>
  <si>
    <t>Windows system adminstrator</t>
  </si>
  <si>
    <t>B001</t>
  </si>
  <si>
    <t>KPIT</t>
  </si>
  <si>
    <t>Android BSP Developer</t>
  </si>
  <si>
    <t>B002</t>
  </si>
  <si>
    <t>Display driver</t>
  </si>
  <si>
    <t>B003</t>
  </si>
  <si>
    <t>Audio Driver</t>
  </si>
  <si>
    <t>C001</t>
  </si>
  <si>
    <t>Thoughtfocus</t>
  </si>
  <si>
    <t>Data Delivery Manager</t>
  </si>
  <si>
    <t>C002</t>
  </si>
  <si>
    <t>Senior IAM Operation Engineer</t>
  </si>
  <si>
    <t>C003</t>
  </si>
  <si>
    <t>Lead IAM Management</t>
  </si>
  <si>
    <t>C004</t>
  </si>
  <si>
    <t>PERL Developer</t>
  </si>
  <si>
    <t>Low</t>
  </si>
  <si>
    <t>Hold</t>
  </si>
  <si>
    <t>D001</t>
  </si>
  <si>
    <t>Peritas</t>
  </si>
  <si>
    <t>Non - IT</t>
  </si>
  <si>
    <t>Inside Sales Executive</t>
  </si>
  <si>
    <t>D002</t>
  </si>
  <si>
    <t>Field Sales Executive</t>
  </si>
  <si>
    <t>E001</t>
  </si>
  <si>
    <t>Avinashi Ads</t>
  </si>
  <si>
    <t>Graphic Designer</t>
  </si>
  <si>
    <t>E002</t>
  </si>
  <si>
    <t>Sales Head</t>
  </si>
  <si>
    <t>E003</t>
  </si>
  <si>
    <t>Senior Sales Manager</t>
  </si>
  <si>
    <t>E004</t>
  </si>
  <si>
    <t>Associate Sales</t>
  </si>
  <si>
    <t>E005</t>
  </si>
  <si>
    <t>Key Accounts Manager</t>
  </si>
  <si>
    <t>F001</t>
  </si>
  <si>
    <t>GNA</t>
  </si>
  <si>
    <t>Blockchain Developer</t>
  </si>
  <si>
    <t>F002</t>
  </si>
  <si>
    <t>Compliance Officer</t>
  </si>
  <si>
    <t>F003</t>
  </si>
  <si>
    <t>Lobby In Charge</t>
  </si>
  <si>
    <t>G001</t>
  </si>
  <si>
    <t xml:space="preserve">Talme </t>
  </si>
  <si>
    <t>Wiring Technicians</t>
  </si>
  <si>
    <t>G002</t>
  </si>
  <si>
    <t>H001</t>
  </si>
  <si>
    <t>Sarelx</t>
  </si>
  <si>
    <t>Business developement executive</t>
  </si>
  <si>
    <t>Medium</t>
  </si>
  <si>
    <t>H002</t>
  </si>
  <si>
    <t>Founder office assoicate</t>
  </si>
  <si>
    <t>Replacement</t>
  </si>
  <si>
    <t>H003</t>
  </si>
  <si>
    <t>HR Recruiter</t>
  </si>
  <si>
    <t>H004</t>
  </si>
  <si>
    <t>H005</t>
  </si>
  <si>
    <t>Angular JS developer</t>
  </si>
  <si>
    <t>H006</t>
  </si>
  <si>
    <t>LeadSOC</t>
  </si>
  <si>
    <t>Analog RF Designer</t>
  </si>
  <si>
    <t>H007</t>
  </si>
  <si>
    <t>Web Designer</t>
  </si>
  <si>
    <t>Closed</t>
  </si>
  <si>
    <t>Bhageesha</t>
  </si>
  <si>
    <t>3.58 LPA</t>
  </si>
  <si>
    <t>Portal-Naukri</t>
  </si>
  <si>
    <t>Harshitha</t>
  </si>
  <si>
    <t>H008</t>
  </si>
  <si>
    <t>IAM Engineer Professionals</t>
  </si>
  <si>
    <t>H009</t>
  </si>
  <si>
    <t>Semnox Solutions</t>
  </si>
  <si>
    <t>.Net Backend Developer</t>
  </si>
  <si>
    <t>H010</t>
  </si>
  <si>
    <t>Technical Lead - Mobile Development</t>
  </si>
  <si>
    <t>H011</t>
  </si>
  <si>
    <t>Prasanna Technologies</t>
  </si>
  <si>
    <t>.Net Developer - Contract Role</t>
  </si>
  <si>
    <t>H012</t>
  </si>
  <si>
    <t>Viditha</t>
  </si>
  <si>
    <t>Developer - Angular &amp; Node Js</t>
  </si>
  <si>
    <t>H013</t>
  </si>
  <si>
    <t>Java Lead Analyst</t>
  </si>
  <si>
    <t>H014</t>
  </si>
  <si>
    <t>Java Script Developer</t>
  </si>
  <si>
    <t>I001</t>
  </si>
  <si>
    <t>QA Analyst</t>
  </si>
  <si>
    <t>I002</t>
  </si>
  <si>
    <t>Full Stack Developer</t>
  </si>
  <si>
    <t>I003</t>
  </si>
  <si>
    <t>I004</t>
  </si>
  <si>
    <t>Backend developer</t>
  </si>
  <si>
    <t>I005</t>
  </si>
  <si>
    <t>Front end developer</t>
  </si>
  <si>
    <t>J001</t>
  </si>
  <si>
    <t>Anika Solutions</t>
  </si>
  <si>
    <t>Technical Lead</t>
  </si>
  <si>
    <t>J002</t>
  </si>
  <si>
    <t>Megha foods pvt ltd</t>
  </si>
  <si>
    <t>Sales officer</t>
  </si>
  <si>
    <t>J003</t>
  </si>
  <si>
    <t>L&amp;T</t>
  </si>
  <si>
    <t>HW Designer - Pune</t>
  </si>
  <si>
    <t>J004</t>
  </si>
  <si>
    <t>Micron</t>
  </si>
  <si>
    <t>Production Operator</t>
  </si>
  <si>
    <t>J005</t>
  </si>
  <si>
    <t>Manufacturing ITI</t>
  </si>
  <si>
    <t>K001</t>
  </si>
  <si>
    <t>LTTS</t>
  </si>
  <si>
    <t>PCB Layout Engineer</t>
  </si>
  <si>
    <t>K002</t>
  </si>
  <si>
    <t>PCB Design Engineer</t>
  </si>
  <si>
    <t>K004</t>
  </si>
  <si>
    <t>Embedded Software Developer -1</t>
  </si>
  <si>
    <t>K005</t>
  </si>
  <si>
    <t>Embedded Software Developer-2</t>
  </si>
  <si>
    <t>L001</t>
  </si>
  <si>
    <t>Embedded Software engineer</t>
  </si>
  <si>
    <t>L002</t>
  </si>
  <si>
    <t>AI/ML Engineer</t>
  </si>
  <si>
    <t>L003</t>
  </si>
  <si>
    <t>VTR - Labview</t>
  </si>
  <si>
    <t>L004</t>
  </si>
  <si>
    <t>AI Architect</t>
  </si>
  <si>
    <t>L005</t>
  </si>
  <si>
    <t xml:space="preserve">.Net Developer  </t>
  </si>
  <si>
    <t>M001</t>
  </si>
  <si>
    <t xml:space="preserve">Body in white </t>
  </si>
  <si>
    <t>M002</t>
  </si>
  <si>
    <t>Hardware Project manager</t>
  </si>
  <si>
    <t>M003</t>
  </si>
  <si>
    <t>Devops Lead</t>
  </si>
  <si>
    <t>M004</t>
  </si>
  <si>
    <t>Devops AWS</t>
  </si>
  <si>
    <t>M005</t>
  </si>
  <si>
    <t>Data Architect</t>
  </si>
  <si>
    <t>N001</t>
  </si>
  <si>
    <t>ASM (assi. sales manager)</t>
  </si>
  <si>
    <t>N002</t>
  </si>
  <si>
    <t>Test Automation engineer</t>
  </si>
  <si>
    <t>N003</t>
  </si>
  <si>
    <t xml:space="preserve"> Farm Lab Techinican</t>
  </si>
  <si>
    <t>N004</t>
  </si>
  <si>
    <t>Java Engineers</t>
  </si>
  <si>
    <t>N005</t>
  </si>
  <si>
    <t xml:space="preserve"> Lead Python developer</t>
  </si>
  <si>
    <t>O001</t>
  </si>
  <si>
    <t>Senior system engineer</t>
  </si>
  <si>
    <t>O002</t>
  </si>
  <si>
    <t>Solution architect</t>
  </si>
  <si>
    <t>O003</t>
  </si>
  <si>
    <t>Lab Support Engineer</t>
  </si>
  <si>
    <t>O004</t>
  </si>
  <si>
    <t>Product Scheduler</t>
  </si>
  <si>
    <t>O005</t>
  </si>
  <si>
    <t>HW Engineer</t>
  </si>
  <si>
    <t>P001</t>
  </si>
  <si>
    <t>Software Engineer</t>
  </si>
  <si>
    <t>Job Id</t>
  </si>
  <si>
    <t>Recruiter Id</t>
  </si>
  <si>
    <t>Recruiter Name</t>
  </si>
  <si>
    <t>Candidate Name</t>
  </si>
  <si>
    <t>Notice Period</t>
  </si>
  <si>
    <t>Candidate Email</t>
  </si>
  <si>
    <t>Phone No.</t>
  </si>
  <si>
    <t>Qualification</t>
  </si>
  <si>
    <t>Years of Exp</t>
  </si>
  <si>
    <t>Previous Company</t>
  </si>
  <si>
    <t>Previous CTC</t>
  </si>
  <si>
    <t>Location</t>
  </si>
  <si>
    <t>Prefered Location</t>
  </si>
  <si>
    <t>Expected CTC</t>
  </si>
  <si>
    <t>Candidate Current Status</t>
  </si>
  <si>
    <t>Source Date</t>
  </si>
  <si>
    <t>Screening Date</t>
  </si>
  <si>
    <t>Screening Notes</t>
  </si>
  <si>
    <t>Tech 1 date</t>
  </si>
  <si>
    <t>Tech 1 Status</t>
  </si>
  <si>
    <t>Tech 1 Remarks</t>
  </si>
  <si>
    <t>Tech 1 Panel</t>
  </si>
  <si>
    <t>Tech 2 date</t>
  </si>
  <si>
    <t>Tech 2 Status</t>
  </si>
  <si>
    <t>Tech 2 Remarks</t>
  </si>
  <si>
    <t>Tech 2 Panel</t>
  </si>
  <si>
    <t>Tech 3 date</t>
  </si>
  <si>
    <t>Tech 3 Status</t>
  </si>
  <si>
    <t>Tech 3 Remarks</t>
  </si>
  <si>
    <t>Tech 3 Panel</t>
  </si>
  <si>
    <t>Offer Stage Input date</t>
  </si>
  <si>
    <t>Date of Document Collection</t>
  </si>
  <si>
    <t>Date of Approval</t>
  </si>
  <si>
    <t>Offer Date</t>
  </si>
  <si>
    <t>Offer Status</t>
  </si>
  <si>
    <t>Date of Offer Accept/Reject</t>
  </si>
  <si>
    <t>Offer Accept Status</t>
  </si>
  <si>
    <t>Date Of Joining</t>
  </si>
  <si>
    <t>Joining Status</t>
  </si>
  <si>
    <t>CTC Offered</t>
  </si>
  <si>
    <t>R004</t>
  </si>
  <si>
    <t xml:space="preserve">Pooja </t>
  </si>
  <si>
    <t>DINESHKUMAR S</t>
  </si>
  <si>
    <t xml:space="preserve"> </t>
  </si>
  <si>
    <t>Screening Reject</t>
  </si>
  <si>
    <t>Siva Raj Mahendrakar</t>
  </si>
  <si>
    <t>K Mallikarjuna Rao</t>
  </si>
  <si>
    <t>malli.k1117@gmail.com</t>
  </si>
  <si>
    <t>30% Hike</t>
  </si>
  <si>
    <t>Gopi Vagga</t>
  </si>
  <si>
    <t>Priyankka K</t>
  </si>
  <si>
    <t>Tanmay Desai</t>
  </si>
  <si>
    <t>Mohamed musthafa AV</t>
  </si>
  <si>
    <t>Manikandan R</t>
  </si>
  <si>
    <t>Lavhate Pranav Pralhad</t>
  </si>
  <si>
    <t>Mayur Barapatre</t>
  </si>
  <si>
    <t>mayur04barapatre@gmail.com</t>
  </si>
  <si>
    <t>Naveen kumar</t>
  </si>
  <si>
    <t>Naveen Raj</t>
  </si>
  <si>
    <t>naveenraj5341@gmail.com</t>
  </si>
  <si>
    <t>Vrushabh Rangraoji Motghare</t>
  </si>
  <si>
    <t>Mosin Inamadar</t>
  </si>
  <si>
    <t>R003</t>
  </si>
  <si>
    <t>Bhoomika</t>
  </si>
  <si>
    <t>Saralx</t>
  </si>
  <si>
    <t>Alefiyah Naib</t>
  </si>
  <si>
    <t>30 Days</t>
  </si>
  <si>
    <t>alefiyahnaib515253@gmail.com</t>
  </si>
  <si>
    <t>B.ED</t>
  </si>
  <si>
    <t>1.5 Years</t>
  </si>
  <si>
    <t>GIT Academy, Bengaluru</t>
  </si>
  <si>
    <t>2.9 LPA</t>
  </si>
  <si>
    <t>Bengaluru</t>
  </si>
  <si>
    <t>3.9 LPA</t>
  </si>
  <si>
    <t>Screening Reject by Client</t>
  </si>
  <si>
    <t>Portal-LinkedIN</t>
  </si>
  <si>
    <t>Ranjitha N</t>
  </si>
  <si>
    <t>Dimpu B</t>
  </si>
  <si>
    <t>Niveditha S</t>
  </si>
  <si>
    <t>Dileep Kumar R</t>
  </si>
  <si>
    <t>Harshita Khanna</t>
  </si>
  <si>
    <t>Nitish Kumar</t>
  </si>
  <si>
    <t>Shivam Asthana</t>
  </si>
  <si>
    <t>4 Years</t>
  </si>
  <si>
    <t>6.24 LPA</t>
  </si>
  <si>
    <t>8 lpa</t>
  </si>
  <si>
    <t>HARINI YEJJU</t>
  </si>
  <si>
    <t>yejjuharini42@gmail.com</t>
  </si>
  <si>
    <t>SHRUTI RAI</t>
  </si>
  <si>
    <t>shrutirai.770@gmail.com</t>
  </si>
  <si>
    <t>Pranathi M.G</t>
  </si>
  <si>
    <t>pranathigopal00@gmail.com</t>
  </si>
  <si>
    <t>Saloni Sing</t>
  </si>
  <si>
    <t>salonisingh0877@gmail.com</t>
  </si>
  <si>
    <t>MBA</t>
  </si>
  <si>
    <t>1.3 Years</t>
  </si>
  <si>
    <t>Panchami Global Project Pvt Ltd</t>
  </si>
  <si>
    <t>2.8 LPA</t>
  </si>
  <si>
    <t xml:space="preserve">Bengaluru	</t>
  </si>
  <si>
    <t>3.5 LPA</t>
  </si>
  <si>
    <t>Ashwin N R</t>
  </si>
  <si>
    <t>7 Days</t>
  </si>
  <si>
    <t>dhanyahari878@gmail.com</t>
  </si>
  <si>
    <t xml:space="preserve">P.G.D.C.A </t>
  </si>
  <si>
    <t>Mobility Motors</t>
  </si>
  <si>
    <t>3.2 LPA</t>
  </si>
  <si>
    <t>Parul Vishwakarma</t>
  </si>
  <si>
    <t>10 Days</t>
  </si>
  <si>
    <t>parulvishwakarma2020@gmail.com</t>
  </si>
  <si>
    <t>B.Tech</t>
  </si>
  <si>
    <t>2 Years</t>
  </si>
  <si>
    <t>Inosystek Solutions Pvt. Ltd</t>
  </si>
  <si>
    <t>30% HIKE</t>
  </si>
  <si>
    <t>Vidhya M Sank</t>
  </si>
  <si>
    <t>vidyasank2003@gmail.com</t>
  </si>
  <si>
    <t>B.E</t>
  </si>
  <si>
    <t>6 Months</t>
  </si>
  <si>
    <t>Simpliaxis Solutions Private Ltd</t>
  </si>
  <si>
    <t>2.5 LPA</t>
  </si>
  <si>
    <t>Madiha Yasmeen</t>
  </si>
  <si>
    <t>Immediately</t>
  </si>
  <si>
    <t>yasmeenmadiha524@gmail.com</t>
  </si>
  <si>
    <t>PUC</t>
  </si>
  <si>
    <t>4 Months</t>
  </si>
  <si>
    <t>Info technology company</t>
  </si>
  <si>
    <t>2 LPA</t>
  </si>
  <si>
    <t>Farha Anjum</t>
  </si>
  <si>
    <t>ammuanjum136@gmail.com</t>
  </si>
  <si>
    <t>4 Years( Telesales)</t>
  </si>
  <si>
    <t>Blackbuck</t>
  </si>
  <si>
    <t>Chikkabanavara</t>
  </si>
  <si>
    <t>3 LPA</t>
  </si>
  <si>
    <t>Girish</t>
  </si>
  <si>
    <t>girishdivakar04@gmail.com</t>
  </si>
  <si>
    <t>B.Com</t>
  </si>
  <si>
    <t>2 Years ( Telesales)</t>
  </si>
  <si>
    <t>Innovative System Pvt Ltd</t>
  </si>
  <si>
    <t>2.7 LPA</t>
  </si>
  <si>
    <t>Jagannath G</t>
  </si>
  <si>
    <t>mailsforjagan44@gmail.com</t>
  </si>
  <si>
    <t>90719 53498</t>
  </si>
  <si>
    <t>3 Years ( Sales consltunt)</t>
  </si>
  <si>
    <t>Magic bricks</t>
  </si>
  <si>
    <t xml:space="preserve">  As per company standards</t>
  </si>
  <si>
    <t>R002</t>
  </si>
  <si>
    <t>Sandeep Kumar</t>
  </si>
  <si>
    <t>sandy20mjn@gmail.com</t>
  </si>
  <si>
    <t>14 Years</t>
  </si>
  <si>
    <t>Bitwise Solutions</t>
  </si>
  <si>
    <t>40 LPA</t>
  </si>
  <si>
    <t>48 LPA</t>
  </si>
  <si>
    <t>Rejected by panel</t>
  </si>
  <si>
    <t>rajesh kumar</t>
  </si>
  <si>
    <t>rajesh7733@gmail.com</t>
  </si>
  <si>
    <t>M.Tech</t>
  </si>
  <si>
    <t>10 Years</t>
  </si>
  <si>
    <t>Continental Automotive</t>
  </si>
  <si>
    <t>30 LPA</t>
  </si>
  <si>
    <t>JOY MUKHERJEE BHUMANA</t>
  </si>
  <si>
    <t>joycloud77@gmail.com</t>
  </si>
  <si>
    <t>10.6 Years</t>
  </si>
  <si>
    <t>GENPACT</t>
  </si>
  <si>
    <t>29 LPA</t>
  </si>
  <si>
    <t>39 LPA</t>
  </si>
  <si>
    <t>Tech 1 Reject</t>
  </si>
  <si>
    <t>L1 scheduled</t>
  </si>
  <si>
    <t>Reject</t>
  </si>
  <si>
    <t>Rakesh Kumar Mohapatra</t>
  </si>
  <si>
    <t>aapkarakesh46@gmail.com</t>
  </si>
  <si>
    <t>8 Years</t>
  </si>
  <si>
    <t> Skylink Communications</t>
  </si>
  <si>
    <t>5 LPA</t>
  </si>
  <si>
    <t>8 LPA</t>
  </si>
  <si>
    <t>Saikumar</t>
  </si>
  <si>
    <t>saikumarsingathi31@gmail.com</t>
  </si>
  <si>
    <t>5.5 Years</t>
  </si>
  <si>
    <t>SMS TECHSOFT INDIA LIMITED</t>
  </si>
  <si>
    <t>7.5 LPA</t>
  </si>
  <si>
    <t>10 LPA</t>
  </si>
  <si>
    <t>Tech 1 to be Scheduled</t>
  </si>
  <si>
    <t>Pushpendra singh</t>
  </si>
  <si>
    <t>pushpendrsingh41@gmail.com</t>
  </si>
  <si>
    <t>MCA</t>
  </si>
  <si>
    <t>6 Years</t>
  </si>
  <si>
    <t>HCLTech </t>
  </si>
  <si>
    <t>5.5 LPA</t>
  </si>
  <si>
    <t>8.5 LPA</t>
  </si>
  <si>
    <t>Raju Gurjar</t>
  </si>
  <si>
    <t>rajugurjar8072@gmail.com</t>
  </si>
  <si>
    <t>Quadlabs Technologies</t>
  </si>
  <si>
    <t>9 LPA</t>
  </si>
  <si>
    <t>Mohd Abdul Saud</t>
  </si>
  <si>
    <t>sohailsohail1993@gmail.com</t>
  </si>
  <si>
    <t>M.Com</t>
  </si>
  <si>
    <t>7 Years</t>
  </si>
  <si>
    <t>FHPL</t>
  </si>
  <si>
    <t>6.2 LPA</t>
  </si>
  <si>
    <t>Santosh Shanbhag</t>
  </si>
  <si>
    <t>santoshs23.work@gmail.com</t>
  </si>
  <si>
    <t>5 Years</t>
  </si>
  <si>
    <t>Deel Payroll India Pvt. Ltd</t>
  </si>
  <si>
    <t>Shivaprasad. M</t>
  </si>
  <si>
    <t>msprasad548@gmail.com</t>
  </si>
  <si>
    <t>6.8 Years</t>
  </si>
  <si>
    <t>Infosys</t>
  </si>
  <si>
    <t>4.86 LPA</t>
  </si>
  <si>
    <t>MD DANISH HUSSAIN</t>
  </si>
  <si>
    <t>dinuhussain13@outlook.co</t>
  </si>
  <si>
    <t>B.Sc</t>
  </si>
  <si>
    <t>5.3 Years</t>
  </si>
  <si>
    <t>3i Infotech</t>
  </si>
  <si>
    <t>7 LPA</t>
  </si>
  <si>
    <t>H J Nagesh</t>
  </si>
  <si>
    <t>nagesh2go@gmail.com</t>
  </si>
  <si>
    <t>Toyota Boshoku</t>
  </si>
  <si>
    <t>7.97 LPA</t>
  </si>
  <si>
    <t>Abhinay Singh</t>
  </si>
  <si>
    <t>kushwah.abhinay@gmail.com</t>
  </si>
  <si>
    <t>9 Years</t>
  </si>
  <si>
    <t>Wipro</t>
  </si>
  <si>
    <t>9 LPA ( Offer in hand- 7.5 LPA )</t>
  </si>
  <si>
    <t>Manikanta Chemaladinne</t>
  </si>
  <si>
    <t>manikantachemaladinne9@gmail.com</t>
  </si>
  <si>
    <t>Shubham Patel</t>
  </si>
  <si>
    <t>sp.shubham.patel07@gmail.com</t>
  </si>
  <si>
    <t>BCA</t>
  </si>
  <si>
    <t>Progressive Infotech</t>
  </si>
  <si>
    <t>7.8 LPA</t>
  </si>
  <si>
    <t>9.5 LPA</t>
  </si>
  <si>
    <t>Nitin Gupta</t>
  </si>
  <si>
    <t>gbeenu@gmail.com</t>
  </si>
  <si>
    <t>B.A</t>
  </si>
  <si>
    <t>Pacific Development</t>
  </si>
  <si>
    <t>6 LPA</t>
  </si>
  <si>
    <t>Ajeet Yadav</t>
  </si>
  <si>
    <t>yadav.ajeet2872@gmail.com</t>
  </si>
  <si>
    <t>MGKVP university</t>
  </si>
  <si>
    <t>Tech Mahindra</t>
  </si>
  <si>
    <t>4.5 LPA</t>
  </si>
  <si>
    <t>Rasala Chandu Yadav</t>
  </si>
  <si>
    <t>chandurasala253@gmail.com</t>
  </si>
  <si>
    <t>5.2 Years</t>
  </si>
  <si>
    <t>IBM</t>
  </si>
  <si>
    <t>10.5 LPA</t>
  </si>
  <si>
    <t>Abhinav Saxena</t>
  </si>
  <si>
    <t>abhinavsaxenanit@gmail.com</t>
  </si>
  <si>
    <t>10 Year</t>
  </si>
  <si>
    <t>iLink Digital </t>
  </si>
  <si>
    <t>34 LPA</t>
  </si>
  <si>
    <t>50 LPA</t>
  </si>
  <si>
    <t>Kumar Gautam</t>
  </si>
  <si>
    <t>gautamjamshedpur@gmail.com</t>
  </si>
  <si>
    <t>15 Year</t>
  </si>
  <si>
    <t>Harman</t>
  </si>
  <si>
    <t>28 LPA</t>
  </si>
  <si>
    <t>Siva Singh</t>
  </si>
  <si>
    <t>thakurshiva89@gmail.com</t>
  </si>
  <si>
    <t>12 Year</t>
  </si>
  <si>
    <t>Cloud Science Labs</t>
  </si>
  <si>
    <t>35 LPA</t>
  </si>
  <si>
    <t>Shubham Sharma</t>
  </si>
  <si>
    <t>mrshubh04@gmail.com</t>
  </si>
  <si>
    <t>MA</t>
  </si>
  <si>
    <t>Mithun Jadhao</t>
  </si>
  <si>
    <t>mithun.jadhao67@gmail.com</t>
  </si>
  <si>
    <t>Quantum link Communication Pvt Ltd</t>
  </si>
  <si>
    <t>kovuru amreesh kumar</t>
  </si>
  <si>
    <t>amreeshhardith11@gmail.com</t>
  </si>
  <si>
    <t>Genpact</t>
  </si>
  <si>
    <t>Rakesh Rao MG</t>
  </si>
  <si>
    <t>rakey0014@gmail.com</t>
  </si>
  <si>
    <t>Chargepoint Technologies</t>
  </si>
  <si>
    <t>37 LPA</t>
  </si>
  <si>
    <t>45 LPA</t>
  </si>
  <si>
    <t>Sourced</t>
  </si>
  <si>
    <t>Dilip Kumar</t>
  </si>
  <si>
    <t>dilip.mishra47@yahoo.com</t>
  </si>
  <si>
    <t>Tooliqa</t>
  </si>
  <si>
    <t>26 LPA</t>
  </si>
  <si>
    <t>36 LPA</t>
  </si>
  <si>
    <t>shashank</t>
  </si>
  <si>
    <t>tathagathashashank@gmail.com</t>
  </si>
  <si>
    <t>10.3 Years</t>
  </si>
  <si>
    <t>EPAM Systems</t>
  </si>
  <si>
    <t>54 LPA ( Negotiable )</t>
  </si>
  <si>
    <t>Nanda Gopal</t>
  </si>
  <si>
    <t>text2nandha@gmail.com</t>
  </si>
  <si>
    <t>10.2 Years</t>
  </si>
  <si>
    <t>Mphasis</t>
  </si>
  <si>
    <t>Prathyusha</t>
  </si>
  <si>
    <t>rprathyushar@gmail.com</t>
  </si>
  <si>
    <t>12 Years</t>
  </si>
  <si>
    <t>Neudesic Technologies</t>
  </si>
  <si>
    <t>33 LPA</t>
  </si>
  <si>
    <t>40 LPA ( Offer in hand-38 LPA )</t>
  </si>
  <si>
    <t>PRAKASH</t>
  </si>
  <si>
    <t>Arjun Kumar</t>
  </si>
  <si>
    <t>Saikiran Jennay</t>
  </si>
  <si>
    <t>VINAYAK ACHARYA</t>
  </si>
  <si>
    <t>ZABIULLA</t>
  </si>
  <si>
    <t>MAHESH HM</t>
  </si>
  <si>
    <t>15 Days</t>
  </si>
  <si>
    <t>mahimaheshhm2001@gmail.com</t>
  </si>
  <si>
    <t>1 Year</t>
  </si>
  <si>
    <t>Sahara Group of Industries</t>
  </si>
  <si>
    <t>2.7 lpa</t>
  </si>
  <si>
    <t>3.7 lpa</t>
  </si>
  <si>
    <t>CHINTHATEJASWINI</t>
  </si>
  <si>
    <t>tejuchintha99@gmail.com</t>
  </si>
  <si>
    <t>BSC</t>
  </si>
  <si>
    <t>1.6 Year</t>
  </si>
  <si>
    <t>Iyla Silk Pvt Ltd</t>
  </si>
  <si>
    <t>2.8 lpa</t>
  </si>
  <si>
    <t>3.5 lpa</t>
  </si>
  <si>
    <t>Pooja</t>
  </si>
  <si>
    <t>Inside Sales</t>
  </si>
  <si>
    <t>Manjunath K</t>
  </si>
  <si>
    <t>km.manjunath.krishna21@gmail.com</t>
  </si>
  <si>
    <t xml:space="preserve"> 3 Year</t>
  </si>
  <si>
    <t>Varsha Enterprises</t>
  </si>
  <si>
    <t>14.5 K</t>
  </si>
  <si>
    <t>As per company standard</t>
  </si>
  <si>
    <t>Screening reject by HR</t>
  </si>
  <si>
    <t>Immediate</t>
  </si>
  <si>
    <t>R005</t>
  </si>
  <si>
    <t>Sreenivasulu</t>
  </si>
  <si>
    <t>Immediate Joiner LWD  5 Dec 2025</t>
  </si>
  <si>
    <t>sreenivasduvvuru15@gmail.com</t>
  </si>
  <si>
    <t>6.4 Years</t>
  </si>
  <si>
    <t>UST Global</t>
  </si>
  <si>
    <t xml:space="preserve">Balamuraga </t>
  </si>
  <si>
    <t>Immediate Joiner LWD 3 Oct 2025</t>
  </si>
  <si>
    <t xml:space="preserve">
balamuragak05@gmail.com</t>
  </si>
  <si>
    <t>Kripya solutions private limited</t>
  </si>
  <si>
    <t>Naresh Bodapatla</t>
  </si>
  <si>
    <t>Immediate Joiner LWD july 2024</t>
  </si>
  <si>
    <t>nareshbodapatla18@gmail.com</t>
  </si>
  <si>
    <t>6.6 Years</t>
  </si>
  <si>
    <t>Trianz Consulting pvt</t>
  </si>
  <si>
    <t>5.3 LPA</t>
  </si>
  <si>
    <t>Aswini</t>
  </si>
  <si>
    <t>90 Days Neg(30 days)</t>
  </si>
  <si>
    <t>ashwinimallanagowda@gmail.com</t>
  </si>
  <si>
    <t>L&amp;T Technology Services</t>
  </si>
  <si>
    <t>12 LPA</t>
  </si>
  <si>
    <t>22 LPA</t>
  </si>
  <si>
    <t>Yet to Screen</t>
  </si>
  <si>
    <t xml:space="preserve">Tanmay Desai </t>
  </si>
  <si>
    <t>60 Days Neg(45 days)</t>
  </si>
  <si>
    <t>tndesai25@gmail.com</t>
  </si>
  <si>
    <t>11.5 Years</t>
  </si>
  <si>
    <t>Tata Elxsi Pvt Ltd,</t>
  </si>
  <si>
    <t>20 LPA</t>
  </si>
  <si>
    <t>SatyaNarayan</t>
  </si>
  <si>
    <t>30 Days Neg(15 Days)</t>
  </si>
  <si>
    <t>narayansatyajr6@gmail.com</t>
  </si>
  <si>
    <t>Collaborate Solutions(</t>
  </si>
  <si>
    <t>21 LPA</t>
  </si>
  <si>
    <t>27 LPA</t>
  </si>
  <si>
    <t>Subham Dey</t>
  </si>
  <si>
    <t>LWD 06 Feb 2026</t>
  </si>
  <si>
    <t>subhamdeyece@gmail.com</t>
  </si>
  <si>
    <t>7.5 Years</t>
  </si>
  <si>
    <t>Bosch Global Software Technologies</t>
  </si>
  <si>
    <t>14.5 LPA</t>
  </si>
  <si>
    <t>Priya Ghosh</t>
  </si>
  <si>
    <t>yamini</t>
  </si>
  <si>
    <t>ASTHA PORWAL</t>
  </si>
  <si>
    <t>Neha Thomas</t>
  </si>
  <si>
    <t>nehart2002@gmail.com</t>
  </si>
  <si>
    <t>1 Years</t>
  </si>
  <si>
    <t>Redaptive Services Pvt Ltd</t>
  </si>
  <si>
    <t>2.4 LPA</t>
  </si>
  <si>
    <t>Pune</t>
  </si>
  <si>
    <t>rithesh</t>
  </si>
  <si>
    <t>rritheshpoojary7@gmail.com</t>
  </si>
  <si>
    <t>MSW</t>
  </si>
  <si>
    <t>Fresher</t>
  </si>
  <si>
    <t>NIL</t>
  </si>
  <si>
    <t>MOHAMED MUSTHAFA H.R</t>
  </si>
  <si>
    <t>Narra Hemalatha</t>
  </si>
  <si>
    <t>KEERTHIKA. P</t>
  </si>
  <si>
    <t>akshay</t>
  </si>
  <si>
    <t>kshaydevale123@gmail.com</t>
  </si>
  <si>
    <t>Sakshi Saini</t>
  </si>
  <si>
    <t>sainisakshi183@gmail.com</t>
  </si>
  <si>
    <t>Diploman</t>
  </si>
  <si>
    <t>chandana</t>
  </si>
  <si>
    <t>chandanababu2003@gmail.com</t>
  </si>
  <si>
    <t>Aaqib Subhani Askari</t>
  </si>
  <si>
    <t>aaqib.subhani1031@gmail.com</t>
  </si>
  <si>
    <t>6.10 Year</t>
  </si>
  <si>
    <t>TOKYO AnalyticX</t>
  </si>
  <si>
    <t>11 LPA</t>
  </si>
  <si>
    <t>Same or above</t>
  </si>
  <si>
    <t>Zeeshan</t>
  </si>
  <si>
    <t>zeeshanm851@gmail.com</t>
  </si>
  <si>
    <t>6.6 Year</t>
  </si>
  <si>
    <t>Elite Elevators</t>
  </si>
  <si>
    <t>Manoranjith D N</t>
  </si>
  <si>
    <t>manu.dn03@gmail.com</t>
  </si>
  <si>
    <t>BE</t>
  </si>
  <si>
    <t>8 Year</t>
  </si>
  <si>
    <t>Torry Harris Integration solutions</t>
  </si>
  <si>
    <t>16.5 LPA</t>
  </si>
  <si>
    <t>Awaiting feedback from client</t>
  </si>
  <si>
    <t>CHANDANA G S</t>
  </si>
  <si>
    <t>chandanagopal29@gmail.com</t>
  </si>
  <si>
    <t>M.com</t>
  </si>
  <si>
    <t>Finlo Tax Inc.</t>
  </si>
  <si>
    <t>Key Account Manager</t>
  </si>
  <si>
    <t>Gowtham K M</t>
  </si>
  <si>
    <t>gowthamkm77@gmail.com</t>
  </si>
  <si>
    <t>Sridhar Patil</t>
  </si>
  <si>
    <t>sridharpatil4@gmail.com</t>
  </si>
  <si>
    <t>Goutham K G</t>
  </si>
  <si>
    <t>Not Interested job change</t>
  </si>
  <si>
    <t>Ashwin M.P</t>
  </si>
  <si>
    <t>2018ashwin@gmail.com</t>
  </si>
  <si>
    <t>Kartik.M.Kagadal.</t>
  </si>
  <si>
    <t>kagadalkathik@gmail.com</t>
  </si>
  <si>
    <t>Shruthi CD</t>
  </si>
  <si>
    <t xml:space="preserve">Immediate </t>
  </si>
  <si>
    <t>shruthirajsk0@gmail.com</t>
  </si>
  <si>
    <t>1 years</t>
  </si>
  <si>
    <t>Apprentice</t>
  </si>
  <si>
    <t>2.16 LPA</t>
  </si>
  <si>
    <t>As per company standards</t>
  </si>
  <si>
    <t>D Nagarjuna</t>
  </si>
  <si>
    <t xml:space="preserve"> Immediate</t>
  </si>
  <si>
    <t>derangulan227@gmail.com</t>
  </si>
  <si>
    <t xml:space="preserve"> 11 Year</t>
  </si>
  <si>
    <t>42 LPA</t>
  </si>
  <si>
    <t>Haripradeep</t>
  </si>
  <si>
    <t>haris68786@gmail.com</t>
  </si>
  <si>
    <t>M.E</t>
  </si>
  <si>
    <t>IntegraConnect Pvt Ltd</t>
  </si>
  <si>
    <t>31 LPA</t>
  </si>
  <si>
    <t>Shivprasad Babasaheb Patil</t>
  </si>
  <si>
    <t xml:space="preserve"> patilshivprasad7290@gmail.com</t>
  </si>
  <si>
    <t xml:space="preserve"> 6 Year</t>
  </si>
  <si>
    <t>Flipkart</t>
  </si>
  <si>
    <t>6.7 LPA</t>
  </si>
  <si>
    <t>Aishwarya</t>
  </si>
  <si>
    <t>aishaish1213@gmail.com</t>
  </si>
  <si>
    <t xml:space="preserve"> B.Com</t>
  </si>
  <si>
    <t>5 Year</t>
  </si>
  <si>
    <t xml:space="preserve"> Flipkart</t>
  </si>
  <si>
    <t>Sharath Kumar</t>
  </si>
  <si>
    <t xml:space="preserve"> 60 Days(Negotiable)</t>
  </si>
  <si>
    <t xml:space="preserve"> sharathputtu96@gmail.com</t>
  </si>
  <si>
    <t xml:space="preserve"> 5 Year</t>
  </si>
  <si>
    <t xml:space="preserve"> Phonepe</t>
  </si>
  <si>
    <t>15 Lpa</t>
  </si>
  <si>
    <t>sathish</t>
  </si>
  <si>
    <t xml:space="preserve">Immediate Joiner </t>
  </si>
  <si>
    <t>padamati.sathish@gmail.com</t>
  </si>
  <si>
    <t>TCS</t>
  </si>
  <si>
    <t>4.8 LPA</t>
  </si>
  <si>
    <t>Vimal Kant Sharma</t>
  </si>
  <si>
    <t>Currently Serving LWD 30 Jan 2026</t>
  </si>
  <si>
    <t>vimalsatna87@gmail.com</t>
  </si>
  <si>
    <t>8  Years</t>
  </si>
  <si>
    <t>Impact Infotech</t>
  </si>
  <si>
    <t xml:space="preserve">JAYANTA BISWAS  </t>
  </si>
  <si>
    <t>jbiswas365@gmail.com</t>
  </si>
  <si>
    <t>B,A</t>
  </si>
  <si>
    <t>Nagendra Tamballa</t>
  </si>
  <si>
    <t>nagendradeva999@gmail.com</t>
  </si>
  <si>
    <t>5.9 Years</t>
  </si>
  <si>
    <t>Nitesh Kumar</t>
  </si>
  <si>
    <t>aniteshstuf@gmail.com</t>
  </si>
  <si>
    <t>Extended Webapp Tech LLP</t>
  </si>
  <si>
    <t>Jyoshna Gangala</t>
  </si>
  <si>
    <t>gangalajyoshna99@gmail.com</t>
  </si>
  <si>
    <t>5.2  Years</t>
  </si>
  <si>
    <t>HCL</t>
  </si>
  <si>
    <t>Arul</t>
  </si>
  <si>
    <t>Immediate Joiner</t>
  </si>
  <si>
    <t>arulseenu5@gmail.com</t>
  </si>
  <si>
    <t>               B.E</t>
  </si>
  <si>
    <t>NTT India Pvt Ltd</t>
  </si>
  <si>
    <t>6.5 LPA</t>
  </si>
  <si>
    <t>Rakshitha Rao</t>
  </si>
  <si>
    <t>rakshithaurao@gmail.com</t>
  </si>
  <si>
    <t>98806 83457</t>
  </si>
  <si>
    <t>Samriddhi Singh</t>
  </si>
  <si>
    <t>60 Days Neg(30 days)</t>
  </si>
  <si>
    <t>samriddhisingh14@gmail.com</t>
  </si>
  <si>
    <t>6.5 Years</t>
  </si>
  <si>
    <t>UST</t>
  </si>
  <si>
    <t>11.8 LPA</t>
  </si>
  <si>
    <t>Pruthvi M</t>
  </si>
  <si>
    <t>pruthvimanjunath7@gmail.com</t>
  </si>
  <si>
    <t>Intel India</t>
  </si>
  <si>
    <t>23 LPA</t>
  </si>
  <si>
    <t>Vijaya Jasuja</t>
  </si>
  <si>
    <t>LWD - 10th Feb</t>
  </si>
  <si>
    <t>vijayajasuja22@gmail.com</t>
  </si>
  <si>
    <t xml:space="preserve"> B.E</t>
  </si>
  <si>
    <t xml:space="preserve"> 9 Year</t>
  </si>
  <si>
    <t>Synechron</t>
  </si>
  <si>
    <t xml:space="preserve"> 26 LPA</t>
  </si>
  <si>
    <t>Suresh Nellore</t>
  </si>
  <si>
    <t>LWD - 27th Jan</t>
  </si>
  <si>
    <t>sureshnellore575.cme@gmail.com</t>
  </si>
  <si>
    <t>10.5 Year</t>
  </si>
  <si>
    <t>Hexaware Technologies</t>
  </si>
  <si>
    <t xml:space="preserve"> 24 LPA</t>
  </si>
  <si>
    <t>vijay marri</t>
  </si>
  <si>
    <t>vijaymarr06@gmail.com</t>
  </si>
  <si>
    <t xml:space="preserve"> MBA</t>
  </si>
  <si>
    <t xml:space="preserve"> 8 Year</t>
  </si>
  <si>
    <t>SrsInfo</t>
  </si>
  <si>
    <t>Between 30 to 35 LPA</t>
  </si>
  <si>
    <t>J.Hema Venkata Phani Bhushan</t>
  </si>
  <si>
    <t>phani3bhushan@gmail.com</t>
  </si>
  <si>
    <t xml:space="preserve"> B.Tech</t>
  </si>
  <si>
    <t>Optimum Infosystems</t>
  </si>
  <si>
    <t>16 LPA</t>
  </si>
  <si>
    <t>24 LPA</t>
  </si>
  <si>
    <t>Madarapu Rajesh</t>
  </si>
  <si>
    <t>rajesh15652@gmail.com</t>
  </si>
  <si>
    <t>HCL Technologies Pvt Ltd.</t>
  </si>
  <si>
    <t>19.48 LPA</t>
  </si>
  <si>
    <t>Ravichandra Balehalli</t>
  </si>
  <si>
    <t>balehalliravichandra@gmail.com</t>
  </si>
  <si>
    <t>Diploma in Commercial Practice</t>
  </si>
  <si>
    <t>6 Year</t>
  </si>
  <si>
    <t>Pet Pooja</t>
  </si>
  <si>
    <t>4.2 LPA</t>
  </si>
  <si>
    <t xml:space="preserve">Prakash </t>
  </si>
  <si>
    <t>prakashmari91@gmail.com</t>
  </si>
  <si>
    <t>Positiveedge Technology Pvt Ltd</t>
  </si>
  <si>
    <t>4 LPA</t>
  </si>
  <si>
    <t>Mallikarjun Hiremath</t>
  </si>
  <si>
    <t>mallikarjun002hiremath@gmail,com</t>
  </si>
  <si>
    <t>Diploma</t>
  </si>
  <si>
    <t>6.9 Years</t>
  </si>
  <si>
    <t>Quess Corp Ltd</t>
  </si>
  <si>
    <t>Praveen P J</t>
  </si>
  <si>
    <t>praveenpj1994@gmail.com</t>
  </si>
  <si>
    <t>Mantle Solutions Private Limited</t>
  </si>
  <si>
    <t>Saravana</t>
  </si>
  <si>
    <t>orasaravana@gmail.com</t>
  </si>
  <si>
    <t>Cadeploy Engineering</t>
  </si>
  <si>
    <t>4.4 LPA</t>
  </si>
  <si>
    <t>Manjunath R</t>
  </si>
  <si>
    <t>manjunath560091@gmail.com</t>
  </si>
  <si>
    <t>TEKsystems Global Services Pvt Ltd</t>
  </si>
  <si>
    <t>Salman Khan</t>
  </si>
  <si>
    <t>salmankhan.farsi09@gmail.com</t>
  </si>
  <si>
    <t>Computacenter</t>
  </si>
  <si>
    <t>Naveen kumar B.S</t>
  </si>
  <si>
    <t xml:space="preserve"> 15 Days</t>
  </si>
  <si>
    <t>naveenlkbs@gmail.com</t>
  </si>
  <si>
    <t xml:space="preserve"> OMG Group</t>
  </si>
  <si>
    <t>Hari</t>
  </si>
  <si>
    <t>hariprasadr2804@gmail.com</t>
  </si>
  <si>
    <t>7.3 Year</t>
  </si>
  <si>
    <t>Refex Green Mobility Limited</t>
  </si>
  <si>
    <t>14 LPA</t>
  </si>
  <si>
    <t>VEDASHREE J</t>
  </si>
  <si>
    <t>vkpshree@gmail.com</t>
  </si>
  <si>
    <t xml:space="preserve"> Teju FRYD</t>
  </si>
  <si>
    <t xml:space="preserve"> 20 Year</t>
  </si>
  <si>
    <t>Diploma in nursing</t>
  </si>
  <si>
    <t>Arunkumar Adhikari</t>
  </si>
  <si>
    <t>adhikariarun1993@gmail.com</t>
  </si>
  <si>
    <t>Vashi Integrated Solutions</t>
  </si>
  <si>
    <t>A.R. Mohapatra</t>
  </si>
  <si>
    <t>armh5305@gmail.com</t>
  </si>
  <si>
    <t>5.10 Years</t>
  </si>
  <si>
    <t>SAP </t>
  </si>
  <si>
    <t>Anil Kumar.M</t>
  </si>
  <si>
    <t>anilk.mummy@gmail.com</t>
  </si>
  <si>
    <t>Netenrich Technologies</t>
  </si>
  <si>
    <t>Poorna Chandra Kavuturi</t>
  </si>
  <si>
    <t>kavuturi.chandra@gmail.com</t>
  </si>
  <si>
    <t>U&amp;D Square</t>
  </si>
  <si>
    <t>Anjeev Kumar</t>
  </si>
  <si>
    <t>LWD-25/02/2026</t>
  </si>
  <si>
    <t>anjeev0207002raj@gmail.com</t>
  </si>
  <si>
    <t>Wipro </t>
  </si>
  <si>
    <t>Prashant Sahu</t>
  </si>
  <si>
    <t>sahuprashant498@gmail.com</t>
  </si>
  <si>
    <t>Hitachi Vantara</t>
  </si>
  <si>
    <t>Tech 3 Reject</t>
  </si>
  <si>
    <t>Select</t>
  </si>
  <si>
    <t>Jagdish Singh Bisht</t>
  </si>
  <si>
    <t>LWD-20/02/2026</t>
  </si>
  <si>
    <t>jagdishbisht15@gmail.com</t>
  </si>
  <si>
    <t>11 Years</t>
  </si>
  <si>
    <t>RDSoultions </t>
  </si>
  <si>
    <t>45 LPA ( Offer in hand-42 LPA )</t>
  </si>
  <si>
    <t>22/01/2026</t>
  </si>
  <si>
    <t>Deepu N</t>
  </si>
  <si>
    <t>dpu7481@gmail.com</t>
  </si>
  <si>
    <t>M.Sc</t>
  </si>
  <si>
    <t>TSIT Digital</t>
  </si>
  <si>
    <t>Nithin Nigam</t>
  </si>
  <si>
    <t>nitinnigamknp@gmail.com</t>
  </si>
  <si>
    <t>Alethe Consulting Private Limited</t>
  </si>
  <si>
    <t>Santosh Kumar Tiwari</t>
  </si>
  <si>
    <t>Santosh.tiwari404@gmail.com</t>
  </si>
  <si>
    <t>9.2 LPA</t>
  </si>
  <si>
    <t>No Show</t>
  </si>
  <si>
    <t>Vishal Kapoor</t>
  </si>
  <si>
    <t>puneet.kumar.capoor@gmail.com</t>
  </si>
  <si>
    <t>Allied Digital Services Ltd</t>
  </si>
  <si>
    <t>Noida</t>
  </si>
  <si>
    <t>Asha S N</t>
  </si>
  <si>
    <t>ashavinushree@gmail.com</t>
  </si>
  <si>
    <t xml:space="preserve"> Vallhabha Milk Products Private Limited </t>
  </si>
  <si>
    <t>7.2 LPA</t>
  </si>
  <si>
    <t>20% Hike</t>
  </si>
  <si>
    <t>Manoj Kumara. M</t>
  </si>
  <si>
    <t xml:space="preserve"> LWD - 18th Jan</t>
  </si>
  <si>
    <t xml:space="preserve"> manojkumar11087@gmail.com</t>
  </si>
  <si>
    <t xml:space="preserve"> Thriventree Consulting Pvt. Ltd. </t>
  </si>
  <si>
    <t>Subodh Maurya</t>
  </si>
  <si>
    <t>subodh.m33@gmail.com</t>
  </si>
  <si>
    <t xml:space="preserve"> MCA</t>
  </si>
  <si>
    <t xml:space="preserve"> 15 Year</t>
  </si>
  <si>
    <t xml:space="preserve"> EC-Council Pvt. Ltd.</t>
  </si>
  <si>
    <t>22.2 LPA</t>
  </si>
  <si>
    <t xml:space="preserve"> As per company standard</t>
  </si>
  <si>
    <t>Nitinpatwa</t>
  </si>
  <si>
    <t xml:space="preserve"> nitinpatwa@gmail.com</t>
  </si>
  <si>
    <t xml:space="preserve"> Ikokas</t>
  </si>
  <si>
    <t>MP</t>
  </si>
  <si>
    <t>RADHAKRISHNAN KANDASAMY</t>
  </si>
  <si>
    <t>radhakrishnank.nitt@gmail.com</t>
  </si>
  <si>
    <t>14 Year</t>
  </si>
  <si>
    <t xml:space="preserve"> 14 Year</t>
  </si>
  <si>
    <t>Infosys Limited</t>
  </si>
  <si>
    <t xml:space="preserve"> Noida</t>
  </si>
  <si>
    <t>Karthik RM</t>
  </si>
  <si>
    <t xml:space="preserve"> ragikarthik24@gmail.com</t>
  </si>
  <si>
    <t xml:space="preserve"> Magicpin</t>
  </si>
  <si>
    <t>9.3 LPA</t>
  </si>
  <si>
    <t xml:space="preserve"> Bengaluru</t>
  </si>
  <si>
    <t xml:space="preserve"> 15% Hike</t>
  </si>
  <si>
    <t>Syed Afief</t>
  </si>
  <si>
    <t xml:space="preserve"> syedafief.pt@gmail.com</t>
  </si>
  <si>
    <t xml:space="preserve"> Colife Advisory Pvt Ltd</t>
  </si>
  <si>
    <t>10.6 LPA</t>
  </si>
  <si>
    <t xml:space="preserve"> 30% Hike</t>
  </si>
  <si>
    <t>Darshan</t>
  </si>
  <si>
    <t xml:space="preserve"> darshan.mba.raj@gmail.com</t>
  </si>
  <si>
    <t>Praba's VCare pvt ltd</t>
  </si>
  <si>
    <t xml:space="preserve"> 15 LPA</t>
  </si>
  <si>
    <t>Muni Kishore</t>
  </si>
  <si>
    <t xml:space="preserve"> 30 Days (Negotiable)</t>
  </si>
  <si>
    <t>munikishore23@gmail.com</t>
  </si>
  <si>
    <t xml:space="preserve"> 8.5 Year</t>
  </si>
  <si>
    <t xml:space="preserve"> Teksolvent</t>
  </si>
  <si>
    <t>Jaheer Altaf</t>
  </si>
  <si>
    <t>j.altafpatel@gmail.com</t>
  </si>
  <si>
    <t xml:space="preserve"> Treewalker Technology </t>
  </si>
  <si>
    <t xml:space="preserve"> 16 LPA</t>
  </si>
  <si>
    <t>Yogesh Kumar</t>
  </si>
  <si>
    <t>LWD-31/01/2026</t>
  </si>
  <si>
    <t>yogeshk213@gmail.com</t>
  </si>
  <si>
    <t>NTT DATA</t>
  </si>
  <si>
    <t>6.75 LPA</t>
  </si>
  <si>
    <t>Brijesh Kumar Yadav</t>
  </si>
  <si>
    <t>brijeshkumaryadav165@gmail.com</t>
  </si>
  <si>
    <t>collbera digital</t>
  </si>
  <si>
    <t>ASHIS ROUT</t>
  </si>
  <si>
    <t>ashisrout0070@gmail.com</t>
  </si>
  <si>
    <t> Infogain India Pvt Ltd</t>
  </si>
  <si>
    <t>7.3 LPA</t>
  </si>
  <si>
    <t>Bhuvaneshwar</t>
  </si>
  <si>
    <t>23/01/2026</t>
  </si>
  <si>
    <t>Ranjith G</t>
  </si>
  <si>
    <t>45 Days Neg(90 days)</t>
  </si>
  <si>
    <t>ranjith.granus@gmail.com</t>
  </si>
  <si>
    <t>GlobalLogic India Pvt. Ltd</t>
  </si>
  <si>
    <t>Udaya Lakshmi</t>
  </si>
  <si>
    <t>LWD 20 Feb 2026</t>
  </si>
  <si>
    <t>udaya.luck@gmail.com</t>
  </si>
  <si>
    <t>Nexturn</t>
  </si>
  <si>
    <t>Hyderabad</t>
  </si>
  <si>
    <t>T1 Reject</t>
  </si>
  <si>
    <t>Pradeep</t>
  </si>
  <si>
    <t>Cranes Varsity</t>
  </si>
  <si>
    <t>Pradeepsb.dip7790@gmail.com</t>
  </si>
  <si>
    <t>Madhan Kumar</t>
  </si>
  <si>
    <t>madhancse42@outlook.com</t>
  </si>
  <si>
    <t>4.6 LPA</t>
  </si>
  <si>
    <t>Gourav Raj</t>
  </si>
  <si>
    <t>gouravrajsingh775@gmail.com</t>
  </si>
  <si>
    <t>8  Years</t>
  </si>
  <si>
    <t>8.6 LPA</t>
  </si>
  <si>
    <t>Sumit Roy Majumder</t>
  </si>
  <si>
    <t xml:space="preserve"> 30 Days</t>
  </si>
  <si>
    <t xml:space="preserve"> sumitroym@gmail.com</t>
  </si>
  <si>
    <t xml:space="preserve"> PG</t>
  </si>
  <si>
    <t xml:space="preserve"> Swiggy</t>
  </si>
  <si>
    <t xml:space="preserve"> 40% Hike</t>
  </si>
  <si>
    <t>Shibu Rajan</t>
  </si>
  <si>
    <t xml:space="preserve"> shiburajan2326@gmail.com</t>
  </si>
  <si>
    <t xml:space="preserve"> 10 Year</t>
  </si>
  <si>
    <t xml:space="preserve"> UNIQUE GLOBAL LABS PVT LTD</t>
  </si>
  <si>
    <t xml:space="preserve"> dileeplearning2023@gmail.com</t>
  </si>
  <si>
    <t>Urban Standz Pvt Ltd</t>
  </si>
  <si>
    <t>5.4 LPA</t>
  </si>
  <si>
    <t xml:space="preserve">  Bengaluru</t>
  </si>
  <si>
    <t xml:space="preserve"> 6 LPA</t>
  </si>
  <si>
    <t>Prabhu R V</t>
  </si>
  <si>
    <t xml:space="preserve"> prabhureddy135@gmail.com</t>
  </si>
  <si>
    <t xml:space="preserve">  Excelr EdTech Pvt Ltd </t>
  </si>
  <si>
    <t xml:space="preserve"> 10.5 LPA</t>
  </si>
  <si>
    <t>Setty Aakash</t>
  </si>
  <si>
    <t xml:space="preserve"> 30 Days(15 days negotiable)</t>
  </si>
  <si>
    <t xml:space="preserve"> settyaakash@gmail.com</t>
  </si>
  <si>
    <t xml:space="preserve"> Pluckwalk Technologies Pvt Ltd</t>
  </si>
  <si>
    <t xml:space="preserve"> 20% Hike</t>
  </si>
  <si>
    <t>Chinna T P</t>
  </si>
  <si>
    <t>chinnatp977@gmail.com</t>
  </si>
  <si>
    <t xml:space="preserve"> 7.5 Year</t>
  </si>
  <si>
    <t xml:space="preserve"> Finance Buddha </t>
  </si>
  <si>
    <t>Priyanshu Raj</t>
  </si>
  <si>
    <t xml:space="preserve"> LWD - 31st Jan</t>
  </si>
  <si>
    <t xml:space="preserve"> priyanshu.js007@gmail.com</t>
  </si>
  <si>
    <t xml:space="preserve"> BCA</t>
  </si>
  <si>
    <t xml:space="preserve"> 4 Year</t>
  </si>
  <si>
    <t xml:space="preserve"> Codestore Solutions Pvt. Ltd. </t>
  </si>
  <si>
    <t>Rinkesh Kumar</t>
  </si>
  <si>
    <t>LWD - 31st Jan</t>
  </si>
  <si>
    <t xml:space="preserve"> rinkesh.web@gmail.com</t>
  </si>
  <si>
    <t xml:space="preserve"> 6.5 Year</t>
  </si>
  <si>
    <t xml:space="preserve">  E-Tuitions Learning Pvt. Ltd.</t>
  </si>
  <si>
    <t>Shubham Tiwari</t>
  </si>
  <si>
    <t xml:space="preserve"> shubhamknp74@gmail.com</t>
  </si>
  <si>
    <t xml:space="preserve"> CSE</t>
  </si>
  <si>
    <t xml:space="preserve"> AKAL INFORMATION SYSTEMS LTD</t>
  </si>
  <si>
    <t>NATHISH PERIYASAMY</t>
  </si>
  <si>
    <t xml:space="preserve"> LWD - 20th Feb</t>
  </si>
  <si>
    <t xml:space="preserve"> nathish.periyasamy@gmail.com</t>
  </si>
  <si>
    <t xml:space="preserve"> 4.6 Year</t>
  </si>
  <si>
    <t>Infosys Ltd</t>
  </si>
  <si>
    <t>Abhinav Kumar Pandey</t>
  </si>
  <si>
    <t>LWD-24/02/2026</t>
  </si>
  <si>
    <t>pandeyabhinav786@gmail.com</t>
  </si>
  <si>
    <t>4.5 Years</t>
  </si>
  <si>
    <t>Smatbot</t>
  </si>
  <si>
    <t>Ayushi Sahu</t>
  </si>
  <si>
    <t>LWD-09/02/2026</t>
  </si>
  <si>
    <t>ayushisahu415@gmail.com</t>
  </si>
  <si>
    <t>4.4 Years</t>
  </si>
  <si>
    <t>Accenture</t>
  </si>
  <si>
    <t>Offer Released</t>
  </si>
  <si>
    <t>Venu Madhuri</t>
  </si>
  <si>
    <t>bvenumadhuri569@gmail.com</t>
  </si>
  <si>
    <t>Grayradiant Data Services</t>
  </si>
  <si>
    <t>MAHESH BHARTI</t>
  </si>
  <si>
    <t>LWD-10/02/206</t>
  </si>
  <si>
    <t>bhartimontu231@gmail.com</t>
  </si>
  <si>
    <t>4.7 Years</t>
  </si>
  <si>
    <t>Aila Bharath Kumar Reddy</t>
  </si>
  <si>
    <t>ailabharath444@gmail.com</t>
  </si>
  <si>
    <t>Blunet ventures pvt Ltd</t>
  </si>
  <si>
    <t>Muthu Kumaresan</t>
  </si>
  <si>
    <t>muthu.kumaresan.it@gmail.com</t>
  </si>
  <si>
    <t>Global Logic</t>
  </si>
  <si>
    <t>43 LPA</t>
  </si>
  <si>
    <t>51 LPA</t>
  </si>
  <si>
    <t>21/01/2026</t>
  </si>
  <si>
    <t>Sanjith</t>
  </si>
  <si>
    <t>sanjithsanni@gmail.com</t>
  </si>
  <si>
    <t xml:space="preserve"> 3 Month</t>
  </si>
  <si>
    <t xml:space="preserve"> Motion Graphics &amp; Print Design</t>
  </si>
  <si>
    <t xml:space="preserve"> Eywamedia Private Limited</t>
  </si>
  <si>
    <t>18 K</t>
  </si>
  <si>
    <t>Anupama.D.V</t>
  </si>
  <si>
    <t xml:space="preserve"> anupama.printmedia@gmail.com</t>
  </si>
  <si>
    <t>20 to 25 K</t>
  </si>
  <si>
    <t>ARUN</t>
  </si>
  <si>
    <t xml:space="preserve"> 10 Days</t>
  </si>
  <si>
    <t xml:space="preserve"> arunkok07@gmail.com</t>
  </si>
  <si>
    <t xml:space="preserve"> 1 Year</t>
  </si>
  <si>
    <t xml:space="preserve"> SOCIAL ELIXIR (Marketing Agency)</t>
  </si>
  <si>
    <t>20 K</t>
  </si>
  <si>
    <t xml:space="preserve"> 25 K</t>
  </si>
  <si>
    <t>Sachin As</t>
  </si>
  <si>
    <t>30 Days( 15 days Negotiable)</t>
  </si>
  <si>
    <t xml:space="preserve"> ssachinas99@gmail.com</t>
  </si>
  <si>
    <t xml:space="preserve"> Motion graphics</t>
  </si>
  <si>
    <t xml:space="preserve"> 1.5 Year</t>
  </si>
  <si>
    <t xml:space="preserve"> Pixa Mount innovations </t>
  </si>
  <si>
    <t xml:space="preserve"> 4 LPA</t>
  </si>
  <si>
    <t>Mahima N</t>
  </si>
  <si>
    <t>LWD - 31/01/2026</t>
  </si>
  <si>
    <t>mahimanagaraj7698@gmail.com</t>
  </si>
  <si>
    <t xml:space="preserve"> Circana</t>
  </si>
  <si>
    <t xml:space="preserve"> Raveendra Kattubadi </t>
  </si>
  <si>
    <t>raveendrakattubadi@gmail.com</t>
  </si>
  <si>
    <t>Tata Consultancy Services</t>
  </si>
  <si>
    <t>Gautam Singh</t>
  </si>
  <si>
    <t>gautam7109@gmail.com</t>
  </si>
  <si>
    <t>Tata Elxsi</t>
  </si>
  <si>
    <t>Jagadesh</t>
  </si>
  <si>
    <t>jagadeshbalu3@gmail.com</t>
  </si>
  <si>
    <t>4.6 Years</t>
  </si>
  <si>
    <t>Ramu Kondapalli</t>
  </si>
  <si>
    <t>ramukondapalli8688@gmail.com</t>
  </si>
  <si>
    <t>Tata  Consultancy Service</t>
  </si>
  <si>
    <t>Narendra</t>
  </si>
  <si>
    <t>narenxs02@gmail.com</t>
  </si>
  <si>
    <t>Shriram Finance</t>
  </si>
  <si>
    <t>Mohammed Shaheed</t>
  </si>
  <si>
    <t>mohammedshaheed757@gmail.com</t>
  </si>
  <si>
    <t>Zepto</t>
  </si>
  <si>
    <t>11 LPA(Negotiable)</t>
  </si>
  <si>
    <t>Employee Reference</t>
  </si>
  <si>
    <t>Krishna Mahindra</t>
  </si>
  <si>
    <t>krishnamanindra1996@gmail.com</t>
  </si>
  <si>
    <t>8 LPA (negotiable)</t>
  </si>
  <si>
    <t>Sadhana R</t>
  </si>
  <si>
    <t>sadhanar1989@gmail.com</t>
  </si>
  <si>
    <t>91482 61362</t>
  </si>
  <si>
    <t>OnlineTek Support</t>
  </si>
  <si>
    <t>3.6 LPA</t>
  </si>
  <si>
    <t>Tech 2 Reject</t>
  </si>
  <si>
    <t>Lakshmi</t>
  </si>
  <si>
    <t>reddylakshmi8296@gamil.com</t>
  </si>
  <si>
    <t>B.sc</t>
  </si>
  <si>
    <t>HDFC Sales</t>
  </si>
  <si>
    <t>1.92 LPA</t>
  </si>
  <si>
    <t>anwesha</t>
  </si>
  <si>
    <t>anweshamohanty2516@gmail.com</t>
  </si>
  <si>
    <t>3.8 Years</t>
  </si>
  <si>
    <t>JD Overdrive PVT LTD</t>
  </si>
  <si>
    <t>As per company norms</t>
  </si>
  <si>
    <t>rimpy</t>
  </si>
  <si>
    <t>rimpykumari73@gmail.com</t>
  </si>
  <si>
    <t>BBA</t>
  </si>
  <si>
    <t>3.7 Years</t>
  </si>
  <si>
    <t>Unacademy</t>
  </si>
  <si>
    <t>Shailaja</t>
  </si>
  <si>
    <t>30 Days (Negotiable)</t>
  </si>
  <si>
    <t>shailajakharvi02@gmail.com</t>
  </si>
  <si>
    <t xml:space="preserve">6 months </t>
  </si>
  <si>
    <t>Vprintu Digital</t>
  </si>
  <si>
    <t>Bangalore</t>
  </si>
  <si>
    <t>As per the company norms</t>
  </si>
  <si>
    <t>hkumari390@gmail.com</t>
  </si>
  <si>
    <t>3 months</t>
  </si>
  <si>
    <t>Printo Digital Solutions</t>
  </si>
  <si>
    <t>Tumkur</t>
  </si>
  <si>
    <t>Vinay G R</t>
  </si>
  <si>
    <t>vinaygr05@gmail.com</t>
  </si>
  <si>
    <t>Cholamandalam Investment and Finance company Limited</t>
  </si>
  <si>
    <t>Poonam Gupta</t>
  </si>
  <si>
    <t>LWD - 23/01/2026</t>
  </si>
  <si>
    <t>guptapoonam111997@gmail.com</t>
  </si>
  <si>
    <t>7.4 LPA</t>
  </si>
  <si>
    <t>Delhi</t>
  </si>
  <si>
    <t>Dhanush M</t>
  </si>
  <si>
    <t>30Days</t>
  </si>
  <si>
    <t>dhanushmraj2004@gmail.com</t>
  </si>
  <si>
    <t>B.COM</t>
  </si>
  <si>
    <t>Lenskart</t>
  </si>
  <si>
    <t>1 lpa</t>
  </si>
  <si>
    <t>2.5 lpa</t>
  </si>
  <si>
    <t>Jyoti M</t>
  </si>
  <si>
    <t>jgaddi423@gmail.com</t>
  </si>
  <si>
    <t>1.8 Year</t>
  </si>
  <si>
    <t>Clover Finhouse</t>
  </si>
  <si>
    <t>2.2 lpa</t>
  </si>
  <si>
    <t>Raksha n</t>
  </si>
  <si>
    <t>rakshagowda1803@gmail.com</t>
  </si>
  <si>
    <t>Manapuram finance ltd</t>
  </si>
  <si>
    <t>2.58 LPA</t>
  </si>
  <si>
    <t>2.76 LPA</t>
  </si>
  <si>
    <t>maduri</t>
  </si>
  <si>
    <t>madhurinagraj2001@gmail.com</t>
  </si>
  <si>
    <t>revati patil</t>
  </si>
  <si>
    <t>Hubballi</t>
  </si>
  <si>
    <t>akhilesh</t>
  </si>
  <si>
    <t>Mangaluru</t>
  </si>
  <si>
    <t>prerana</t>
  </si>
  <si>
    <t>m niharika</t>
  </si>
  <si>
    <t>Raichuru</t>
  </si>
  <si>
    <t>Nida afrin</t>
  </si>
  <si>
    <t>nidaafrins94@gmail.com</t>
  </si>
  <si>
    <t>Klynk</t>
  </si>
  <si>
    <t>chetan</t>
  </si>
  <si>
    <t>kichadechetan@gmail.com</t>
  </si>
  <si>
    <t>Games 24x7</t>
  </si>
  <si>
    <t>shivakumar</t>
  </si>
  <si>
    <t>30  Days</t>
  </si>
  <si>
    <t>shivakumarabmg@gmail.com</t>
  </si>
  <si>
    <t>Manipal MedAce</t>
  </si>
  <si>
    <t>anjali</t>
  </si>
  <si>
    <t>anjaliprakash1007@gmail.com</t>
  </si>
  <si>
    <r>
      <t xml:space="preserve">  </t>
    </r>
    <r>
      <rPr>
        <sz val="12"/>
        <color rgb="FF000000"/>
        <rFont val="Calibri"/>
        <scheme val="minor"/>
      </rPr>
      <t>Bajaj Finance Limited</t>
    </r>
  </si>
  <si>
    <t>0.5 LPA</t>
  </si>
  <si>
    <t>zeeshan</t>
  </si>
  <si>
    <t>zeeshan.azhar1986@gmail.com</t>
  </si>
  <si>
    <t>BBM</t>
  </si>
  <si>
    <t xml:space="preserve"> Mahindra Integrated Businees Solutions Pvt Ltd</t>
  </si>
  <si>
    <t>Ashwini</t>
  </si>
  <si>
    <t>shwiniprakash213@gmail.com</t>
  </si>
  <si>
    <t>CIE Automotive India Ltd</t>
  </si>
  <si>
    <t xml:space="preserve"> 5.5 LPA</t>
  </si>
  <si>
    <t>Rajashekar G</t>
  </si>
  <si>
    <t>rajashekkar10@gmail.com</t>
  </si>
  <si>
    <t>Kris Flexipacks/ Ficus pax</t>
  </si>
  <si>
    <t>HariKrishna R</t>
  </si>
  <si>
    <t>harikrishnayashoda@gmail.com</t>
  </si>
  <si>
    <t>Bharthi Airtel Limited</t>
  </si>
  <si>
    <t>Krithika Noorithaya</t>
  </si>
  <si>
    <t>krithikapn707@gmail.com</t>
  </si>
  <si>
    <t>tech 1 to be scheduled</t>
  </si>
  <si>
    <t>Shruthi Shetty</t>
  </si>
  <si>
    <t>shruthi1203@gmail.com</t>
  </si>
  <si>
    <t>Triloke</t>
  </si>
  <si>
    <t>Sujay Maikal</t>
  </si>
  <si>
    <t>sujaymbarboza@gmail.com</t>
  </si>
  <si>
    <t>Edtech Innovate Pvt Ltd</t>
  </si>
  <si>
    <t>10.4 LPA</t>
  </si>
  <si>
    <t>Alladurgam Sai Kiran</t>
  </si>
  <si>
    <t>30 Days(Negotiable)</t>
  </si>
  <si>
    <t>saikiranalladurgam63@gmail.com</t>
  </si>
  <si>
    <t>3 .2 Years</t>
  </si>
  <si>
    <t>R1RCM</t>
  </si>
  <si>
    <t>Lavanya</t>
  </si>
  <si>
    <t>90 Days (Negotiable 45 Days-Buyout Option)</t>
  </si>
  <si>
    <t>lavaar861@gmail.com</t>
  </si>
  <si>
    <t>Chennai</t>
  </si>
  <si>
    <t>Santosh M. Hampannawar</t>
  </si>
  <si>
    <t>LWD 13 Feb 2026</t>
  </si>
  <si>
    <t>santoshhampannawar0831@gmail.com</t>
  </si>
  <si>
    <t>KR3 information system private LTD</t>
  </si>
  <si>
    <t>28 LPA (Neg)</t>
  </si>
  <si>
    <t>Chhandashi Saha</t>
  </si>
  <si>
    <t>90 days (Negotiable 30 Days)</t>
  </si>
  <si>
    <t>chhandashisaha39@gmail.com</t>
  </si>
  <si>
    <t>Cognizant</t>
  </si>
  <si>
    <t>7.6 LPA</t>
  </si>
  <si>
    <t>Kolkata</t>
  </si>
  <si>
    <t>Dennis Sam</t>
  </si>
  <si>
    <t>LWD 13 Dec 2025</t>
  </si>
  <si>
    <t>denniarems@gmail.com</t>
  </si>
  <si>
    <t>DappGenie</t>
  </si>
  <si>
    <t>13 LPA</t>
  </si>
  <si>
    <t>18 LPA</t>
  </si>
  <si>
    <t>Position Hold</t>
  </si>
  <si>
    <t>Bijay Kumar Mohanty</t>
  </si>
  <si>
    <t xml:space="preserve"> LWD 31 oct 2025</t>
  </si>
  <si>
    <t>bijaykumarbiju070@gmail.com</t>
  </si>
  <si>
    <t>9.5 Years</t>
  </si>
  <si>
    <t>IT Lead Plum Benefits Pvt. Ltd</t>
  </si>
  <si>
    <t>LWD 2 Jan 2026</t>
  </si>
  <si>
    <t>chanduakhi888@gmail.com</t>
  </si>
  <si>
    <t>Shivaprasad</t>
  </si>
  <si>
    <t>LWD  Aug 2025</t>
  </si>
  <si>
    <t xml:space="preserve">msprasad548@gmail.com </t>
  </si>
  <si>
    <t>Infosys BPM Pvt. Ltd</t>
  </si>
  <si>
    <t>Tech 1 rejected</t>
  </si>
  <si>
    <t>aiswaryasreenivasan21@gmail.com</t>
  </si>
  <si>
    <t>B com</t>
  </si>
  <si>
    <t>Inc Express Shipping Llc</t>
  </si>
  <si>
    <t>1.8 LPA</t>
  </si>
  <si>
    <t>Kerala</t>
  </si>
  <si>
    <t>mpharshitha19@gmail.com</t>
  </si>
  <si>
    <t>2.6 Years</t>
  </si>
  <si>
    <t>Tally solution Pvt Ltd</t>
  </si>
  <si>
    <t>Chaya Bai</t>
  </si>
  <si>
    <t>chayabai690@gmail.com</t>
  </si>
  <si>
    <t>Invoice Capture Associate</t>
  </si>
  <si>
    <t>2.10 LPA</t>
  </si>
  <si>
    <t>Tanushree shettigar</t>
  </si>
  <si>
    <t>tanushreeshettigar@gmail.com</t>
  </si>
  <si>
    <t>Maverick Vacuum Technologies Pvt. Ltd</t>
  </si>
  <si>
    <t>Chandrika S</t>
  </si>
  <si>
    <t>chand21974@gmail.com</t>
  </si>
  <si>
    <t xml:space="preserve">GAP </t>
  </si>
  <si>
    <t>2.52 LPA</t>
  </si>
  <si>
    <t>Gourav Moger</t>
  </si>
  <si>
    <t>60 days ( Negotiable-15 days )</t>
  </si>
  <si>
    <t>gouravmoger@gmail.com</t>
  </si>
  <si>
    <t>4.3 Years</t>
  </si>
  <si>
    <t>iTwine Technologies</t>
  </si>
  <si>
    <t>Mangalore</t>
  </si>
  <si>
    <t>10 LPA ( Negotiable )</t>
  </si>
  <si>
    <t>Position on Hold</t>
  </si>
  <si>
    <t>Chandrushekar B</t>
  </si>
  <si>
    <t>chandrushekhar54@gmail.com</t>
  </si>
  <si>
    <t>BCITS Pvt. Ltd</t>
  </si>
  <si>
    <t>11.6 LPA</t>
  </si>
  <si>
    <t>Davangere</t>
  </si>
  <si>
    <t>30% hike</t>
  </si>
  <si>
    <t>SWASTHIK D</t>
  </si>
  <si>
    <t>LWD-13/02/2026</t>
  </si>
  <si>
    <t>swasthikdml27@gmail.com</t>
  </si>
  <si>
    <t>Bentley Systems</t>
  </si>
  <si>
    <t>30% hike ( Negotiable )</t>
  </si>
  <si>
    <t>Kalyan Giri</t>
  </si>
  <si>
    <t>30 days</t>
  </si>
  <si>
    <t>kalyan039@gmail.com</t>
  </si>
  <si>
    <t>EdgeQ</t>
  </si>
  <si>
    <t>Netherlands</t>
  </si>
  <si>
    <t>4,00,000 per month</t>
  </si>
  <si>
    <t>Vishwajeet Kumar Singh</t>
  </si>
  <si>
    <t>LWD-01/03/2026</t>
  </si>
  <si>
    <t>Kumarsinghvishwajeet77@gmail.com</t>
  </si>
  <si>
    <t>TCTSL</t>
  </si>
  <si>
    <t>1,50,000 per month</t>
  </si>
  <si>
    <t>Rajkumar Bodakuntla</t>
  </si>
  <si>
    <t>5 Days</t>
  </si>
  <si>
    <t>rajkumarbodakuntla9@gmail.com</t>
  </si>
  <si>
    <t>BCOM</t>
  </si>
  <si>
    <t>Kapil Knowledge Hub Pvt Ltd</t>
  </si>
  <si>
    <t>Shwetha V</t>
  </si>
  <si>
    <t>shwethav132@gmail.com</t>
  </si>
  <si>
    <t>1.7 Year</t>
  </si>
  <si>
    <t>4 lpa</t>
  </si>
  <si>
    <t>Swaraj Vivek Deshmukh</t>
  </si>
  <si>
    <t>swarajdeshmukh27@gmail.com</t>
  </si>
  <si>
    <t>2 Year</t>
  </si>
  <si>
    <t>SymX InfoSolution Pvt. Ltd</t>
  </si>
  <si>
    <t>Maharashtra</t>
  </si>
  <si>
    <t>Vijay mahantesh Harlapur</t>
  </si>
  <si>
    <t>harlapurvijay@gmail.com</t>
  </si>
  <si>
    <t>Byju's</t>
  </si>
  <si>
    <t>Hubli</t>
  </si>
  <si>
    <t>5 lpa</t>
  </si>
  <si>
    <t>Sarthak Sharma</t>
  </si>
  <si>
    <t>60 days ( negotiable )</t>
  </si>
  <si>
    <t>reachsarthaksharma@gmail.com</t>
  </si>
  <si>
    <t>3.5 Years</t>
  </si>
  <si>
    <t>Arcesium</t>
  </si>
  <si>
    <t>2.8  LPA</t>
  </si>
  <si>
    <t>Charulatha P G</t>
  </si>
  <si>
    <t>pgcharulatha@gmail.com</t>
  </si>
  <si>
    <t>3 Months</t>
  </si>
  <si>
    <t>KSD Advisory</t>
  </si>
  <si>
    <t>Tamil Nadu</t>
  </si>
  <si>
    <t>Jilson Joseph</t>
  </si>
  <si>
    <t>jilsonjoseph98@gmail.com</t>
  </si>
  <si>
    <t>b.sc</t>
  </si>
  <si>
    <t>6 Months( Internship)</t>
  </si>
  <si>
    <t>Superion Technologies</t>
  </si>
  <si>
    <t>Banglore</t>
  </si>
  <si>
    <t>Marguerite</t>
  </si>
  <si>
    <t>margueritemargie28@gmail.com</t>
  </si>
  <si>
    <t>Motion Graphic Design, Arena Animation</t>
  </si>
  <si>
    <t>Freelance graphic designer, Cimpress India pvt ltd</t>
  </si>
  <si>
    <t>Rashmi S</t>
  </si>
  <si>
    <t>rashmism2307@gmall.com</t>
  </si>
  <si>
    <t xml:space="preserve"> Bharti Airtel </t>
  </si>
  <si>
    <t>Anuj Kumar Chand</t>
  </si>
  <si>
    <t xml:space="preserve"> anujchand27@gmail.com</t>
  </si>
  <si>
    <t xml:space="preserve"> 2 Year</t>
  </si>
  <si>
    <t xml:space="preserve"> Cult.Fit</t>
  </si>
  <si>
    <t>2.64 LPA</t>
  </si>
  <si>
    <t>Mohammed Nawaz</t>
  </si>
  <si>
    <t xml:space="preserve"> mohammednawaz.95t@gmail.com</t>
  </si>
  <si>
    <t>1.5 Year</t>
  </si>
  <si>
    <t>Urban Company</t>
  </si>
  <si>
    <t>33 K</t>
  </si>
  <si>
    <t xml:space="preserve"> 10% Hike</t>
  </si>
  <si>
    <t>Karan T</t>
  </si>
  <si>
    <t xml:space="preserve"> karan.mrvk@gmail.com</t>
  </si>
  <si>
    <t xml:space="preserve"> Evoxilation Technologies</t>
  </si>
  <si>
    <t>15 K</t>
  </si>
  <si>
    <t xml:space="preserve"> 30 K(Negotiable)</t>
  </si>
  <si>
    <t>Naveen G</t>
  </si>
  <si>
    <t xml:space="preserve"> naveenparker11@gmail.com</t>
  </si>
  <si>
    <t>10 Months</t>
  </si>
  <si>
    <t>Asian Paints Ltd.</t>
  </si>
  <si>
    <t>28 K</t>
  </si>
  <si>
    <t xml:space="preserve"> 30 to 35 K</t>
  </si>
  <si>
    <t>Vijay Kumar Reddy Nossam</t>
  </si>
  <si>
    <t>vijaynossam248@gmail.com</t>
  </si>
  <si>
    <t>1.6 Years</t>
  </si>
  <si>
    <t>Apnnaghar Property Management</t>
  </si>
  <si>
    <t>Eshwar Reddy</t>
  </si>
  <si>
    <t>sruthi3593@gmail.com</t>
  </si>
  <si>
    <t>B Tech</t>
  </si>
  <si>
    <t>1.4 Years</t>
  </si>
  <si>
    <t>Ajr Info System</t>
  </si>
  <si>
    <t>Sowmya Narayan</t>
  </si>
  <si>
    <t>narayanan25112002@gmail.co</t>
  </si>
  <si>
    <t>3 Years</t>
  </si>
  <si>
    <t>Lakshmi Ceramics Madurai</t>
  </si>
  <si>
    <t>Madurai</t>
  </si>
  <si>
    <t>Vinod Kumar Reddy</t>
  </si>
  <si>
    <t>60 Days(Neg 30 days)</t>
  </si>
  <si>
    <t>vinod.tech47@gmail.com</t>
  </si>
  <si>
    <t>96427 64261</t>
  </si>
  <si>
    <t>Bank Genie</t>
  </si>
  <si>
    <t>Mysore</t>
  </si>
  <si>
    <t>Shilpa Poojary</t>
  </si>
  <si>
    <t>LWD 17 Jan 2026</t>
  </si>
  <si>
    <t>shilpapoojary15@gmail.com</t>
  </si>
  <si>
    <t>Manipal Payment &amp; Identity solution Ltd</t>
  </si>
  <si>
    <t>Udupi</t>
  </si>
  <si>
    <t>Sarannya</t>
  </si>
  <si>
    <t>90 Days(Neg 30 Days)</t>
  </si>
  <si>
    <t>srnsep9@gmail.com</t>
  </si>
  <si>
    <t>IBM-Honda</t>
  </si>
  <si>
    <t>15 LPA</t>
  </si>
  <si>
    <t>Kochi</t>
  </si>
  <si>
    <t>rejected by client</t>
  </si>
  <si>
    <t>Gautam Kumar</t>
  </si>
  <si>
    <t>LWD Oct 2025</t>
  </si>
  <si>
    <t>gautihit@gmail.com</t>
  </si>
  <si>
    <t>Coforge Limited</t>
  </si>
  <si>
    <t>Gurgaon</t>
  </si>
  <si>
    <t>Marthala Madhava</t>
  </si>
  <si>
    <t>madhava.m0896@gmail.com</t>
  </si>
  <si>
    <t>5.11 Years</t>
  </si>
  <si>
    <t>Jukshio innovation Technology Pvt.Ltd,</t>
  </si>
  <si>
    <t>Tech 1 to be scheduled</t>
  </si>
  <si>
    <t>Nitin Kumar Srivastava</t>
  </si>
  <si>
    <t>nitin07.gkp@gmail.com</t>
  </si>
  <si>
    <t>12.5 Years</t>
  </si>
  <si>
    <t> McKinsey &amp; Company</t>
  </si>
  <si>
    <t>48LPA</t>
  </si>
  <si>
    <t>Anupama Bajpai</t>
  </si>
  <si>
    <t>LWD-15/02/2026</t>
  </si>
  <si>
    <t>bajpaianupama01@gmail.com</t>
  </si>
  <si>
    <t>Persistent</t>
  </si>
  <si>
    <t>Abhilash Mandaloju</t>
  </si>
  <si>
    <t>60 days ( On bench- 15 days )</t>
  </si>
  <si>
    <t>abhilashmandaloju@gmail.com</t>
  </si>
  <si>
    <t>55 LPA</t>
  </si>
  <si>
    <t>Aditya Vinay Achar</t>
  </si>
  <si>
    <t>adityavinayachar@gmail.com</t>
  </si>
  <si>
    <t>12.6 Years</t>
  </si>
  <si>
    <t>OPENHOUSE</t>
  </si>
  <si>
    <t>32.5 LPA</t>
  </si>
  <si>
    <t>Gangadharyadav</t>
  </si>
  <si>
    <t>Payal Kumari</t>
  </si>
  <si>
    <t>THIRUVAYIPATI.MANI</t>
  </si>
  <si>
    <t>Anuj Patwari</t>
  </si>
  <si>
    <t xml:space="preserve"> Ushashree</t>
  </si>
  <si>
    <t>Shaik abdul</t>
  </si>
  <si>
    <t>Gediya Amit</t>
  </si>
  <si>
    <t>ARSHIYA M</t>
  </si>
  <si>
    <t>Manimala R</t>
  </si>
  <si>
    <t>KUBERALAKSHMI M</t>
  </si>
  <si>
    <t>Sowmnya Shet</t>
  </si>
  <si>
    <t xml:space="preserve"> 30 Days( 15 days Negotiable)</t>
  </si>
  <si>
    <t>shetsowmya@gmail.com</t>
  </si>
  <si>
    <t xml:space="preserve"> Maya Solutions </t>
  </si>
  <si>
    <t xml:space="preserve"> Manglore</t>
  </si>
  <si>
    <t xml:space="preserve"> 12 LPA</t>
  </si>
  <si>
    <t>Sandeep govind ambig</t>
  </si>
  <si>
    <t xml:space="preserve"> sandeepambig0@gmail.com</t>
  </si>
  <si>
    <t xml:space="preserve"> 1 Year 6 Month</t>
  </si>
  <si>
    <t xml:space="preserve"> TRENT LTD (TATA Retail Enterprise) </t>
  </si>
  <si>
    <t>Somu Bailakoor</t>
  </si>
  <si>
    <t xml:space="preserve"> bailakoorsomu5@gmail.com</t>
  </si>
  <si>
    <t>6 Month</t>
  </si>
  <si>
    <t xml:space="preserve"> 20 k</t>
  </si>
  <si>
    <t>Venkatesh</t>
  </si>
  <si>
    <t xml:space="preserve"> venkateshakon777@gmail.com</t>
  </si>
  <si>
    <t xml:space="preserve"> Bosch Ltd</t>
  </si>
  <si>
    <t>Pruthvi</t>
  </si>
  <si>
    <t>pruthvi4371@gmail.com</t>
  </si>
  <si>
    <t>1.2 Years</t>
  </si>
  <si>
    <t>Blue Chip Informatics Pvt. Ltd</t>
  </si>
  <si>
    <t>3.8 LPA</t>
  </si>
  <si>
    <t xml:space="preserve"> Kishore Kumar</t>
  </si>
  <si>
    <t>kishorekumar.selvaraja13@gmail.com</t>
  </si>
  <si>
    <t>Smart Irrigation &amp; Farm Monitoring Platform</t>
  </si>
  <si>
    <t>20.5 LPA</t>
  </si>
  <si>
    <t>S Mohammed Tufail Alam</t>
  </si>
  <si>
    <t>tufailalam8073@gmail.com</t>
  </si>
  <si>
    <t>3 Month</t>
  </si>
  <si>
    <t>Electronics and gift store</t>
  </si>
  <si>
    <t>2.28 LPA</t>
  </si>
  <si>
    <t>Mumbai</t>
  </si>
  <si>
    <t>Shriya Hanchinal</t>
  </si>
  <si>
    <t>LWD 4 Feb 2026</t>
  </si>
  <si>
    <t>shriyahanchinal99@gmail.com</t>
  </si>
  <si>
    <t>4.32 LPA</t>
  </si>
  <si>
    <t>Bangaluru</t>
  </si>
  <si>
    <t>Tech 1 Awaiting Feedback</t>
  </si>
  <si>
    <t>waiting interview feedback</t>
  </si>
  <si>
    <t>Rajkumar Singh</t>
  </si>
  <si>
    <t>LWD 30 Jan 2026</t>
  </si>
  <si>
    <t>rksvm.win@gmail.com</t>
  </si>
  <si>
    <t xml:space="preserve">Webstream India Pvt Ltd- </t>
  </si>
  <si>
    <t>Not responding</t>
  </si>
  <si>
    <t>Dandu Siva Naga Varma</t>
  </si>
  <si>
    <t>LWD  5 Nov  2025</t>
  </si>
  <si>
    <t>DSNV.wintel@gmail.com</t>
  </si>
  <si>
    <t>Innoplix Software Private Limited</t>
  </si>
  <si>
    <t>Andra Pradesh</t>
  </si>
  <si>
    <t>Nandarapu Devarajulu</t>
  </si>
  <si>
    <t>LWD Sep 2025</t>
  </si>
  <si>
    <t>devarajulu1000@gmail.com</t>
  </si>
  <si>
    <t>5.6 Years</t>
  </si>
  <si>
    <t>Satra Services &amp; Solution Pvt. Ltd.</t>
  </si>
  <si>
    <t>8.15 LPA</t>
  </si>
  <si>
    <t>Pavithra</t>
  </si>
  <si>
    <t>pavithrakotian.1997@gmail.com</t>
  </si>
  <si>
    <t>6.11 Years</t>
  </si>
  <si>
    <t>Manipal Technology Limited</t>
  </si>
  <si>
    <t>Sunil Shetty</t>
  </si>
  <si>
    <t>45 Days</t>
  </si>
  <si>
    <t>sunilsshetty21@gmail.com</t>
  </si>
  <si>
    <t>6.2  LPA</t>
  </si>
  <si>
    <t>Kunal</t>
  </si>
  <si>
    <t>kunal249prasad@gmail.com</t>
  </si>
  <si>
    <t>Innova Solutions</t>
  </si>
  <si>
    <t>Ashutosh Kumar</t>
  </si>
  <si>
    <t>60 days ( On bench )</t>
  </si>
  <si>
    <t>ashutoshrex@gmail.com</t>
  </si>
  <si>
    <t> Publicis Sapient </t>
  </si>
  <si>
    <t>Mahesh G</t>
  </si>
  <si>
    <t>mahesh.datasolutions@gmail.com</t>
  </si>
  <si>
    <t>Visionet Systems </t>
  </si>
  <si>
    <t>32 LPA</t>
  </si>
  <si>
    <t>R001</t>
  </si>
  <si>
    <t>Kushal Sen</t>
  </si>
  <si>
    <t>ksenlaskar.in@gmail.com</t>
  </si>
  <si>
    <t>Tiger Analytics</t>
  </si>
  <si>
    <t>As per the company standars</t>
  </si>
  <si>
    <t>Niranjan</t>
  </si>
  <si>
    <t>LWD: 06-02-2026</t>
  </si>
  <si>
    <t>nannanavar@gmail.com</t>
  </si>
  <si>
    <t>11.6 Years</t>
  </si>
  <si>
    <t>Infogain</t>
  </si>
  <si>
    <t>33.5 LPA</t>
  </si>
  <si>
    <t>Sudhakar</t>
  </si>
  <si>
    <t>ssr6691@gmail.com</t>
  </si>
  <si>
    <t>Zeiss Group </t>
  </si>
  <si>
    <t>As per the company standards</t>
  </si>
  <si>
    <t>Maheshwari</t>
  </si>
  <si>
    <t>mahesfxit@gmail.com</t>
  </si>
  <si>
    <t>Data Software research company</t>
  </si>
  <si>
    <t>20% Hike (Negotibale)</t>
  </si>
  <si>
    <t>Vinu Nair</t>
  </si>
  <si>
    <t>vinunairuthaman@gmail.com</t>
  </si>
  <si>
    <t>Infologics</t>
  </si>
  <si>
    <t>Ninad Bhaskar</t>
  </si>
  <si>
    <t>raininad@gmail.com</t>
  </si>
  <si>
    <t>EGDK</t>
  </si>
  <si>
    <t>Abhishek Nayak</t>
  </si>
  <si>
    <t>45 Days (Buyout option is available)</t>
  </si>
  <si>
    <t>nayakabhishek55@gmail.com</t>
  </si>
  <si>
    <t>4+ Years</t>
  </si>
  <si>
    <t>Deeksha</t>
  </si>
  <si>
    <t>deekshas934@gmail.com</t>
  </si>
  <si>
    <t>Bix Bytes Solution</t>
  </si>
  <si>
    <t>Nagendra</t>
  </si>
  <si>
    <t>mnagendra1892@gmail.com</t>
  </si>
  <si>
    <t>Prodeco Technologies</t>
  </si>
  <si>
    <t>Adarsh</t>
  </si>
  <si>
    <t>aadarshsingh0105@gmail.com</t>
  </si>
  <si>
    <t>3.6 Years</t>
  </si>
  <si>
    <t>Agnito Technologies</t>
  </si>
  <si>
    <t>Bhopal</t>
  </si>
  <si>
    <t>Mani Bharathi</t>
  </si>
  <si>
    <t>LWD: 07-2-26</t>
  </si>
  <si>
    <t>manibharathipalani@gmail.com</t>
  </si>
  <si>
    <t>Arun Deepak</t>
  </si>
  <si>
    <t>arundeepak23cse@gmail.com</t>
  </si>
  <si>
    <t>Helyxon Healthcare Solutions</t>
  </si>
  <si>
    <t>Manoj Kumar</t>
  </si>
  <si>
    <t xml:space="preserve"> manojkumar22.devraj@gmail.com</t>
  </si>
  <si>
    <t>Scientific Games</t>
  </si>
  <si>
    <t>Rameesh Mon M</t>
  </si>
  <si>
    <t>rameesh333221@gmail.com</t>
  </si>
  <si>
    <t xml:space="preserve"> ECE</t>
  </si>
  <si>
    <t xml:space="preserve"> EG India</t>
  </si>
  <si>
    <t xml:space="preserve"> 8 LPA</t>
  </si>
  <si>
    <t>Manglore</t>
  </si>
  <si>
    <t>13 LPA(Negotiable)</t>
  </si>
  <si>
    <t>Rashmi</t>
  </si>
  <si>
    <t>kharvirashmi2001@gmail.com</t>
  </si>
  <si>
    <t>Diploma In CS &amp; Eng</t>
  </si>
  <si>
    <t>DevAppSys IT Solutions Pvt Ltd</t>
  </si>
  <si>
    <t>6 LPA (Neg)</t>
  </si>
  <si>
    <t>Nithin</t>
  </si>
  <si>
    <t>nithinknoxjoseph@gmail.com</t>
  </si>
  <si>
    <t>MSC</t>
  </si>
  <si>
    <t>2+ Years</t>
  </si>
  <si>
    <t>Trident Techlab </t>
  </si>
  <si>
    <t>Suresh</t>
  </si>
  <si>
    <t>dasarisuresh4444@gmail.com</t>
  </si>
  <si>
    <t>Simplify3x Software</t>
  </si>
  <si>
    <t>5.8 Years</t>
  </si>
  <si>
    <t>20% Hike (Neg)</t>
  </si>
  <si>
    <t>Abhilash</t>
  </si>
  <si>
    <t>abhilashacharya599@gmail.com</t>
  </si>
  <si>
    <t>2.5 Years</t>
  </si>
  <si>
    <t>LTIMindtree</t>
  </si>
  <si>
    <t>Navaneeth</t>
  </si>
  <si>
    <t>navaneet.chitrapur@gmail.com</t>
  </si>
  <si>
    <t>Vinnovate Labz</t>
  </si>
  <si>
    <t>30 % Hike (Neg)</t>
  </si>
  <si>
    <t>Muhammed Jaseer</t>
  </si>
  <si>
    <t>mjaseer43@gmail.com</t>
  </si>
  <si>
    <t>Inno8ive</t>
  </si>
  <si>
    <t>Indore</t>
  </si>
  <si>
    <t>Azhar Khan</t>
  </si>
  <si>
    <t>azharrazakhan78611@gmail.com</t>
  </si>
  <si>
    <t>Thoughtwin IT Solutions</t>
  </si>
  <si>
    <t>Chandigarh</t>
  </si>
  <si>
    <t>Prashanth</t>
  </si>
  <si>
    <t>prashanthdsouza199@gmail.com</t>
  </si>
  <si>
    <t>Rockstar software</t>
  </si>
  <si>
    <t>3.7 LPA</t>
  </si>
  <si>
    <t>Niveditha</t>
  </si>
  <si>
    <t>nivedithaprabhu2000@gmail.com</t>
  </si>
  <si>
    <t>Chipsy IT Services</t>
  </si>
  <si>
    <t>Tech 2 to be Scheduled</t>
  </si>
  <si>
    <t>select</t>
  </si>
  <si>
    <t>GARIPALLI ROJARANI</t>
  </si>
  <si>
    <t>rojarani.garipally@gmail.com</t>
  </si>
  <si>
    <t>TCteS</t>
  </si>
  <si>
    <t>11.35 LPA</t>
  </si>
  <si>
    <t>Venkatesh H</t>
  </si>
  <si>
    <t>ramachandramcsa@gmail.com</t>
  </si>
  <si>
    <t>LTIMindtree </t>
  </si>
  <si>
    <t>9.6 LPA</t>
  </si>
  <si>
    <t>Hitesh C Jagtap</t>
  </si>
  <si>
    <t>30 days (Negotiable-15 days)</t>
  </si>
  <si>
    <t>hiteshjagtap290485@gmail.com</t>
  </si>
  <si>
    <t>NTT Data</t>
  </si>
  <si>
    <t>12.5 LPA</t>
  </si>
  <si>
    <t>RAHUL KUMAR</t>
  </si>
  <si>
    <t>rahulrjpt58@gmail.com</t>
  </si>
  <si>
    <t> INKOWTECH PRIVATE LIMITED</t>
  </si>
  <si>
    <t>Sambit Mohanty</t>
  </si>
  <si>
    <t>sambitmohantysipu@gmail.com</t>
  </si>
  <si>
    <t>Accenture </t>
  </si>
  <si>
    <t>Noel Nitin Dsouza</t>
  </si>
  <si>
    <t>LWD-07/03/2026 ( Negotiable )</t>
  </si>
  <si>
    <t>noelnitindsouza1998@gmail.com</t>
  </si>
  <si>
    <t>Hitachi Digital Services</t>
  </si>
  <si>
    <t>Yet to Offer</t>
  </si>
  <si>
    <t>Anilkumar</t>
  </si>
  <si>
    <t>n.anilkumar.vmware@gmail.com</t>
  </si>
  <si>
    <t>12.4 Years</t>
  </si>
  <si>
    <t>ATOS </t>
  </si>
  <si>
    <t>14.8 LPA</t>
  </si>
  <si>
    <t>Srinivasa B</t>
  </si>
  <si>
    <t>bendisrini@gmail.com</t>
  </si>
  <si>
    <t>Radial Omnichannel Technology</t>
  </si>
  <si>
    <t>52 LPA</t>
  </si>
  <si>
    <t>60 LPA</t>
  </si>
  <si>
    <t>Mujeeb Mohammad</t>
  </si>
  <si>
    <t>mohammad.mujeeb@gmail.com</t>
  </si>
  <si>
    <t>Sutherland</t>
  </si>
  <si>
    <t>Senthilkumar Parimanam</t>
  </si>
  <si>
    <t>reachme.senthilkumar@gmail.com</t>
  </si>
  <si>
    <t>17 Years</t>
  </si>
  <si>
    <t>Procyon TechnoStructure</t>
  </si>
  <si>
    <t>Balaji Bapurao Telange.</t>
  </si>
  <si>
    <t>balatelange@gmail.com</t>
  </si>
  <si>
    <t>Rajavi Technology PVT LTD</t>
  </si>
  <si>
    <t>Remote</t>
  </si>
  <si>
    <t>Gandvish B T</t>
  </si>
  <si>
    <t>gandvishreddy@gmail.com</t>
  </si>
  <si>
    <t>Quess Corp</t>
  </si>
  <si>
    <t>Surendhar</t>
  </si>
  <si>
    <t>surenram21@gmail.com</t>
  </si>
  <si>
    <t>Pooja kotian</t>
  </si>
  <si>
    <t>kotianpooja17@gmail.com</t>
  </si>
  <si>
    <t xml:space="preserve"> Technomers </t>
  </si>
  <si>
    <t>Sushmitha</t>
  </si>
  <si>
    <t>acharyasushmitha222@gmail.com</t>
  </si>
  <si>
    <t>2.5 Year</t>
  </si>
  <si>
    <t>7EDGE Private Limited</t>
  </si>
  <si>
    <t>Shishir Ballal</t>
  </si>
  <si>
    <t>45 Days(15 Days Negotiable)</t>
  </si>
  <si>
    <t>shishirballal2017@gmail.com</t>
  </si>
  <si>
    <t>2.6 Year</t>
  </si>
  <si>
    <t>Celebrity Interaction Platform</t>
  </si>
  <si>
    <t>Shrivatsa</t>
  </si>
  <si>
    <t>shrivatsarao9591@gmail.com</t>
  </si>
  <si>
    <t>3.4 Year</t>
  </si>
  <si>
    <t>Novigo Solutions Pvt Ltd</t>
  </si>
  <si>
    <t>5.8 LPA</t>
  </si>
  <si>
    <t>Abdul Mufeed</t>
  </si>
  <si>
    <t>abdul.mufeed03@gmail.com</t>
  </si>
  <si>
    <t>7EDGE Pvt. Ltd.</t>
  </si>
  <si>
    <t>5.9 LPA</t>
  </si>
  <si>
    <t>Sowmithri B S</t>
  </si>
  <si>
    <t>sowmi3b@gmail.com</t>
  </si>
  <si>
    <t>3.3 Year</t>
  </si>
  <si>
    <t>Robosoft Technology</t>
  </si>
  <si>
    <t>Abisheik Kumar</t>
  </si>
  <si>
    <t>LWD 16 Mar 2026</t>
  </si>
  <si>
    <t>abisheikabisheikking@gmail.com</t>
  </si>
  <si>
    <t>5.7 LPA</t>
  </si>
  <si>
    <t>Madhukar Mandharapu</t>
  </si>
  <si>
    <t>30 Days(Neg)</t>
  </si>
  <si>
    <t>madhukarmadz43@gmail.com</t>
  </si>
  <si>
    <t>3.9 Years</t>
  </si>
  <si>
    <t xml:space="preserve">Sunanda Jha </t>
  </si>
  <si>
    <t xml:space="preserve">sunandajha20@gmail.com </t>
  </si>
  <si>
    <t>13 Years</t>
  </si>
  <si>
    <t>Shivakumar Karanth</t>
  </si>
  <si>
    <t>Immedidate(LWD Nov 2025)</t>
  </si>
  <si>
    <t>sk.karanth@gmail.com</t>
  </si>
  <si>
    <t>UnifyCX</t>
  </si>
  <si>
    <t xml:space="preserve">Brindakumar M </t>
  </si>
  <si>
    <t>immedidate(LWD Dec 2025)</t>
  </si>
  <si>
    <t>    brindakumar.13@gmail.com</t>
  </si>
  <si>
    <t xml:space="preserve">M. Tech </t>
  </si>
  <si>
    <t xml:space="preserve">HCL </t>
  </si>
  <si>
    <t>11.5 LPA</t>
  </si>
  <si>
    <t>Coimbatore</t>
  </si>
  <si>
    <t>Akanksha Dubey</t>
  </si>
  <si>
    <t>30 days( neg 15 Days)</t>
  </si>
  <si>
    <t>ec2k97@gmail.com</t>
  </si>
  <si>
    <t>AjayVision Education Pvt. Ltd</t>
  </si>
  <si>
    <t>Javvadi Srinivasu</t>
  </si>
  <si>
    <t>srinivasjavvadi03@gmail.com</t>
  </si>
  <si>
    <t>Visaka Industries Limited</t>
  </si>
  <si>
    <t>Rupeshkumar komati</t>
  </si>
  <si>
    <t>Immediate(LWD dec 2025)</t>
  </si>
  <si>
    <t>rupeshkumarkomati139@gmail.com</t>
  </si>
  <si>
    <t>Saiga Software Solutions Pvt Ltd.</t>
  </si>
  <si>
    <t>Saran Santhanakrishnan</t>
  </si>
  <si>
    <t>saran.santhanakrishnan@gmail.com</t>
  </si>
  <si>
    <t>iAgami Technologies</t>
  </si>
  <si>
    <t xml:space="preserve">Trichy </t>
  </si>
  <si>
    <t>Kathika Anil</t>
  </si>
  <si>
    <t>LWD Apr 2025</t>
  </si>
  <si>
    <t>karthikaa10z@gmail.com</t>
  </si>
  <si>
    <t>Alpha Ori India Pvt Ltd</t>
  </si>
  <si>
    <t>6.3 LPA</t>
  </si>
  <si>
    <t>Rohit Yadav</t>
  </si>
  <si>
    <t>rohit0701yadav@gmail.com</t>
  </si>
  <si>
    <t>Cinntra Info Tech Pvt. Ltd</t>
  </si>
  <si>
    <t>KIRAN KUMAR</t>
  </si>
  <si>
    <t>kirankumark708@gmail.com</t>
  </si>
  <si>
    <t>OMA Emirates</t>
  </si>
  <si>
    <t>40% hike</t>
  </si>
  <si>
    <t>G Samiulla</t>
  </si>
  <si>
    <t>samiullapay@gmail.com</t>
  </si>
  <si>
    <t>5.7 Years</t>
  </si>
  <si>
    <t>Intent Software Solutions</t>
  </si>
  <si>
    <t>Naveen Kumar</t>
  </si>
  <si>
    <t>naveenkumar999400@gmail.com</t>
  </si>
  <si>
    <t>SWIPEWIRE TECHNOLOGIES </t>
  </si>
  <si>
    <t>8.2 LPA</t>
  </si>
  <si>
    <t>Chattisgarh</t>
  </si>
  <si>
    <t>Prince Kumar</t>
  </si>
  <si>
    <t>60 days ( Negotiable-30 days )</t>
  </si>
  <si>
    <t>ksonuprince@gmail.com</t>
  </si>
  <si>
    <t>+91 9158702509</t>
  </si>
  <si>
    <t>8.5 Years</t>
  </si>
  <si>
    <t>Aurus</t>
  </si>
  <si>
    <t>18.5 LPA</t>
  </si>
  <si>
    <t>25 LPA</t>
  </si>
  <si>
    <t>Shyama Kirana Sharma</t>
  </si>
  <si>
    <t>Shyamakirana@gmail.com</t>
  </si>
  <si>
    <t>Streamline Health care</t>
  </si>
  <si>
    <t>12.6 LPA</t>
  </si>
  <si>
    <t>16  LPA</t>
  </si>
  <si>
    <t>Srinivas  T</t>
  </si>
  <si>
    <t>Thiriveedhi850@gmail.com</t>
  </si>
  <si>
    <t>Narthana</t>
  </si>
  <si>
    <t>Priya Singh</t>
  </si>
  <si>
    <t>singpri21@gmail.com</t>
  </si>
  <si>
    <t>9.6 Years</t>
  </si>
  <si>
    <t>S&amp;P Global</t>
  </si>
  <si>
    <t xml:space="preserve">26 LPA </t>
  </si>
  <si>
    <t>Manish Pardhe</t>
  </si>
  <si>
    <t>pardhe.m30@gmail.com</t>
  </si>
  <si>
    <t>SK Finance Pvt. Ltd</t>
  </si>
  <si>
    <t>Jaipur</t>
  </si>
  <si>
    <t>       22 LPA</t>
  </si>
  <si>
    <t>Debasis Dhal</t>
  </si>
  <si>
    <t>29th January</t>
  </si>
  <si>
    <t>debasisdhal222@gmail.com</t>
  </si>
  <si>
    <t>Indies Technologies Pvt Ltd</t>
  </si>
  <si>
    <t>Odisha</t>
  </si>
  <si>
    <t>Pujari Chandini</t>
  </si>
  <si>
    <t>Pujarichandini40@gmail.com</t>
  </si>
  <si>
    <t>B. Tech</t>
  </si>
  <si>
    <t>4.3 LPA</t>
  </si>
  <si>
    <t>Altaf Khan</t>
  </si>
  <si>
    <t>eraltaf688@gmail.com </t>
  </si>
  <si>
    <t>TSB MEDIA VENTURE</t>
  </si>
  <si>
    <t>Rajasthan</t>
  </si>
  <si>
    <t>Gugan S</t>
  </si>
  <si>
    <t>2 Months (Negotiable)</t>
  </si>
  <si>
    <t>gugans.info@gmail.com</t>
  </si>
  <si>
    <t>Vivatech R&amp;D Private Limited</t>
  </si>
  <si>
    <t>Mahidar Reddy</t>
  </si>
  <si>
    <t>smreddy1998@gmail.com</t>
  </si>
  <si>
    <t>Sapphirus System Pvt Ltd</t>
  </si>
  <si>
    <t>Akash Santhosh</t>
  </si>
  <si>
    <t>60 Days(Negotiable)</t>
  </si>
  <si>
    <t>akash777kk@gmail.com</t>
  </si>
  <si>
    <t>Adarsh Rao</t>
  </si>
  <si>
    <t>13th February</t>
  </si>
  <si>
    <t>raoadarsh050@gmail.com</t>
  </si>
  <si>
    <t>Nihilent Limited</t>
  </si>
  <si>
    <t>Vaibhav Kumawat</t>
  </si>
  <si>
    <t>vaibhavkumawat009@gmail.com</t>
  </si>
  <si>
    <t>Chirpn It Solutions</t>
  </si>
  <si>
    <t>Madhya Pradesh</t>
  </si>
  <si>
    <t>Swathi Periyasamy</t>
  </si>
  <si>
    <t>swathiperiyasamy31@gmail.com</t>
  </si>
  <si>
    <t>Eksito IT Services Private Lt</t>
  </si>
  <si>
    <t>Renuka</t>
  </si>
  <si>
    <t>appiaishu123@gmail.com</t>
  </si>
  <si>
    <t>2.3 Years</t>
  </si>
  <si>
    <t>Broadwing Labs Private Limited</t>
  </si>
  <si>
    <t>Ziya Ul Rehman</t>
  </si>
  <si>
    <t>ziyaul75@yahoo.com</t>
  </si>
  <si>
    <t>YoungLabs</t>
  </si>
  <si>
    <t>Srinivasulu Pallala</t>
  </si>
  <si>
    <t>srinivaspallala6@gmail.com</t>
  </si>
  <si>
    <t>Wissen Infotech Pvt ltd</t>
  </si>
  <si>
    <t>7.18 LPA</t>
  </si>
  <si>
    <t>Ashish</t>
  </si>
  <si>
    <t>ranjanashish254@gmail.com</t>
  </si>
  <si>
    <t>Hashstudioz Technology Pvt. Ltd.</t>
  </si>
  <si>
    <t>Punjab</t>
  </si>
  <si>
    <t>Harish sahu</t>
  </si>
  <si>
    <t>hksm199@gmail.com</t>
  </si>
  <si>
    <t>Real State Social Media Platform</t>
  </si>
  <si>
    <t>Nagpur</t>
  </si>
  <si>
    <t>Abhishek Jena</t>
  </si>
  <si>
    <t>aj381997@gmail.com</t>
  </si>
  <si>
    <t>Litmus World</t>
  </si>
  <si>
    <t>Mantu Kumar Yadav</t>
  </si>
  <si>
    <t>mantutech12@gmail.com</t>
  </si>
  <si>
    <t>Property First Realty LLP</t>
  </si>
  <si>
    <t>Sivakumar</t>
  </si>
  <si>
    <t>skkumar2709200@gmail.com</t>
  </si>
  <si>
    <t>2.8 Years</t>
  </si>
  <si>
    <t>Pixalive Technology Services Pvt Ltd</t>
  </si>
  <si>
    <t>Kommanaboina Mahesh</t>
  </si>
  <si>
    <t>30days Neg (20 Days)</t>
  </si>
  <si>
    <t>kommanaboinamahesh@gmail.com</t>
  </si>
  <si>
    <t>Birlasoft</t>
  </si>
  <si>
    <t>Manoj Kumar Muduli</t>
  </si>
  <si>
    <t>30 days Neg( 20 days)</t>
  </si>
  <si>
    <t>manojkumarmuduli153@gmail.com</t>
  </si>
  <si>
    <t>Sify Technologies Ltd.</t>
  </si>
  <si>
    <t>Gopi Krishna Morla</t>
  </si>
  <si>
    <t>Currently Serving LWD 12 mar 2026</t>
  </si>
  <si>
    <t>krishnamorla18@gmail.com</t>
  </si>
  <si>
    <t>Sanket Khose</t>
  </si>
  <si>
    <t>Immediate(lwd 23 jan 2026)</t>
  </si>
  <si>
    <t>sanketkhose99@gmail.com</t>
  </si>
  <si>
    <t>Emcure Pharmaceuticals</t>
  </si>
  <si>
    <t>HARIPRASAD NUTTU</t>
  </si>
  <si>
    <t>LWD-04/03/2026</t>
  </si>
  <si>
    <t>hariprasadnuttu@gmail.com</t>
  </si>
  <si>
    <t>Impact Analytics </t>
  </si>
  <si>
    <t>Sumit Malhotra</t>
  </si>
  <si>
    <t>LWD-27/02/2026</t>
  </si>
  <si>
    <t>malhotrasumit1990@gmail.com</t>
  </si>
  <si>
    <t>T-Systems India</t>
  </si>
  <si>
    <t>27.9 LPA</t>
  </si>
  <si>
    <t>40 LPA ( Offer in hand - 34 LPA )</t>
  </si>
  <si>
    <t>Pankaj Joshi</t>
  </si>
  <si>
    <t>45 days ( On bench - 15 days )</t>
  </si>
  <si>
    <t>pankajjoshi130@gmail.com</t>
  </si>
  <si>
    <t>15 Years</t>
  </si>
  <si>
    <t>Sangeetha Subramanian</t>
  </si>
  <si>
    <t>sangeetha.subramanian@yahoo.com</t>
  </si>
  <si>
    <t>Infor Nexus</t>
  </si>
  <si>
    <t>VIVEK SHARMA</t>
  </si>
  <si>
    <t>vivekispossible@gmail.com</t>
  </si>
  <si>
    <t>alker Digital Table</t>
  </si>
  <si>
    <t>Naga Vijaya Lakshmi</t>
  </si>
  <si>
    <t>bandarunagavijayalakshmi@gmail.com</t>
  </si>
  <si>
    <t>HTC Global Services</t>
  </si>
  <si>
    <t>Sachin Girish</t>
  </si>
  <si>
    <t>sachingirish01@gmail.com</t>
  </si>
  <si>
    <t xml:space="preserve"> 2.6 Years</t>
  </si>
  <si>
    <t>iCliniq</t>
  </si>
  <si>
    <t xml:space="preserve"> 8 Lpa</t>
  </si>
  <si>
    <t>RAHUL G</t>
  </si>
  <si>
    <t xml:space="preserve"> 60 Days</t>
  </si>
  <si>
    <t>rahulgowda71098@gmail.com</t>
  </si>
  <si>
    <t xml:space="preserve"> 5 Years</t>
  </si>
  <si>
    <t>CGI</t>
  </si>
  <si>
    <t xml:space="preserve"> Banglore</t>
  </si>
  <si>
    <t xml:space="preserve"> 13 LPA</t>
  </si>
  <si>
    <t>KRISHNAMOORTHY S</t>
  </si>
  <si>
    <t>krishnavs111@gmail.com</t>
  </si>
  <si>
    <t xml:space="preserve"> 8 Years</t>
  </si>
  <si>
    <t xml:space="preserve"> 27 LPA</t>
  </si>
  <si>
    <t>Rupali Parmar</t>
  </si>
  <si>
    <t>singhparmarrupali@gmail.com</t>
  </si>
  <si>
    <t xml:space="preserve"> 4 Years</t>
  </si>
  <si>
    <t>NJ Financial and Developers Ltd.</t>
  </si>
  <si>
    <t>Priyanka Madan Wadkar</t>
  </si>
  <si>
    <t>wadkarpriyanka07@gmail.com</t>
  </si>
  <si>
    <t xml:space="preserve"> 1.6 Years</t>
  </si>
  <si>
    <t>Cogent E Services</t>
  </si>
  <si>
    <t>2.2 LPA</t>
  </si>
  <si>
    <t xml:space="preserve"> 2.5 LPA</t>
  </si>
  <si>
    <t>Anandkumar</t>
  </si>
  <si>
    <t>anandkumar.tm1401@gmail.com</t>
  </si>
  <si>
    <t xml:space="preserve"> 1.6 Year</t>
  </si>
  <si>
    <t>Eminence Technosytem</t>
  </si>
  <si>
    <t>ABINESH. S</t>
  </si>
  <si>
    <t>abineshgts1@gmail.com</t>
  </si>
  <si>
    <t xml:space="preserve"> 1.4 Years</t>
  </si>
  <si>
    <t>PALPX</t>
  </si>
  <si>
    <t xml:space="preserve"> Chennai</t>
  </si>
  <si>
    <t>ABHISHEK B UPPIN</t>
  </si>
  <si>
    <t>abhishek.b.uppin1999@gmail.com</t>
  </si>
  <si>
    <t xml:space="preserve"> 1.2 Years</t>
  </si>
  <si>
    <t>Cautilya Capital</t>
  </si>
  <si>
    <t>Amar Rai</t>
  </si>
  <si>
    <t>LWD - 7th Feb</t>
  </si>
  <si>
    <t>amarraitrust@gmail.com</t>
  </si>
  <si>
    <t xml:space="preserve"> BBA</t>
  </si>
  <si>
    <t xml:space="preserve"> 1 Years</t>
  </si>
  <si>
    <t>Zecode Fashion Brand India</t>
  </si>
  <si>
    <t>16 K</t>
  </si>
  <si>
    <t xml:space="preserve">   Bengaluru</t>
  </si>
  <si>
    <t xml:space="preserve"> 27 K</t>
  </si>
  <si>
    <t>Sahana Nagesh</t>
  </si>
  <si>
    <t>sahananagesh23@gmail.com</t>
  </si>
  <si>
    <t>Sheeltron Digital Systems Pvt Ltd</t>
  </si>
  <si>
    <t>4.5 LPA(Negotiable)</t>
  </si>
  <si>
    <t>Sandip Aher</t>
  </si>
  <si>
    <t>currently Serving LWD 25 Feb 2026</t>
  </si>
  <si>
    <t>sandipaher5432@gmail.com</t>
  </si>
  <si>
    <t>Infosys BPM Limited</t>
  </si>
  <si>
    <t>Mohd Zaid Valsangkar</t>
  </si>
  <si>
    <t>Immediate LWD feb 2025</t>
  </si>
  <si>
    <t>mohdzaidv35@gmail.com</t>
  </si>
  <si>
    <t>Cadeploy</t>
  </si>
  <si>
    <t>8.3 LPA</t>
  </si>
  <si>
    <t>Solapur</t>
  </si>
  <si>
    <t>Nilesh Kansal</t>
  </si>
  <si>
    <t>Immediate-LWD Jan 2025</t>
  </si>
  <si>
    <t>nileshkansal1@gmail.com</t>
  </si>
  <si>
    <t>Startup Mitra Consulting Private Limited</t>
  </si>
  <si>
    <t>13.20 LPA</t>
  </si>
  <si>
    <t>Rauf Qureshi</t>
  </si>
  <si>
    <t>Immediate LWD Dec 2025</t>
  </si>
  <si>
    <t>raufqureshi2001@gmail.com</t>
  </si>
  <si>
    <t>ACL   Digital                                                                                                              </t>
  </si>
  <si>
    <t>17 LPA</t>
  </si>
  <si>
    <t>Kashal Mandal</t>
  </si>
  <si>
    <t>Immediate-LWD Sep 2025</t>
  </si>
  <si>
    <t xml:space="preserve">    mrkaish@gmail.com                                                                    </t>
  </si>
  <si>
    <t>Caceis</t>
  </si>
  <si>
    <t>Saicharan Konduri</t>
  </si>
  <si>
    <t>Immediate- LWD 25 Mar 2026</t>
  </si>
  <si>
    <t>saicharan_konduri@rediffmail.com</t>
  </si>
  <si>
    <t>10.5 Years</t>
  </si>
  <si>
    <t>19 LPA</t>
  </si>
  <si>
    <t>Suneetha</t>
  </si>
  <si>
    <t>LWD 5 Feb 2026</t>
  </si>
  <si>
    <t>sunithasu2001@gmail.com</t>
  </si>
  <si>
    <t>Lance soft Engineering Pvt Ltd</t>
  </si>
  <si>
    <t>RAVINDRA KUMAR</t>
  </si>
  <si>
    <t>contact.ravindra22@gmail.com</t>
  </si>
  <si>
    <t>4.8 Years</t>
  </si>
  <si>
    <t> Nextgen eSolutions Pvt Ltd</t>
  </si>
  <si>
    <t>Venkatesh T</t>
  </si>
  <si>
    <t>venkatesh.t.sql@gmail.com</t>
  </si>
  <si>
    <t>4.2 Years</t>
  </si>
  <si>
    <t>4.7 LPA</t>
  </si>
  <si>
    <t>Gyananjay Nayak</t>
  </si>
  <si>
    <t>30 days ( Negotiable-15days )</t>
  </si>
  <si>
    <t>nayakgyananjay1999@gmail.com</t>
  </si>
  <si>
    <t>Cloudize DataTech</t>
  </si>
  <si>
    <t>KURUGUNTA HARITHA</t>
  </si>
  <si>
    <t>harithareddy0555@gmail.com</t>
  </si>
  <si>
    <t>Nuvama Wealth and Investment</t>
  </si>
  <si>
    <t>Lekkala Swathi</t>
  </si>
  <si>
    <t>LWD-06/02/2026</t>
  </si>
  <si>
    <t>swathilekkala515@gmail.com</t>
  </si>
  <si>
    <t>+91 9154158809</t>
  </si>
  <si>
    <t>Microline Information Systems</t>
  </si>
  <si>
    <t>Aman Kumar</t>
  </si>
  <si>
    <t>amansingh4467@gmail.com</t>
  </si>
  <si>
    <t>Vuddagiri Murali Gupta</t>
  </si>
  <si>
    <t>vmuraligupta2001@gmail.com</t>
  </si>
  <si>
    <t>I-exceed Technology Solutions Pvt Ltd</t>
  </si>
  <si>
    <t>6.05 LPA</t>
  </si>
  <si>
    <t>Bhagyashree Pujari</t>
  </si>
  <si>
    <t>bhagyashreeb798@gmail.com</t>
  </si>
  <si>
    <t>SmartX Technologies</t>
  </si>
  <si>
    <t>Piyush Kumar</t>
  </si>
  <si>
    <t>piyushkumar5271@gmail.com</t>
  </si>
  <si>
    <t>IRD Software</t>
  </si>
  <si>
    <t>10 LPA ( Negotiable)</t>
  </si>
  <si>
    <t>Sujeet Kumar</t>
  </si>
  <si>
    <t>2.4 Years</t>
  </si>
  <si>
    <t>11 LPA( Negotiable)</t>
  </si>
  <si>
    <t>Ravikiran</t>
  </si>
  <si>
    <t>90 Days(45 Days Negotiable)</t>
  </si>
  <si>
    <t>ravikiran.kamma123@gmail.com</t>
  </si>
  <si>
    <t>Yethi Consulting</t>
  </si>
  <si>
    <t>Bharati Gadennavar</t>
  </si>
  <si>
    <t>bharatigadennavara@gmail.com</t>
  </si>
  <si>
    <t xml:space="preserve"> 2 Years</t>
  </si>
  <si>
    <t>Aspire software Consultancy</t>
  </si>
  <si>
    <t>Anson Varghese</t>
  </si>
  <si>
    <t>ansonvarghese12@gmail.com</t>
  </si>
  <si>
    <t xml:space="preserve"> 3.10 Years</t>
  </si>
  <si>
    <t>Amazon Development Centre</t>
  </si>
  <si>
    <t xml:space="preserve"> 9 LPA</t>
  </si>
  <si>
    <t>Suryakant Khatua</t>
  </si>
  <si>
    <t>60 Days(30 Days Negotiable)</t>
  </si>
  <si>
    <t>suryakantkhatua5@gmail.com</t>
  </si>
  <si>
    <t xml:space="preserve"> 1.7 Years</t>
  </si>
  <si>
    <t>L&amp;T Finance</t>
  </si>
  <si>
    <t xml:space="preserve"> 6LPA</t>
  </si>
  <si>
    <t>Awaiting Feedback Tech 1</t>
  </si>
  <si>
    <t>Shaik Suhail Ahammed</t>
  </si>
  <si>
    <t>suhailahammed.test@gmail.com</t>
  </si>
  <si>
    <t>Qspiders Classic Certificate In Testing</t>
  </si>
  <si>
    <t>3.8 Year</t>
  </si>
  <si>
    <t>Clover Infotech Private Limited</t>
  </si>
  <si>
    <t>10 LPA(Negotiable)</t>
  </si>
  <si>
    <t xml:space="preserve"> 2-Feb-26</t>
  </si>
  <si>
    <t>S Madhavi Reddy</t>
  </si>
  <si>
    <t>LWD - 6th April</t>
  </si>
  <si>
    <t>sangumadhavi2002@gmail.com</t>
  </si>
  <si>
    <t xml:space="preserve"> 4.3 Years</t>
  </si>
  <si>
    <t>Tata Consultancy Services Ltd.</t>
  </si>
  <si>
    <t>9 LPA(Negotiable)</t>
  </si>
  <si>
    <t>Mahammad Yusuf</t>
  </si>
  <si>
    <t>LWD - 20th April</t>
  </si>
  <si>
    <t>mdyusuf786111@gmail.com</t>
  </si>
  <si>
    <t>Techno-Functional Analyst</t>
  </si>
  <si>
    <t>8.5 LPA(Negotiable)</t>
  </si>
  <si>
    <t>Jyothika Balaji</t>
  </si>
  <si>
    <t>60 Days</t>
  </si>
  <si>
    <t>jyothikab311@gmail.com</t>
  </si>
  <si>
    <t xml:space="preserve"> 3.11 Years</t>
  </si>
  <si>
    <t>ANZ</t>
  </si>
  <si>
    <t>50% Hike</t>
  </si>
  <si>
    <t>Nomasree Jagadabhi</t>
  </si>
  <si>
    <t>nomasreesai@gmail.com</t>
  </si>
  <si>
    <t xml:space="preserve"> 3 Years</t>
  </si>
  <si>
    <t>Kotak Mahindra Bank</t>
  </si>
  <si>
    <t xml:space="preserve"> 7 LPA</t>
  </si>
  <si>
    <t xml:space="preserve"> No Show</t>
  </si>
  <si>
    <t>Sireesha G</t>
  </si>
  <si>
    <t>LWD - 26th Feb</t>
  </si>
  <si>
    <t>sireeshag227@gmail.com</t>
  </si>
  <si>
    <t xml:space="preserve"> 3.5 Years</t>
  </si>
  <si>
    <t>5.2 LPA</t>
  </si>
  <si>
    <t>9.5 LPA(Negotiable)</t>
  </si>
  <si>
    <t>NITESH VISHWAKARMA</t>
  </si>
  <si>
    <t>niteshvkarma1902@gmail.com</t>
  </si>
  <si>
    <t>Techugo</t>
  </si>
  <si>
    <t>GARIMA SINGH</t>
  </si>
  <si>
    <t>LWD-17/02/2026</t>
  </si>
  <si>
    <t>garimasinghh2098@gmail.com</t>
  </si>
  <si>
    <t>Net Connect Global </t>
  </si>
  <si>
    <t>P.H.Durga Devi</t>
  </si>
  <si>
    <t>durgahariram21@gmail.com</t>
  </si>
  <si>
    <t>Appsierra Solutions</t>
  </si>
  <si>
    <t>4.26 LPA</t>
  </si>
  <si>
    <t>Omkar Garde</t>
  </si>
  <si>
    <t>gardeomkar13@gmail.com</t>
  </si>
  <si>
    <t>Terralogic Software Solutions</t>
  </si>
  <si>
    <t>Shekhar Shakyawar</t>
  </si>
  <si>
    <t>shakya.shekhar97@gmail.com</t>
  </si>
  <si>
    <t>3.10 Years</t>
  </si>
  <si>
    <t> Swaran Soft Support Solutions </t>
  </si>
  <si>
    <t>Govinda Jaisawal</t>
  </si>
  <si>
    <t>govvindajaisawal@gmail.com</t>
  </si>
  <si>
    <t>Softenger</t>
  </si>
  <si>
    <t>Shivani Soni</t>
  </si>
  <si>
    <t>shivikomal026@gmail.com</t>
  </si>
  <si>
    <t>Webconvoy </t>
  </si>
  <si>
    <t>4.08 LPA</t>
  </si>
  <si>
    <t>Mohd Anas Ansari</t>
  </si>
  <si>
    <t>anasansari1995@gmail.com</t>
  </si>
  <si>
    <t>Broadridge </t>
  </si>
  <si>
    <t>7.98 LPA</t>
  </si>
  <si>
    <t>Jeeshan Mansuri</t>
  </si>
  <si>
    <t>zeeshankhan.zk624@gmail.com</t>
  </si>
  <si>
    <t>Levitating Elephant</t>
  </si>
  <si>
    <t>Karan P</t>
  </si>
  <si>
    <t>LWD 16 Feb 2026</t>
  </si>
  <si>
    <t xml:space="preserve">karangowda8276@gmail.com </t>
  </si>
  <si>
    <t>2.10 Years</t>
  </si>
  <si>
    <t>Sanjib Kumar Mohapatra</t>
  </si>
  <si>
    <t>msanjibkumar807@gmail.com</t>
  </si>
  <si>
    <t>Tanama Software Pvt. Ltd</t>
  </si>
  <si>
    <t>Dastagiri Satyala</t>
  </si>
  <si>
    <t>nnnnnnnnnnnnn5</t>
  </si>
  <si>
    <t>s.dastagiri2001@gmail.com</t>
  </si>
  <si>
    <t>Boven Technologies</t>
  </si>
  <si>
    <t>Tech 2 Awaiting Feedback</t>
  </si>
  <si>
    <t>Tech 2 select</t>
  </si>
  <si>
    <t>Venkata Prasanna</t>
  </si>
  <si>
    <t>venkatgurajala91@gmail.com</t>
  </si>
  <si>
    <t>2.7 Years</t>
  </si>
  <si>
    <t>CCS Info Tech Private Limited</t>
  </si>
  <si>
    <t>Harshvardhan K</t>
  </si>
  <si>
    <t>LWD 20 Apr</t>
  </si>
  <si>
    <t>harsh.krishna80@gmail.com</t>
  </si>
  <si>
    <t>Atyati Technologies</t>
  </si>
  <si>
    <t>Avinash Reddy</t>
  </si>
  <si>
    <t>reddyavinash679@gmail.com</t>
  </si>
  <si>
    <t>Sahayya Finserve Private Limited</t>
  </si>
  <si>
    <t>T2 Reject</t>
  </si>
  <si>
    <t>Chethana</t>
  </si>
  <si>
    <t>LWD 22 Mar 26</t>
  </si>
  <si>
    <t>chethanasm25@gmail.com</t>
  </si>
  <si>
    <t>Kiran Kumar Marana</t>
  </si>
  <si>
    <t xml:space="preserve">LWD 20 Feb 22 </t>
  </si>
  <si>
    <t>maharana.kk@gmail.com</t>
  </si>
  <si>
    <t>Saksoft pvt ltd</t>
  </si>
  <si>
    <t>Shamela Yousuff</t>
  </si>
  <si>
    <t>LWD-11/03/2026</t>
  </si>
  <si>
    <t>shamela.yousuff@gmail.com</t>
  </si>
  <si>
    <t>SLK Software Pvt Ltd</t>
  </si>
  <si>
    <t>9 LPA(Neg)</t>
  </si>
  <si>
    <t>Kiran Behuriya</t>
  </si>
  <si>
    <t>kiranbehuriya.24@gmail.com</t>
  </si>
  <si>
    <t>3.3 Years</t>
  </si>
  <si>
    <t>Morgan Stanley</t>
  </si>
  <si>
    <t>Sukanya</t>
  </si>
  <si>
    <t>kksukanya06@gmail.com</t>
  </si>
  <si>
    <t>Ramaiah Academy</t>
  </si>
  <si>
    <t>Vanam Anusha</t>
  </si>
  <si>
    <t>vanamanusha438@gmail.com</t>
  </si>
  <si>
    <t>T2 select</t>
  </si>
  <si>
    <t>Sangnyasree Biswalo</t>
  </si>
  <si>
    <t>LWD-23/02/2026</t>
  </si>
  <si>
    <t>sangnyasreeb@gmail.com</t>
  </si>
  <si>
    <t>V2Soft Pvt Ltd</t>
  </si>
  <si>
    <t>KARTHIKEYAN MURUGAN</t>
  </si>
  <si>
    <t>karthikkeyan.12kk@gmail.com</t>
  </si>
  <si>
    <t xml:space="preserve"> Yethi Consulting Pvt Ltd </t>
  </si>
  <si>
    <t>8 LPA(Negotiable)</t>
  </si>
  <si>
    <t>Vivek M Kashyap</t>
  </si>
  <si>
    <t>vivekmkashyap1@gmail.com</t>
  </si>
  <si>
    <t xml:space="preserve"> 3.6 Year</t>
  </si>
  <si>
    <t>Maveric Systems</t>
  </si>
  <si>
    <t>Madhusudhan Reddy</t>
  </si>
  <si>
    <t>madhusudhan1130@gmail.com</t>
  </si>
  <si>
    <t xml:space="preserve"> 3.7 Year</t>
  </si>
  <si>
    <t>Yethi Consulting Bangalore</t>
  </si>
  <si>
    <t>Surabhi More</t>
  </si>
  <si>
    <t>90 Days(30 Days Negotiable)</t>
  </si>
  <si>
    <t>surabhi321.gaj@gmail.com</t>
  </si>
  <si>
    <t xml:space="preserve"> 3.4 Year</t>
  </si>
  <si>
    <t>Naveen Kumar B V</t>
  </si>
  <si>
    <t>knbrbv90@gmail.com</t>
  </si>
  <si>
    <t>PGDM</t>
  </si>
  <si>
    <t xml:space="preserve"> 10.5 Year</t>
  </si>
  <si>
    <t>Sears Holdings India</t>
  </si>
  <si>
    <t>Loganathan K</t>
  </si>
  <si>
    <t>logukannuraj@gmail.com</t>
  </si>
  <si>
    <t>Swirepay Technologies Pvt Limited</t>
  </si>
  <si>
    <t>Keerthana R</t>
  </si>
  <si>
    <t xml:space="preserve">45 Days </t>
  </si>
  <si>
    <t>keerthanarameshbabu@gmail.com</t>
  </si>
  <si>
    <t>HCL Technologies</t>
  </si>
  <si>
    <t>Gyanendra kumar.</t>
  </si>
  <si>
    <t>grai09186@gmail.com</t>
  </si>
  <si>
    <t xml:space="preserve">Tata consultancy services </t>
  </si>
  <si>
    <t>18.7 LPA</t>
  </si>
  <si>
    <t>25 LPA(Negotiable)</t>
  </si>
  <si>
    <t>Prem Kumar Akkireddy</t>
  </si>
  <si>
    <t>prem.akkireddy0007@gmail.com</t>
  </si>
  <si>
    <t>Fidelity Investments</t>
  </si>
  <si>
    <t>Achintya Dubey</t>
  </si>
  <si>
    <t>achintyady@gmail.com</t>
  </si>
  <si>
    <t>2.2 Years</t>
  </si>
  <si>
    <t>Nifty Invest Pvt. Ltd</t>
  </si>
  <si>
    <t>G Dheeraj Reddy</t>
  </si>
  <si>
    <t>LWD - 28/02/2026</t>
  </si>
  <si>
    <t>gdheeraj2108@gmail.com</t>
  </si>
  <si>
    <t>5.75 LPA</t>
  </si>
  <si>
    <t>Ramkrishna Jena</t>
  </si>
  <si>
    <t>contact@ramkrishnajena.com</t>
  </si>
  <si>
    <t>3.4 Years</t>
  </si>
  <si>
    <t>BNET Insurance Brokers Pvt. Ltd</t>
  </si>
  <si>
    <t>waiting for panels availability for tech 2</t>
  </si>
  <si>
    <t>Shashank Gowda N H</t>
  </si>
  <si>
    <t>LWD - 13/02/2026</t>
  </si>
  <si>
    <t>shashankgowdanh10@gmail.com</t>
  </si>
  <si>
    <t>Toronto General Hospital (Healthcare Domain) - Infosys Client</t>
  </si>
  <si>
    <t>Mohan babu</t>
  </si>
  <si>
    <t>LWD - 05/02/2026</t>
  </si>
  <si>
    <t>karnammohanbabu2000@gmail.com</t>
  </si>
  <si>
    <t>Lahari Kasarapu</t>
  </si>
  <si>
    <t>kasarapu.lahari11198@gmail.com</t>
  </si>
  <si>
    <t>Senior Software Engineer at i-exceed technology solutions Pvt Ltd</t>
  </si>
  <si>
    <t>H</t>
  </si>
  <si>
    <t>Chiranth KB</t>
  </si>
  <si>
    <t>chiranthgowda.kasige@gmail.com</t>
  </si>
  <si>
    <t xml:space="preserve"> Nishanth Suresh Sonar</t>
  </si>
  <si>
    <t>nishant.s.sonar@gmail.com</t>
  </si>
  <si>
    <t>BHASHINI (MeitY, Govt. of India)</t>
  </si>
  <si>
    <t>Chandra Shekhar Achary</t>
  </si>
  <si>
    <t>chandrashekharachary0@gmail.com</t>
  </si>
  <si>
    <t>Pet360 Solutions Pvt Ltd</t>
  </si>
  <si>
    <t>12 LPA(Negotiable)</t>
  </si>
  <si>
    <t xml:space="preserve"> Dinesh Kumar G</t>
  </si>
  <si>
    <t>dineshkumarg20598@gmail.com</t>
  </si>
  <si>
    <t>Qdes Infotech</t>
  </si>
  <si>
    <t>Ganga Bhavanan E</t>
  </si>
  <si>
    <t>gangabhavanan.e@gmail.com</t>
  </si>
  <si>
    <t>4.1 Years</t>
  </si>
  <si>
    <t>4.43 LPA</t>
  </si>
  <si>
    <t>Tushar Nalawade</t>
  </si>
  <si>
    <t>tusharnalawade68@gmail.com</t>
  </si>
  <si>
    <t>9   Years</t>
  </si>
  <si>
    <t>22.5 LPA</t>
  </si>
  <si>
    <t>Mahendra Yadav</t>
  </si>
  <si>
    <t>mahi.rtu10@gmail.com</t>
  </si>
  <si>
    <t>Persistent Systems Limited</t>
  </si>
  <si>
    <t>V Parameswaran</t>
  </si>
  <si>
    <t>parameswaranios2k14@gmail.com</t>
  </si>
  <si>
    <t>Voyager Partners Consultancy</t>
  </si>
  <si>
    <t>Jagadeeshwaran S</t>
  </si>
  <si>
    <t>msjagan@live.in</t>
  </si>
  <si>
    <t>Pub Berry Solutions LLP</t>
  </si>
  <si>
    <t>Lakshmi Subramanian</t>
  </si>
  <si>
    <t>LWD - 03/03/2026</t>
  </si>
  <si>
    <t>lakshmibca93@gmail.com</t>
  </si>
  <si>
    <t>9 years</t>
  </si>
  <si>
    <t>HCLTech</t>
  </si>
  <si>
    <t>Shalini Bopche</t>
  </si>
  <si>
    <t>LWD - 19/02/2026</t>
  </si>
  <si>
    <t>shalinibopche2000@gmail.com</t>
  </si>
  <si>
    <t>4.53 LPA</t>
  </si>
  <si>
    <t>Nagaraju Maridu</t>
  </si>
  <si>
    <t>nagaraju83178@gmail.com</t>
  </si>
  <si>
    <t>EHNOTE Pvt. Ltd</t>
  </si>
  <si>
    <t>Shakthieshwaran</t>
  </si>
  <si>
    <t>shakthiesh06@gmail.com</t>
  </si>
  <si>
    <t>Inline systems services india Pvt Ltd</t>
  </si>
  <si>
    <t>3.45 LPA</t>
  </si>
  <si>
    <t>Niveditha.B</t>
  </si>
  <si>
    <t xml:space="preserve">30 Days </t>
  </si>
  <si>
    <t>nivedithaece2018@gmail.com</t>
  </si>
  <si>
    <t xml:space="preserve"> Adamas Tech Consulting</t>
  </si>
  <si>
    <t>5.5 LPA(Negotiable)</t>
  </si>
  <si>
    <t>Yashwanth NC</t>
  </si>
  <si>
    <t>yashwanthnc2001@gmail.com</t>
  </si>
  <si>
    <t xml:space="preserve"> Silicon India Technologies</t>
  </si>
  <si>
    <t>Chaithanya N</t>
  </si>
  <si>
    <t>chaithanyagowda590@gmail.com</t>
  </si>
  <si>
    <t xml:space="preserve"> 1 Year </t>
  </si>
  <si>
    <t>Provab Technosoft</t>
  </si>
  <si>
    <t>2.85 LPA</t>
  </si>
  <si>
    <t>Riya Mehta</t>
  </si>
  <si>
    <t>riyaamehta1700@gmail.com</t>
  </si>
  <si>
    <t xml:space="preserve"> 2.6 Year</t>
  </si>
  <si>
    <t>Shivmac Precision Tools Pvt. Ltd.</t>
  </si>
  <si>
    <t>Deepanjali Pal</t>
  </si>
  <si>
    <t>Deepanjalipal19@gmail.com</t>
  </si>
  <si>
    <t>Oxxy Healthcare India Pvt Ltd</t>
  </si>
  <si>
    <t>3.12 LPA</t>
  </si>
  <si>
    <t>Sourav Chowdhury</t>
  </si>
  <si>
    <t>souravchowdhury9171@gmail.com</t>
  </si>
  <si>
    <t>Freelance Engineer Inspector</t>
  </si>
  <si>
    <t>3.72 LPA</t>
  </si>
  <si>
    <t>Siona Mohanty</t>
  </si>
  <si>
    <t>siona.m1998@gmail.com</t>
  </si>
  <si>
    <t>Covinsys Technologies Pvt. Lmt</t>
  </si>
  <si>
    <t>Surag Ramnath</t>
  </si>
  <si>
    <t>surag1997@gmail.com</t>
  </si>
  <si>
    <t>Ace Tech Sys Pvt. Ltd.</t>
  </si>
  <si>
    <t>2.88 LPA</t>
  </si>
  <si>
    <t>Moni Sri Divya</t>
  </si>
  <si>
    <t>divyamonisri@gmail.com</t>
  </si>
  <si>
    <t>BOSCH</t>
  </si>
  <si>
    <t>Jithesh Shetty</t>
  </si>
  <si>
    <t xml:space="preserve">jithesh.shetty55@gmail.com </t>
  </si>
  <si>
    <t>Neem Consulting Limited</t>
  </si>
  <si>
    <t>20.6 LPA</t>
  </si>
  <si>
    <t>Gotam Sharma</t>
  </si>
  <si>
    <t>Gautam05nov@gmail.com</t>
  </si>
  <si>
    <t>7.3 Years</t>
  </si>
  <si>
    <t>Astria Digital</t>
  </si>
  <si>
    <t>23 LPA (Neg)</t>
  </si>
  <si>
    <t>Bisharath</t>
  </si>
  <si>
    <t>akbisharath@gmail.com</t>
  </si>
  <si>
    <t>7.4 Years</t>
  </si>
  <si>
    <t>Atlantic Data Bureau Services pvt ltd.</t>
  </si>
  <si>
    <t>   Prasanna Kommanaboina</t>
  </si>
  <si>
    <t>LWD 12/ 2024</t>
  </si>
  <si>
    <t>saiprasanna.job@gmail.com</t>
  </si>
  <si>
    <t xml:space="preserve">Optum global solution </t>
  </si>
  <si>
    <t>Somya Agrawal</t>
  </si>
  <si>
    <t>somyaoriental@gmail.com</t>
  </si>
  <si>
    <t>Nishigandha Rathod</t>
  </si>
  <si>
    <t>LWD-28/02/2026</t>
  </si>
  <si>
    <t>nisharathod8337@gmail.com</t>
  </si>
  <si>
    <t>Manam Infotech Pvt Ltd</t>
  </si>
  <si>
    <t>Sahana T C</t>
  </si>
  <si>
    <t>LWD-30/04/2026</t>
  </si>
  <si>
    <t>Sahanacthotigar@gmail.com</t>
  </si>
  <si>
    <t>4.29 LPA</t>
  </si>
  <si>
    <t>Vishal Kumar</t>
  </si>
  <si>
    <t>er.vishalkumar373@gmail.com</t>
  </si>
  <si>
    <t xml:space="preserve"> 4.4 Year</t>
  </si>
  <si>
    <t xml:space="preserve"> BT Group</t>
  </si>
  <si>
    <t>S Thirumalai</t>
  </si>
  <si>
    <t>thirumalai7411@gmail.com</t>
  </si>
  <si>
    <t xml:space="preserve"> Jio Fiber</t>
  </si>
  <si>
    <t>Pokam Sunil Kumar</t>
  </si>
  <si>
    <t>LWD - 20/02/2026</t>
  </si>
  <si>
    <t>sunilroyal290@gmail.com</t>
  </si>
  <si>
    <t>Monksays super foods pvt ltd (BBETTER)</t>
  </si>
  <si>
    <t>R Abhishek</t>
  </si>
  <si>
    <t>r.abhishek1357@gmail.com</t>
  </si>
  <si>
    <t xml:space="preserve"> Catorce Consultancy Pvt Ltd</t>
  </si>
  <si>
    <t>Koushik</t>
  </si>
  <si>
    <t>jtkoushik509@gmail.com</t>
  </si>
  <si>
    <t>Suraj Pathak</t>
  </si>
  <si>
    <t>LWD - 19th Feb</t>
  </si>
  <si>
    <t>pathaksuraj8652@gmail.com</t>
  </si>
  <si>
    <t>NuSummit Technologies</t>
  </si>
  <si>
    <t>32 LPA(Negotiable)</t>
  </si>
  <si>
    <t>Arick Tanwar</t>
  </si>
  <si>
    <t>aricktanwar@gmail.com</t>
  </si>
  <si>
    <t>Virtuous Vision pvt. ltd.</t>
  </si>
  <si>
    <t>15.5 LPA</t>
  </si>
  <si>
    <t xml:space="preserve"> Gurugram</t>
  </si>
  <si>
    <t>JYOTISHMOY HAZARIKA</t>
  </si>
  <si>
    <t>jyotishmoyhazarika155@gmail.com</t>
  </si>
  <si>
    <t xml:space="preserve"> 7.7 Year</t>
  </si>
  <si>
    <t>Aswini kumar behera</t>
  </si>
  <si>
    <t>aswinikumarbehera684@gmail.com</t>
  </si>
  <si>
    <t>Abhishek Sharma</t>
  </si>
  <si>
    <t>abhishek7033sh@gmail.com</t>
  </si>
  <si>
    <t>Anitha</t>
  </si>
  <si>
    <t>anitha102ani@gmail.com</t>
  </si>
  <si>
    <t>Srinivas S</t>
  </si>
  <si>
    <t>vasusri011092@gmail.com</t>
  </si>
  <si>
    <t>Adarsh HM</t>
  </si>
  <si>
    <t>adarshadu61115@gmail.com</t>
  </si>
  <si>
    <t>Velugu Manoj Yadav</t>
  </si>
  <si>
    <t>velugumanojyadav09@gmail.com</t>
  </si>
  <si>
    <t>Shivaraj</t>
  </si>
  <si>
    <t>shivarajshivarajneelaba@gmail.com</t>
  </si>
  <si>
    <t>Arya Srivastava</t>
  </si>
  <si>
    <t>srivastava.arya.05@gmail.com</t>
  </si>
  <si>
    <t>monisridivya4@gmail.com</t>
  </si>
  <si>
    <t>Tejashwini</t>
  </si>
  <si>
    <t>tejashwinichoudhary3@gmail.com</t>
  </si>
  <si>
    <t>Izaz Ahmed</t>
  </si>
  <si>
    <t>izaz07ahmed@gmail.com</t>
  </si>
  <si>
    <t>ADIMALLA JAHNAVI</t>
  </si>
  <si>
    <t>jhnvsrnvs@gmail.com</t>
  </si>
  <si>
    <t>Nithish P</t>
  </si>
  <si>
    <t>nithish.prithiviraj2@gmail.com</t>
  </si>
  <si>
    <t>Chunamani Dewangan</t>
  </si>
  <si>
    <t>cmdewangan00@gmail.com</t>
  </si>
  <si>
    <t>Reena M R</t>
  </si>
  <si>
    <t>mrreena99@gmail.com</t>
  </si>
  <si>
    <t>Puja Singh</t>
  </si>
  <si>
    <t>pujasinghsingh618@gmail.com</t>
  </si>
  <si>
    <t>Yashaswini S</t>
  </si>
  <si>
    <t>yashusri28@gmail.com</t>
  </si>
  <si>
    <t>Trupti N Menasinakai</t>
  </si>
  <si>
    <t>tnmbk01@gmail.com</t>
  </si>
  <si>
    <t>Sona Mishra</t>
  </si>
  <si>
    <t>sonamishra972@gmail.com</t>
  </si>
  <si>
    <t>KalaiKumar R</t>
  </si>
  <si>
    <t>kalaikumar335@gmail.com</t>
  </si>
  <si>
    <t>Koushik Saha</t>
  </si>
  <si>
    <t>koushikofficial543@gmail.com</t>
  </si>
  <si>
    <t>Amit Ranjan</t>
  </si>
  <si>
    <t>amitranjan2303@gmail.com</t>
  </si>
  <si>
    <t>AppInventiv Technologies</t>
  </si>
  <si>
    <t>Kanpur</t>
  </si>
  <si>
    <t>Satish Arjun Patle</t>
  </si>
  <si>
    <t>satishpatle54@gmail.com</t>
  </si>
  <si>
    <t>7.7 Years</t>
  </si>
  <si>
    <t>PDI Technologies</t>
  </si>
  <si>
    <t>19.33 LPA</t>
  </si>
  <si>
    <t>pooja</t>
  </si>
  <si>
    <t>Uday Bharat Sawant</t>
  </si>
  <si>
    <t>Riteshmalakar</t>
  </si>
  <si>
    <t>riteshmalakar21@gmail.com</t>
  </si>
  <si>
    <t>Brilliotechnology</t>
  </si>
  <si>
    <t>Thane</t>
  </si>
  <si>
    <t>Ronak Zinzuvadia</t>
  </si>
  <si>
    <t>LWD-27/03/2026</t>
  </si>
  <si>
    <t>ronak.zinzuwadia79@gmail.com</t>
  </si>
  <si>
    <t>Phi Commerce Pvt. Ltd.</t>
  </si>
  <si>
    <t>       30 LPA</t>
  </si>
  <si>
    <t>Aditya Yadav</t>
  </si>
  <si>
    <t>dommettiaditya@gmail.com</t>
  </si>
  <si>
    <t>DBS Bank</t>
  </si>
  <si>
    <t>Naresh</t>
  </si>
  <si>
    <t>venkatesh</t>
  </si>
  <si>
    <t>Abisheik</t>
  </si>
  <si>
    <t>Anil Narayan Gawli</t>
  </si>
  <si>
    <t>Veeresh Pawadi</t>
  </si>
  <si>
    <t>Call Back</t>
  </si>
  <si>
    <t>Pranav Kulshreshthadi</t>
  </si>
  <si>
    <t>prakash reddy</t>
  </si>
  <si>
    <t>Arun krishna</t>
  </si>
  <si>
    <t>Murugesan</t>
  </si>
  <si>
    <t>Shiva krishana</t>
  </si>
  <si>
    <t>Manjunatha Achyutha</t>
  </si>
  <si>
    <t>Sharvari Shrikant Pande</t>
  </si>
  <si>
    <t>ALOK BEMBALKAR</t>
  </si>
  <si>
    <t>Ankit Barole</t>
  </si>
  <si>
    <t>Ijaz Ahamed M</t>
  </si>
  <si>
    <t>Shulakshana chowdhury</t>
  </si>
  <si>
    <t>Madan</t>
  </si>
  <si>
    <t>Srashti Khare</t>
  </si>
  <si>
    <t>srashti.khare93@gmail.com</t>
  </si>
  <si>
    <t>13  LPA</t>
  </si>
  <si>
    <t>Harsha A P</t>
  </si>
  <si>
    <t>LWD-28/03/2026</t>
  </si>
  <si>
    <t>harshaap007@gmail.com</t>
  </si>
  <si>
    <t>Secure Innovation</t>
  </si>
  <si>
    <t>24.5 LPA</t>
  </si>
  <si>
    <t>35 LPA (Neg)</t>
  </si>
  <si>
    <t>Aneesh Babu CB</t>
  </si>
  <si>
    <t>LWD-26/02/2026</t>
  </si>
  <si>
    <t>aneeshbabucb04@gmail.com</t>
  </si>
  <si>
    <t>Diploma(computer science)</t>
  </si>
  <si>
    <t>Capgemini</t>
  </si>
  <si>
    <t>Balvant Prajapati</t>
  </si>
  <si>
    <t>prajapatibs20@gmail.com</t>
  </si>
  <si>
    <t>Ascendion</t>
  </si>
  <si>
    <t>23.5 LPA</t>
  </si>
  <si>
    <t>Anusha</t>
  </si>
  <si>
    <t>Basudev Mahapatra</t>
  </si>
  <si>
    <t>Kush kumar</t>
  </si>
  <si>
    <t>Recently joined new company</t>
  </si>
  <si>
    <t>Manyam Nanda Kishore</t>
  </si>
  <si>
    <t>priyadharsini</t>
  </si>
  <si>
    <t>Ubbara Sravanthi</t>
  </si>
  <si>
    <t>Sajna Sajeed</t>
  </si>
  <si>
    <t>Srihari Narayanasamy</t>
  </si>
  <si>
    <t>60 days ( Negotiable )</t>
  </si>
  <si>
    <t>srihari1162@gmail.com</t>
  </si>
  <si>
    <t>i001</t>
  </si>
  <si>
    <t>Noopur Thakur</t>
  </si>
  <si>
    <t>90 days ( Probation-30 days )</t>
  </si>
  <si>
    <t>thakurnoopur1417@gmail.com</t>
  </si>
  <si>
    <t>3.11 Years</t>
  </si>
  <si>
    <t>6.15 LPA</t>
  </si>
  <si>
    <t>S.Dhinesh Kumar</t>
  </si>
  <si>
    <t>dhineshkumar1308@gmail.com</t>
  </si>
  <si>
    <t>Shilpa S</t>
  </si>
  <si>
    <t>sshilpacv.278@gmail.com</t>
  </si>
  <si>
    <t>+91 9110882164</t>
  </si>
  <si>
    <t>4.35 Years</t>
  </si>
  <si>
    <t>4.35 LPA</t>
  </si>
  <si>
    <t>SEPHALI NAYAK</t>
  </si>
  <si>
    <t>sephali.nayak1009@gmail.com</t>
  </si>
  <si>
    <t>Dharakan Srinivasan</t>
  </si>
  <si>
    <t>Nilar win</t>
  </si>
  <si>
    <t>Aayush vishnoi</t>
  </si>
  <si>
    <t>Pappu Kumar Yadav</t>
  </si>
  <si>
    <t>LWD - 24th March</t>
  </si>
  <si>
    <t>pappuyadav11666@gmail.com</t>
  </si>
  <si>
    <t xml:space="preserve">Newgen Software Technologies Limited </t>
  </si>
  <si>
    <t>13.18 LPA</t>
  </si>
  <si>
    <t>Santosh</t>
  </si>
  <si>
    <t>LWD - 15th Feb</t>
  </si>
  <si>
    <t>santoshkumarb6767@gmail.com</t>
  </si>
  <si>
    <t xml:space="preserve"> 8.7 Year</t>
  </si>
  <si>
    <t xml:space="preserve"> Persistent Systems Limited</t>
  </si>
  <si>
    <t>19.2 LPA</t>
  </si>
  <si>
    <t>Raichur</t>
  </si>
  <si>
    <t xml:space="preserve">25 LPA </t>
  </si>
  <si>
    <t>Pavan Kumar</t>
  </si>
  <si>
    <t>LWD - 13th Feb</t>
  </si>
  <si>
    <t>pavankumarkomala318@gmail.com</t>
  </si>
  <si>
    <t>WESTPAC</t>
  </si>
  <si>
    <t>Andhra Pradesh</t>
  </si>
  <si>
    <t>Aditya Shekhar Mehta</t>
  </si>
  <si>
    <t>LWD - 9th Feb</t>
  </si>
  <si>
    <t>adityamehta987689@gmail.com</t>
  </si>
  <si>
    <t xml:space="preserve"> 5.5 Year</t>
  </si>
  <si>
    <t>Capgemini Technology Services</t>
  </si>
  <si>
    <t>Abinash Giri</t>
  </si>
  <si>
    <t>abinashgiri826@gmail.com</t>
  </si>
  <si>
    <t xml:space="preserve"> 7 Year</t>
  </si>
  <si>
    <t>Bhubneshwar</t>
  </si>
  <si>
    <t xml:space="preserve"> 14 LPA(Negotiable)</t>
  </si>
  <si>
    <t>Bala Sundar</t>
  </si>
  <si>
    <t>balabaskar009@gmail.com</t>
  </si>
  <si>
    <t xml:space="preserve"> Botree Software International Pvt. Ltd.</t>
  </si>
  <si>
    <t xml:space="preserve">Shruti Garg </t>
  </si>
  <si>
    <t>garg.shruti9190@gmail.com</t>
  </si>
  <si>
    <t xml:space="preserve">Aditi Consulting </t>
  </si>
  <si>
    <t>Animesh Mandal</t>
  </si>
  <si>
    <t>ASHREST75@GMAIL.COM</t>
  </si>
  <si>
    <t>NxtGen Datacenter And Cloud Technologies Private Limited</t>
  </si>
  <si>
    <t>Bainaboina Niswitha</t>
  </si>
  <si>
    <t>bainaboinaniswitha@gmail.com</t>
  </si>
  <si>
    <t>infoswift crop solutions</t>
  </si>
  <si>
    <t>2.6 LPA</t>
  </si>
  <si>
    <t>Premchand Kakke</t>
  </si>
  <si>
    <t>premchand.kakke@gmail.com</t>
  </si>
  <si>
    <t>Lyra InfoSystems Pvt. Ltd</t>
  </si>
  <si>
    <t>Nishit Pattanayak</t>
  </si>
  <si>
    <t>90 Days (Neg 45 Days)</t>
  </si>
  <si>
    <t>nishitmdl@gmail.com</t>
  </si>
  <si>
    <t>Schneider Electric</t>
  </si>
  <si>
    <t>Gowrishankar H M</t>
  </si>
  <si>
    <t>shankarhm01@gmail.com</t>
  </si>
  <si>
    <t>Pavan Kalyan Tummala</t>
  </si>
  <si>
    <t>pavankalyan1995@gmail.com</t>
  </si>
  <si>
    <t>8.10 Years</t>
  </si>
  <si>
    <t>ALTEN India Pvt. Ltd</t>
  </si>
  <si>
    <t>33  LPA</t>
  </si>
  <si>
    <t>Sharvari Pande</t>
  </si>
  <si>
    <t>Immedidate-LWD June 2024</t>
  </si>
  <si>
    <t>s.sharvarip@gmail.com</t>
  </si>
  <si>
    <t xml:space="preserve">B.E </t>
  </si>
  <si>
    <t>12.3 Years</t>
  </si>
  <si>
    <t>HSBC</t>
  </si>
  <si>
    <t xml:space="preserve">35 LPA </t>
  </si>
  <si>
    <t>Sravanasandhya</t>
  </si>
  <si>
    <t>Immedidate-LWD Dec 2025</t>
  </si>
  <si>
    <t>er.sravana.sandhya@gmail.com</t>
  </si>
  <si>
    <t>Nichebit Softech Pvt Ltd</t>
  </si>
  <si>
    <t>6.4 LPA</t>
  </si>
  <si>
    <t>Andrapradesh,Tirupati</t>
  </si>
  <si>
    <t>Alagesan Boobalan</t>
  </si>
  <si>
    <t>Immedidate-LWD June 2025</t>
  </si>
  <si>
    <t xml:space="preserve">alagesbalanit@gmail.com   </t>
  </si>
  <si>
    <t>OASys Cybernetics Pvt Ltd</t>
  </si>
  <si>
    <t>Krishnagiri</t>
  </si>
  <si>
    <t>15 LPA(Negotiable)</t>
  </si>
  <si>
    <t>Priyanka Vallal</t>
  </si>
  <si>
    <t>Immedidate-LWD JUL 2025</t>
  </si>
  <si>
    <t>priyankavallal11@gmail.com</t>
  </si>
  <si>
    <t>solapur</t>
  </si>
  <si>
    <t>Manish Ravindra Sonar</t>
  </si>
  <si>
    <t>mrsonar11@gmail.com</t>
  </si>
  <si>
    <t>ImmplyCloud (Annexcloud) India Pvt Ltd</t>
  </si>
  <si>
    <t>Nashik</t>
  </si>
  <si>
    <t>Chaya B S</t>
  </si>
  <si>
    <t>chayagowda78@gmail.com</t>
  </si>
  <si>
    <t>The Wedding Company</t>
  </si>
  <si>
    <t>VINUTA NAGENDRA DEVADIG</t>
  </si>
  <si>
    <t>vinutad2018@gmail.com</t>
  </si>
  <si>
    <t>Bsc</t>
  </si>
  <si>
    <t>Myntra</t>
  </si>
  <si>
    <t>Ashwini RV</t>
  </si>
  <si>
    <t>ashuash929@gmail.com</t>
  </si>
  <si>
    <t>Startek</t>
  </si>
  <si>
    <t>S Purushotham</t>
  </si>
  <si>
    <t>spuru970@gmail.com</t>
  </si>
  <si>
    <t>Indusind Bank</t>
  </si>
  <si>
    <t>Rajalakshmi Deenadayalan</t>
  </si>
  <si>
    <t>drajalakshmi.rk@gmail.com</t>
  </si>
  <si>
    <t>9.11 Years</t>
  </si>
  <si>
    <t>Abhishek M Dooderi</t>
  </si>
  <si>
    <t>90 Days (Negotiable 30 Days)</t>
  </si>
  <si>
    <t>abhidodderi26@gmail.com</t>
  </si>
  <si>
    <t>Estuate Software Pvt. Ltd</t>
  </si>
  <si>
    <t>MASTANBI SK</t>
  </si>
  <si>
    <t>mastanbiazurede@gmail.com</t>
  </si>
  <si>
    <t>HCL </t>
  </si>
  <si>
    <t>30 LPA ( Offer in hand-28.5 LPA )</t>
  </si>
  <si>
    <t>Abid Khan</t>
  </si>
  <si>
    <t>LWD-20/03/2026</t>
  </si>
  <si>
    <t>abidkhan0786@gmail.com</t>
  </si>
  <si>
    <t>40 LPA ( Offer in hand-32 LPA )</t>
  </si>
  <si>
    <t>Shishir Ranjan</t>
  </si>
  <si>
    <t>LWD-04/05/2026 ( Buyout )</t>
  </si>
  <si>
    <t>shishir.ranjan16@gmail.com</t>
  </si>
  <si>
    <t>WNS</t>
  </si>
  <si>
    <t>47 LPA</t>
  </si>
  <si>
    <t>Kunal Kaushal</t>
  </si>
  <si>
    <t>kunalkaushal058@gmail.com</t>
  </si>
  <si>
    <t>Exo Edge India</t>
  </si>
  <si>
    <t>48 LPA ( Offer in hand-45 LPA )</t>
  </si>
  <si>
    <t>Subhadip Samoi</t>
  </si>
  <si>
    <t>subhadiptechsamoi@gmail.com</t>
  </si>
  <si>
    <t>B.Tech, West Bengal University</t>
  </si>
  <si>
    <t>Brand 2 Grand Promotions Pvt Ltd</t>
  </si>
  <si>
    <t>Jatin Parmar</t>
  </si>
  <si>
    <t>jatin.parmar.2178@gmail.com</t>
  </si>
  <si>
    <t>B.E,Sal Institute Of Technology</t>
  </si>
  <si>
    <t>4.11 Years</t>
  </si>
  <si>
    <t>Helicore info pvt ltd</t>
  </si>
  <si>
    <t xml:space="preserve">8 LPA </t>
  </si>
  <si>
    <t>Ahmedabad</t>
  </si>
  <si>
    <t xml:space="preserve">12 LPA </t>
  </si>
  <si>
    <t>Chetan Chavan</t>
  </si>
  <si>
    <t>chetanchavan2007.cc@gmail.com</t>
  </si>
  <si>
    <t>B.E, VTU</t>
  </si>
  <si>
    <t>Wells Fargo</t>
  </si>
  <si>
    <t>43 LPA ( Negotiable )</t>
  </si>
  <si>
    <t>Shaik Reena</t>
  </si>
  <si>
    <t>reenazoyashaik@gmail.com</t>
  </si>
  <si>
    <t>M.Sc(Science) Vikrama Simhapuri University</t>
  </si>
  <si>
    <t>Mphasis </t>
  </si>
  <si>
    <t>Mozammil Mahmood</t>
  </si>
  <si>
    <t>muzu101@gmail.com</t>
  </si>
  <si>
    <t>B.Tech,Martyland Institute of technology</t>
  </si>
  <si>
    <t>Quantacore labs</t>
  </si>
  <si>
    <t>Jharkand</t>
  </si>
  <si>
    <t>Siddamma Rampur</t>
  </si>
  <si>
    <t>LWD-14/03/2026</t>
  </si>
  <si>
    <t>siddammarampur@gmail.com</t>
  </si>
  <si>
    <t>B.Tech,Basaveshwar Engineering College</t>
  </si>
  <si>
    <t>Capgemini </t>
  </si>
  <si>
    <t>Vijayalaxmi</t>
  </si>
  <si>
    <t>LWD-17/03/2026</t>
  </si>
  <si>
    <t>vijayalaxmiran07@gmail.com</t>
  </si>
  <si>
    <t>B.Tech, VTU</t>
  </si>
  <si>
    <t>Digit Insurance</t>
  </si>
  <si>
    <t>GAYANA H K</t>
  </si>
  <si>
    <t>gayanahk31@gmail.com</t>
  </si>
  <si>
    <t>8.3 Years</t>
  </si>
  <si>
    <t> Cyient Ltd</t>
  </si>
  <si>
    <t>Raghavendra B T</t>
  </si>
  <si>
    <t>raghavendra.bt100@gmail.com</t>
  </si>
  <si>
    <t>Revanth Harsha Kalavala</t>
  </si>
  <si>
    <t>krevanthharsha@gmail.com</t>
  </si>
  <si>
    <t>B.Tech, IIT(ISM) Dhanbad</t>
  </si>
  <si>
    <t>Motherson Technology Services</t>
  </si>
  <si>
    <t>Ashish Kumar</t>
  </si>
  <si>
    <t>ashishkumar31396@gmail.com</t>
  </si>
  <si>
    <t>B.Tech, Odisha</t>
  </si>
  <si>
    <t>Bristlecone </t>
  </si>
  <si>
    <t>36 LPA ( Offer in hand-35 LPA )</t>
  </si>
  <si>
    <t>Anusha Dhanala</t>
  </si>
  <si>
    <t>anushadhanala18@gmail.com</t>
  </si>
  <si>
    <t>B.Tech, Tirupathi university</t>
  </si>
  <si>
    <t>Cognizant </t>
  </si>
  <si>
    <t>13.5 LPA</t>
  </si>
  <si>
    <t>Rajesh Reddy</t>
  </si>
  <si>
    <t>rajesh.javastack@gmail.com</t>
  </si>
  <si>
    <t>+91 9148561326</t>
  </si>
  <si>
    <t>MBA, M S Ramaiah university</t>
  </si>
  <si>
    <t>Sony </t>
  </si>
  <si>
    <t>Anantpur</t>
  </si>
  <si>
    <t>Biswajit jena</t>
  </si>
  <si>
    <t>bjena89087@gmail.com</t>
  </si>
  <si>
    <t xml:space="preserve">B.Tech, GANDHI INSTITUTE </t>
  </si>
  <si>
    <t>TECH NEON SOLUTIONS</t>
  </si>
  <si>
    <t>NISCHITHA T.S</t>
  </si>
  <si>
    <t>nish6march@gmail.com</t>
  </si>
  <si>
    <t>Marketstar India Pvt Ltd</t>
  </si>
  <si>
    <t>Mohammed Arif</t>
  </si>
  <si>
    <t>arifmuhamad1990@gmail.com</t>
  </si>
  <si>
    <t xml:space="preserve"> Bsc</t>
  </si>
  <si>
    <t>Towards  Vision Technology Pvt Ltd</t>
  </si>
  <si>
    <t>Saleem Tapal</t>
  </si>
  <si>
    <t>saleemtapal1@gmail.com</t>
  </si>
  <si>
    <t>Connex Teletech Pvt. Ltd</t>
  </si>
  <si>
    <t>12.84 LPA</t>
  </si>
  <si>
    <t>SHIVANSHU TIWARI</t>
  </si>
  <si>
    <t>shivanshu75tiwari@gmail.com</t>
  </si>
  <si>
    <t>PlanetCast</t>
  </si>
  <si>
    <t>Syed Dadepeer Hussaini</t>
  </si>
  <si>
    <t>nayeem7822@gmail.com</t>
  </si>
  <si>
    <t>Just Dial Ltd</t>
  </si>
  <si>
    <t>Eresh</t>
  </si>
  <si>
    <t>LWD - 14/02/2026</t>
  </si>
  <si>
    <t>Ereshgaikwad2015@gmail.com</t>
  </si>
  <si>
    <t>B.com</t>
  </si>
  <si>
    <t>Autozon Entrance Automation Private Limited</t>
  </si>
  <si>
    <t>madhugowda</t>
  </si>
  <si>
    <t>madhureddylucky@gmail.com</t>
  </si>
  <si>
    <t>ICICI LombardGeneral insurance Co. ltd</t>
  </si>
  <si>
    <t>Sundaram Samdarshy</t>
  </si>
  <si>
    <t>Sundaramsamdarshy11@gmail.com</t>
  </si>
  <si>
    <t>Casantro</t>
  </si>
  <si>
    <t>Vinay Shankar Achari</t>
  </si>
  <si>
    <t>acharyavinay555@gmail.com</t>
  </si>
  <si>
    <t>OneTrust</t>
  </si>
  <si>
    <t>Ratiranjan Bej</t>
  </si>
  <si>
    <t>ratiranjan7580@gmail.com</t>
  </si>
  <si>
    <t>1.7 Years</t>
  </si>
  <si>
    <t>VYAPAR APP</t>
  </si>
  <si>
    <t>3.84 LPA</t>
  </si>
  <si>
    <t>Snehitha M</t>
  </si>
  <si>
    <t>msnehitha020@gmail.com</t>
  </si>
  <si>
    <t>Labstack Networks Pvt Ltd</t>
  </si>
  <si>
    <t>Neeraj Kumar</t>
  </si>
  <si>
    <t>nrjbisla@gmail</t>
  </si>
  <si>
    <t>OrangeHealthLabs</t>
  </si>
  <si>
    <t>3.78 LPA</t>
  </si>
  <si>
    <t>Naveen Ramavath</t>
  </si>
  <si>
    <t>LWD- 25/02/2026</t>
  </si>
  <si>
    <t>rnaveen0333@gmail.com</t>
  </si>
  <si>
    <t>B.Sc,Omega Degree College</t>
  </si>
  <si>
    <t>TechNova Digital Solutions Pvt Ltd</t>
  </si>
  <si>
    <t>Sadasivam Venkatesan</t>
  </si>
  <si>
    <t xml:space="preserve">sadasivamjava@gmail.com  </t>
  </si>
  <si>
    <t>M.E, Anna University</t>
  </si>
  <si>
    <t>DCB Bank Ltd</t>
  </si>
  <si>
    <t>Bharath Kumar C</t>
  </si>
  <si>
    <t>chennurubharath@gmail.com</t>
  </si>
  <si>
    <t>MCA,KMM Institute</t>
  </si>
  <si>
    <t>Wipro limited</t>
  </si>
  <si>
    <t>Harishankar N</t>
  </si>
  <si>
    <t>harinatarajamandiram@gmail.com</t>
  </si>
  <si>
    <t>BCA,SAS SNDP Yogam College</t>
  </si>
  <si>
    <t>Saven Technologies</t>
  </si>
  <si>
    <t>MBA, Sri Venkateswara University</t>
  </si>
  <si>
    <t xml:space="preserve">alagesbalanit@gmail.com   </t>
  </si>
  <si>
    <t>MCA, Bannari Amman Institute of Technology</t>
  </si>
  <si>
    <t>Pavan Kumar Reddy</t>
  </si>
  <si>
    <t>LWD- 15/03/2026</t>
  </si>
  <si>
    <t>gpavankmr7@gmail.com</t>
  </si>
  <si>
    <t>Deloitte USI</t>
  </si>
  <si>
    <t xml:space="preserve">Abhilash Reddy </t>
  </si>
  <si>
    <t>abhireddy03937@gmail.com</t>
  </si>
  <si>
    <t>Houzbay</t>
  </si>
  <si>
    <t xml:space="preserve">Anand Udaji Bhalari </t>
  </si>
  <si>
    <t>anandbhalari@gmail.com</t>
  </si>
  <si>
    <t>Moneybox Finance Ltd</t>
  </si>
  <si>
    <t>Hubbali</t>
  </si>
  <si>
    <t>Afzal Adhoni</t>
  </si>
  <si>
    <t>adhoniafzal@gmail.com</t>
  </si>
  <si>
    <t>Nippon Paints India Pvt ltd</t>
  </si>
  <si>
    <t>Radha G</t>
  </si>
  <si>
    <t>RK5754191@gmail.com</t>
  </si>
  <si>
    <t>Bcom</t>
  </si>
  <si>
    <t>Aditya Birla Life Insurance</t>
  </si>
  <si>
    <t>MD JAWED</t>
  </si>
  <si>
    <t>LWD - 31/03/2026</t>
  </si>
  <si>
    <t>jawed843326@gmail.com</t>
  </si>
  <si>
    <t xml:space="preserve"> 7.4 Year</t>
  </si>
  <si>
    <t>Accolite Digital India Pvt. Ltd.</t>
  </si>
  <si>
    <t>Shivang sharma</t>
  </si>
  <si>
    <t>shivang.sharma98@gmail.com</t>
  </si>
  <si>
    <t>Sanjay Damodar</t>
  </si>
  <si>
    <t>sanjaydamodar14@gmail.com</t>
  </si>
  <si>
    <t xml:space="preserve"> 4.8 Year</t>
  </si>
  <si>
    <t>Manohara Satya Sai M</t>
  </si>
  <si>
    <t>manoharasaisatya69@gmail.com</t>
  </si>
  <si>
    <t xml:space="preserve"> 4.9 Year</t>
  </si>
  <si>
    <t>Infosys Private Limited</t>
  </si>
  <si>
    <t>Rakshan Agarwal</t>
  </si>
  <si>
    <t>rakshan.agarwal@gmail.com</t>
  </si>
  <si>
    <t>Zillious Solutions Pvt. Ltd.</t>
  </si>
  <si>
    <t>Shubham Kumar</t>
  </si>
  <si>
    <t>LWD-18/02/2026</t>
  </si>
  <si>
    <t>3wshubhamkumar@gmail.com</t>
  </si>
  <si>
    <t>22 LPA ( Negotiable )</t>
  </si>
  <si>
    <t>Chandrakant Vyas</t>
  </si>
  <si>
    <t>ckvyas05@gmail.com</t>
  </si>
  <si>
    <t>10.4 Years</t>
  </si>
  <si>
    <t>Capco Technologies</t>
  </si>
  <si>
    <t>42 LPA ( Offer in hand-40 LPA )</t>
  </si>
  <si>
    <t>AMARNATH R</t>
  </si>
  <si>
    <t>LWD-06/03/2026</t>
  </si>
  <si>
    <t>ak6577751@gmail.com</t>
  </si>
  <si>
    <t>NeST Digital </t>
  </si>
  <si>
    <t>Vineeth M</t>
  </si>
  <si>
    <t>vineethadoo@gmail.com</t>
  </si>
  <si>
    <t>21.5 LPA</t>
  </si>
  <si>
    <t>Govind Kumar</t>
  </si>
  <si>
    <t>LWD-23/03/2026</t>
  </si>
  <si>
    <t>govindkumar2248@gmail.com</t>
  </si>
  <si>
    <t>25 LPA ( Offer in hand-21 LPA )</t>
  </si>
  <si>
    <t>Krishnaveni</t>
  </si>
  <si>
    <t>challakrishnaveni2805@gmail.com</t>
  </si>
  <si>
    <t>Prosoft Data Systems </t>
  </si>
  <si>
    <t>SMRUTIJIT SATPATHY</t>
  </si>
  <si>
    <t>smrutijitsatapathy5505@gmail.com</t>
  </si>
  <si>
    <t>5.1 Years</t>
  </si>
  <si>
    <t>Saket Raj</t>
  </si>
  <si>
    <t>30 days ( Negotiable-15 days )</t>
  </si>
  <si>
    <t>saketraj46@gmail.com</t>
  </si>
  <si>
    <t>Goldman Sachs</t>
  </si>
  <si>
    <t>Ravindra L Patil</t>
  </si>
  <si>
    <t>ravindralpatil726@gmail.com</t>
  </si>
  <si>
    <t>6.1 Years</t>
  </si>
  <si>
    <t>Target Corporate Services </t>
  </si>
  <si>
    <t>Rajesh Singh</t>
  </si>
  <si>
    <t>scbrksingh@gmail.com</t>
  </si>
  <si>
    <t>18  Years</t>
  </si>
  <si>
    <t>Standard Chartered Bank</t>
  </si>
  <si>
    <t>Budget issue</t>
  </si>
  <si>
    <t>Sharad Jain</t>
  </si>
  <si>
    <t>sharadjain07@gmail.com</t>
  </si>
  <si>
    <t>19  Years</t>
  </si>
  <si>
    <t>Harinath Reddy</t>
  </si>
  <si>
    <t>hnreddy.it07@gmail.com</t>
  </si>
  <si>
    <t>6.2 Years</t>
  </si>
  <si>
    <t>Nayagara Technologies PVT</t>
  </si>
  <si>
    <t>Soumyabarata Parida</t>
  </si>
  <si>
    <t>soumyaparida1239@gmail.com</t>
  </si>
  <si>
    <t>BONBLOC Technologies</t>
  </si>
  <si>
    <t>Odisa</t>
  </si>
  <si>
    <t>Akashaya</t>
  </si>
  <si>
    <t>LWD: 20-02-2026</t>
  </si>
  <si>
    <t>akshayavarni2001@gmail.com</t>
  </si>
  <si>
    <t>SR Edu Technologies</t>
  </si>
  <si>
    <t>3.16 LPA</t>
  </si>
  <si>
    <t>Touheed Sab</t>
  </si>
  <si>
    <t>LWD: 18-02-2026</t>
  </si>
  <si>
    <t>touheed463@gmail.com</t>
  </si>
  <si>
    <t>Reserve Bank Information Technology</t>
  </si>
  <si>
    <t>Suvarna</t>
  </si>
  <si>
    <t>suvarnamuley07@gmail.com</t>
  </si>
  <si>
    <t>Sony</t>
  </si>
  <si>
    <t>Sovit Kumar</t>
  </si>
  <si>
    <t>sovitsk1998@gmail.com</t>
  </si>
  <si>
    <t>Coforge</t>
  </si>
  <si>
    <t>LWD: 13-02-2026</t>
  </si>
  <si>
    <t>nks200031@gmail.com</t>
  </si>
  <si>
    <t>Techasoft Pvt. Ltd</t>
  </si>
  <si>
    <t>4.98 LPA</t>
  </si>
  <si>
    <t>Akashadeep Kumar</t>
  </si>
  <si>
    <t>45 Days(Neg up to 30 Days)</t>
  </si>
  <si>
    <t>deep08akash@gmail.com</t>
  </si>
  <si>
    <t>Amdocs</t>
  </si>
  <si>
    <t>Irfan Ali</t>
  </si>
  <si>
    <t>irfanalibhat.uk@gmail.com</t>
  </si>
  <si>
    <t>Mobile Programming</t>
  </si>
  <si>
    <t>Allam Sushma Sri</t>
  </si>
  <si>
    <t>allamsushma302@gmail.com</t>
  </si>
  <si>
    <t>Gayathri</t>
  </si>
  <si>
    <t>gayusaran008@gmail.com</t>
  </si>
  <si>
    <t>ARAS</t>
  </si>
  <si>
    <t>Harshi Maheswari</t>
  </si>
  <si>
    <t>harshi1995mh@gmail.com</t>
  </si>
  <si>
    <t>PU</t>
  </si>
  <si>
    <t>Ishwarya</t>
  </si>
  <si>
    <t>Mohammed Hassan</t>
  </si>
  <si>
    <t>Premkumar</t>
  </si>
  <si>
    <t>Rajashekar</t>
  </si>
  <si>
    <t>20 Days</t>
  </si>
  <si>
    <t>Pu</t>
  </si>
  <si>
    <t>1 year</t>
  </si>
  <si>
    <t>Jeegathesan</t>
  </si>
  <si>
    <t>Shalini</t>
  </si>
  <si>
    <t>Naga eshwaran</t>
  </si>
  <si>
    <t>0,1</t>
  </si>
  <si>
    <t>Vignesh</t>
  </si>
  <si>
    <t>Varshini M</t>
  </si>
  <si>
    <t>MADHURIMA BHOWMIK</t>
  </si>
  <si>
    <t>bhowmik.madhurima2395@gmail.com</t>
  </si>
  <si>
    <t>B.Tech, WBUT</t>
  </si>
  <si>
    <t>GE Healthcare</t>
  </si>
  <si>
    <t>35 LPA ( Offer in hand-31 LPA )</t>
  </si>
  <si>
    <t>Avinash Kumar Mishra</t>
  </si>
  <si>
    <t>avinashmshr4@gmail.com</t>
  </si>
  <si>
    <t>B.Tech/M.Sc in University of Essex, England</t>
  </si>
  <si>
    <t>Joulestowatt </t>
  </si>
  <si>
    <t>Vikramaditya Sambhaji Ghadge</t>
  </si>
  <si>
    <t>vikramghadge9999@gmail.com</t>
  </si>
  <si>
    <t>B.Tech,Rajarambapu Institute of Technology, Sangli</t>
  </si>
  <si>
    <t>Intuit </t>
  </si>
  <si>
    <t>38 LPA</t>
  </si>
  <si>
    <t>Rachana Pandey</t>
  </si>
  <si>
    <t>rachana1005.98@gmail.com</t>
  </si>
  <si>
    <t xml:space="preserve">B.Tech, KNIT-Sultanpur  </t>
  </si>
  <si>
    <t>Coditation Systems</t>
  </si>
  <si>
    <t>Blessing Danish R</t>
  </si>
  <si>
    <t>blessing.danish@gmail.com</t>
  </si>
  <si>
    <t>Tvs</t>
  </si>
  <si>
    <t>2.76LPA</t>
  </si>
  <si>
    <t>Offer Accepted Yet to Join</t>
  </si>
  <si>
    <t>Offered Yet to Join</t>
  </si>
  <si>
    <t>Offer Accepted</t>
  </si>
  <si>
    <t>Rashmi Darshan</t>
  </si>
  <si>
    <t>rashmidarshan0894@gmail.com</t>
  </si>
  <si>
    <t>NoBroker.com</t>
  </si>
  <si>
    <t>G R Srinivas</t>
  </si>
  <si>
    <t>srinivas.gr33@gmail.com</t>
  </si>
  <si>
    <t>Ultratech Building Solutions</t>
  </si>
  <si>
    <t>5.59 LPA</t>
  </si>
  <si>
    <t>Sagar Reddy</t>
  </si>
  <si>
    <t>sagarchinni1998@gmail.com</t>
  </si>
  <si>
    <t>CloudFirst Technology</t>
  </si>
  <si>
    <t>Dhuneeth T S</t>
  </si>
  <si>
    <t>dhuneeth1999@gmail.com</t>
  </si>
  <si>
    <t>Modern Tade Business and Horeca</t>
  </si>
  <si>
    <t>Sagar Adhikrao Throat</t>
  </si>
  <si>
    <t>Immediate 09/2025</t>
  </si>
  <si>
    <t>Sthorat280@gmail.com</t>
  </si>
  <si>
    <t>NeoSoft Pvt. Ltd</t>
  </si>
  <si>
    <t>Amitraj Desai</t>
  </si>
  <si>
    <t>amitrajdesai@gmail.com</t>
  </si>
  <si>
    <r>
      <t>1</t>
    </r>
    <r>
      <rPr>
        <sz val="11"/>
        <color theme="1"/>
        <rFont val="Calibri"/>
        <family val="2"/>
      </rPr>
      <t>5</t>
    </r>
    <r>
      <rPr>
        <sz val="11"/>
        <color rgb="FF000000"/>
        <rFont val="Calibri"/>
        <family val="2"/>
      </rPr>
      <t>  Years</t>
    </r>
  </si>
  <si>
    <t>Espire Infolabs</t>
  </si>
  <si>
    <t>42.9LPA</t>
  </si>
  <si>
    <t>Ajay Tripathi</t>
  </si>
  <si>
    <t>ajaytripathi.2112@gmail.com</t>
  </si>
  <si>
    <t>Wipro Technologies</t>
  </si>
  <si>
    <t>Alex Samson</t>
  </si>
  <si>
    <t>LWD-12/2025</t>
  </si>
  <si>
    <t>alexsamsonmca@gmail.com</t>
  </si>
  <si>
    <r>
      <t>1</t>
    </r>
    <r>
      <rPr>
        <sz val="11"/>
        <color theme="1"/>
        <rFont val="Calibri"/>
        <family val="2"/>
      </rPr>
      <t xml:space="preserve">5 </t>
    </r>
    <r>
      <rPr>
        <sz val="11"/>
        <color rgb="FF000000"/>
        <rFont val="Calibri"/>
        <family val="2"/>
      </rPr>
      <t>Years</t>
    </r>
  </si>
  <si>
    <t>BMW Techworks India</t>
  </si>
  <si>
    <t>Shashidhar Gowda</t>
  </si>
  <si>
    <t>LWD-10/03/3036</t>
  </si>
  <si>
    <t xml:space="preserve">shashidharagowda1998@gmail.com </t>
  </si>
  <si>
    <t>B.Tech,Kalpatru Institute of Technology, Tiptur</t>
  </si>
  <si>
    <t>Ncore Technology Pvt Ltd</t>
  </si>
  <si>
    <t>Pratiksha j Bhatale</t>
  </si>
  <si>
    <t>pratikshabhatale@gmail.com</t>
  </si>
  <si>
    <t>B.Tech, Wipro</t>
  </si>
  <si>
    <t>Rompalli mounika</t>
  </si>
  <si>
    <t>rompallimounika@gmail.com</t>
  </si>
  <si>
    <t xml:space="preserve">B.Tech, Vignan's University </t>
  </si>
  <si>
    <t>Innocito </t>
  </si>
  <si>
    <t>12.40 LPA</t>
  </si>
  <si>
    <t>Mohini</t>
  </si>
  <si>
    <t>mohinijha06@gmail.com</t>
  </si>
  <si>
    <t>M.Tech Anna University</t>
  </si>
  <si>
    <t>7.8 Years</t>
  </si>
  <si>
    <t>Pradeepa T</t>
  </si>
  <si>
    <t>pradeepthammayya@gmail.com</t>
  </si>
  <si>
    <t>Arya Communications and Electronics Services Pvt Ltd</t>
  </si>
  <si>
    <t>Yesh Yadav</t>
  </si>
  <si>
    <t>yeshyadav1624@gmail.com</t>
  </si>
  <si>
    <t>ABC Technology Training &amp; Upskilling</t>
  </si>
  <si>
    <t>Kiran Kumar M H</t>
  </si>
  <si>
    <t>25 Days</t>
  </si>
  <si>
    <t>mhkiran98@gmail.com</t>
  </si>
  <si>
    <t>STEMx India</t>
  </si>
  <si>
    <t>9.8 LPA</t>
  </si>
  <si>
    <t>Balkrishna Rajaram Patil</t>
  </si>
  <si>
    <t>bkpatil247@gmail.com</t>
  </si>
  <si>
    <t>Foresight Software Solutions Pvt Ltd</t>
  </si>
  <si>
    <t>Nailesh Chikkamath</t>
  </si>
  <si>
    <t>nailesh.c@gmail.com</t>
  </si>
  <si>
    <t>MarketStar</t>
  </si>
  <si>
    <t>Kiran Hegde</t>
  </si>
  <si>
    <t>KIRANHEGDE1995@GMAIL.COM</t>
  </si>
  <si>
    <t>Curatal</t>
  </si>
  <si>
    <t>Sumit Chavan</t>
  </si>
  <si>
    <t>sumitchavan98900@gmail.com</t>
  </si>
  <si>
    <t xml:space="preserve"> 3.5 Year</t>
  </si>
  <si>
    <t xml:space="preserve">Kuzagan Services Pvt Ltd </t>
  </si>
  <si>
    <t>Raghuveer R</t>
  </si>
  <si>
    <t>itsraghuveer95@gmail.com</t>
  </si>
  <si>
    <t>Teceze</t>
  </si>
  <si>
    <t>Seralathan S P</t>
  </si>
  <si>
    <t>seralathansp@gmail.com</t>
  </si>
  <si>
    <t xml:space="preserve">CarDekho (Girnar Software Pvt. Ltd.) </t>
  </si>
  <si>
    <t>6.25 LPA</t>
  </si>
  <si>
    <t>Abhishek V</t>
  </si>
  <si>
    <t>abhishekabel2@gmail.com</t>
  </si>
  <si>
    <t xml:space="preserve"> 4.5 Year</t>
  </si>
  <si>
    <t>MagicBricks</t>
  </si>
  <si>
    <t>Manjunath Angolkar</t>
  </si>
  <si>
    <t>manjunathangolkar.21@gmail.com</t>
  </si>
  <si>
    <t xml:space="preserve"> XENIE (BRANCHX) </t>
  </si>
  <si>
    <t>Ratikanta Das</t>
  </si>
  <si>
    <t>Immedidate LWD- 01/2025</t>
  </si>
  <si>
    <t>dasratikanta829@gmail.com</t>
  </si>
  <si>
    <t>B.Tech, Gandhi Engineering College</t>
  </si>
  <si>
    <t>Virtusa Consulting Services Pvt Ltd,</t>
  </si>
  <si>
    <t>Kumar Sushant</t>
  </si>
  <si>
    <t>Immedidate LWD- 02/2026</t>
  </si>
  <si>
    <t xml:space="preserve">kumar1555sushant@gmail.com </t>
  </si>
  <si>
    <t xml:space="preserve">B.E, Bhabha College Of Engineering </t>
  </si>
  <si>
    <t xml:space="preserve">Mufin Technology  </t>
  </si>
  <si>
    <t>Baikuntha Bihar</t>
  </si>
  <si>
    <t>Immedidate LWD- 07/2025</t>
  </si>
  <si>
    <t>baikuntha1526@gmail.com</t>
  </si>
  <si>
    <t>B.Tech,Eastern Academy of Science &amp; Technology</t>
  </si>
  <si>
    <t>Nityo Infotech Services Pvt. Ltd</t>
  </si>
  <si>
    <t>Sunil Kumar Singh</t>
  </si>
  <si>
    <t>Immediadate LWD-12/2025</t>
  </si>
  <si>
    <t>kumarsunilraj6293@gmail.com</t>
  </si>
  <si>
    <t>B.E,New Horizon College of Engineering</t>
  </si>
  <si>
    <t>Quantum Business Solutions &amp; Outsourcing Pvt. Ltd</t>
  </si>
  <si>
    <t>Aiswarya Gupta</t>
  </si>
  <si>
    <t>aishwarya547541@gmail.com</t>
  </si>
  <si>
    <t>B.Tech, SRM Technology</t>
  </si>
  <si>
    <t>12.2 LPA</t>
  </si>
  <si>
    <t>Anjali Kumari</t>
  </si>
  <si>
    <t>B.Tech,Heritage Institute of Technology,</t>
  </si>
  <si>
    <t>VirtusNova</t>
  </si>
  <si>
    <t>18 LPA(Negotiable)</t>
  </si>
  <si>
    <t>gubireanusha90@gmail.com</t>
  </si>
  <si>
    <t>PANTHULA SURESH</t>
  </si>
  <si>
    <t>sureshpanthula11@gmail.com</t>
  </si>
  <si>
    <t>Kyndryl</t>
  </si>
  <si>
    <t>SATHYAVATHI</t>
  </si>
  <si>
    <t>sathya28.mca@gmail.com</t>
  </si>
  <si>
    <t>ValuePoint </t>
  </si>
  <si>
    <t>Neelamadhab panigrahy</t>
  </si>
  <si>
    <t>Immediate LWD-11/2025</t>
  </si>
  <si>
    <t>neelamadhab08@gmail.com</t>
  </si>
  <si>
    <t>M.Sc, Berhampur University</t>
  </si>
  <si>
    <t xml:space="preserve">7.6 Years </t>
  </si>
  <si>
    <t>SLK Software</t>
  </si>
  <si>
    <t>Sudharsan</t>
  </si>
  <si>
    <t>Immediate LWD-02/2026</t>
  </si>
  <si>
    <t>sudharsanmurugan98@gmail.com</t>
  </si>
  <si>
    <t>B.E,Adhiyamaan Engineering College</t>
  </si>
  <si>
    <t>Amulya R</t>
  </si>
  <si>
    <t>ImmediateLWD- 27/02/2026</t>
  </si>
  <si>
    <t>ramulyarshankar@gmail.com</t>
  </si>
  <si>
    <t>B.E, NIE Institute of Technology</t>
  </si>
  <si>
    <t>Inunent</t>
  </si>
  <si>
    <t>Arun Prasad</t>
  </si>
  <si>
    <t>arunprasadame@gmail.com</t>
  </si>
  <si>
    <t>MCA, NIITM College</t>
  </si>
  <si>
    <t>Geval6 Technologies Pvt. Ltd -</t>
  </si>
  <si>
    <t>29.5 LPA</t>
  </si>
  <si>
    <t>ShashiKumar AM</t>
  </si>
  <si>
    <t>30 Days Neg(20 days)</t>
  </si>
  <si>
    <t>vector.shashi141@gmail.com</t>
  </si>
  <si>
    <t xml:space="preserve"> B.E, Visvesvaraya Technological University</t>
  </si>
  <si>
    <t>Moonraft Innovation Labs</t>
  </si>
  <si>
    <t>SHAMANTH S</t>
  </si>
  <si>
    <t>shamanth.sb94@gmail.com</t>
  </si>
  <si>
    <t>Ctruh Technology Pvt Ltd</t>
  </si>
  <si>
    <t>Santhosh C S</t>
  </si>
  <si>
    <t>santhosh.shankarappa09@gmail.com</t>
  </si>
  <si>
    <t>Sambhav Foundation (Labournet Services India pvt ltd)</t>
  </si>
  <si>
    <t>Rajesh Rajasekar</t>
  </si>
  <si>
    <t>rajesh.rajkanna4@gmail.com</t>
  </si>
  <si>
    <t xml:space="preserve"> 13 Year</t>
  </si>
  <si>
    <t>Franchise India</t>
  </si>
  <si>
    <t>Yogesh Talurmath</t>
  </si>
  <si>
    <t>LWD - 05/03/2026</t>
  </si>
  <si>
    <t>yogesh.talurmath@gmail.com</t>
  </si>
  <si>
    <t xml:space="preserve"> 10.2 Year</t>
  </si>
  <si>
    <t>GetBlock Inc</t>
  </si>
  <si>
    <t>30 LPA(Negotiable)</t>
  </si>
  <si>
    <t>Sidharth Hiremath</t>
  </si>
  <si>
    <t>sidhhiremath@gmail.com</t>
  </si>
  <si>
    <t xml:space="preserve"> Liaison Bank </t>
  </si>
  <si>
    <t>15% Hike</t>
  </si>
  <si>
    <t>Shashi Kumar</t>
  </si>
  <si>
    <t>shashikumargowdabelagul@gmail.com</t>
  </si>
  <si>
    <t>ASIAN PAINTS LTD</t>
  </si>
  <si>
    <t>Manjunath</t>
  </si>
  <si>
    <t>m.manu7879@gmail.com</t>
  </si>
  <si>
    <t>Vyeco Solutions LLP</t>
  </si>
  <si>
    <t>Goutam H R</t>
  </si>
  <si>
    <t>goutamhr@gmail.com</t>
  </si>
  <si>
    <t>Solutions and Products at Adani cements Ltd</t>
  </si>
  <si>
    <t>sureshmohankumar19@gmail.co</t>
  </si>
  <si>
    <t>Stellar Information Technology</t>
  </si>
  <si>
    <t>Umesh</t>
  </si>
  <si>
    <t>umeshgowda088@gmail.com</t>
  </si>
  <si>
    <t>TSSF Motors Pvt. Ltd</t>
  </si>
  <si>
    <t>Purushotham T S</t>
  </si>
  <si>
    <t>saipurushotham98@gmail.com</t>
  </si>
  <si>
    <t>Himalaya Wellness Company</t>
  </si>
  <si>
    <t>35% Hike</t>
  </si>
  <si>
    <t>Naveen K R</t>
  </si>
  <si>
    <t>naveenkr.kkp9@gmail.com</t>
  </si>
  <si>
    <t>Organization Arivu Technologies</t>
  </si>
  <si>
    <t>Aniket M</t>
  </si>
  <si>
    <t>anikethp073@gmail.com</t>
  </si>
  <si>
    <t>Digiwabbit</t>
  </si>
  <si>
    <t>Sonam Parcha</t>
  </si>
  <si>
    <t>sonamparcha1990@gmail.com</t>
  </si>
  <si>
    <t>Ntt Data</t>
  </si>
  <si>
    <t>Ponraj Ganesan</t>
  </si>
  <si>
    <t>ponrajareddy@gmail.com</t>
  </si>
  <si>
    <t>Abhijit Ganeshrao Thakre</t>
  </si>
  <si>
    <t>abhijitthakre83@gmail.com</t>
  </si>
  <si>
    <t>Swift technocraft pvt ltd</t>
  </si>
  <si>
    <t>Vinod Murthy</t>
  </si>
  <si>
    <t>vinod_murthy2002@yahoo.com</t>
  </si>
  <si>
    <t>Brightpoint Infotech private Limited</t>
  </si>
  <si>
    <t>Praveen Kumar HT</t>
  </si>
  <si>
    <t>pmpraveenkumar22@gmail.com</t>
  </si>
  <si>
    <t xml:space="preserve"> 7 Years</t>
  </si>
  <si>
    <t>Phone Pe</t>
  </si>
  <si>
    <t>Sunkara Mahesh</t>
  </si>
  <si>
    <t>LWD- 02/03/2026</t>
  </si>
  <si>
    <t>Maheshsunkara92@gmail.com</t>
  </si>
  <si>
    <t xml:space="preserve">MCA, Acharya Nagarjuna University </t>
  </si>
  <si>
    <t>10.9 LPA</t>
  </si>
  <si>
    <t>Naga Prathap Pasam</t>
  </si>
  <si>
    <t>LWD- 24/02/2026</t>
  </si>
  <si>
    <t>nagaprathappasam@gmail.com</t>
  </si>
  <si>
    <t>B.Tech, MGR University</t>
  </si>
  <si>
    <t>Starlite Infotech</t>
  </si>
  <si>
    <t>Garima sharma</t>
  </si>
  <si>
    <t>garimasharma.tech2403@gmail.com</t>
  </si>
  <si>
    <t>MCA, CSVT University</t>
  </si>
  <si>
    <t>Suresh Devadiga</t>
  </si>
  <si>
    <t>suresh.pes95@gmail.com</t>
  </si>
  <si>
    <t>Swiggy</t>
  </si>
  <si>
    <t>Sagar Tarnalli</t>
  </si>
  <si>
    <t>Sagartarnalli59@gmail.com</t>
  </si>
  <si>
    <t>Phonepe Pvt Ltd</t>
  </si>
  <si>
    <t>Pratik Ajit Shetty</t>
  </si>
  <si>
    <t>prathikshetty83@gmail.com</t>
  </si>
  <si>
    <t>Amazon</t>
  </si>
  <si>
    <t>25% HIKE</t>
  </si>
  <si>
    <t>Saravanakumar Duraisamypandian</t>
  </si>
  <si>
    <t>dsaravana248@gmail.com</t>
  </si>
  <si>
    <t>Madhurai</t>
  </si>
  <si>
    <t>A. LOGANATHAN</t>
  </si>
  <si>
    <t>logesha106@gmail.com</t>
  </si>
  <si>
    <t>5.4 Years</t>
  </si>
  <si>
    <t>WIPRO </t>
  </si>
  <si>
    <t>C.V.Jayasimha</t>
  </si>
  <si>
    <t>Cvjayasimha2@gmail.com</t>
  </si>
  <si>
    <t>13.6 Years</t>
  </si>
  <si>
    <t>DeCharge (Aarkay Spatial Computing LLP)</t>
  </si>
  <si>
    <t>Kanakaraj P</t>
  </si>
  <si>
    <t>kanakaraju66440@gmail.com</t>
  </si>
  <si>
    <t>BCom</t>
  </si>
  <si>
    <t>Green Tiger Mobility Pvt Ltd</t>
  </si>
  <si>
    <t>Vishwas K S</t>
  </si>
  <si>
    <t>vishwas.panne@gmail.com</t>
  </si>
  <si>
    <t>Aditi Tracking Support Pvt Ltd</t>
  </si>
  <si>
    <t>Manjunath S Khandappanavar</t>
  </si>
  <si>
    <t>ms.khandappanavar@gmail.com</t>
  </si>
  <si>
    <t>Amkka Pvt Ltd</t>
  </si>
  <si>
    <t>Jagruti Janardan Sail</t>
  </si>
  <si>
    <t>sailjagruti99@gmail.com</t>
  </si>
  <si>
    <t>6.3 Years</t>
  </si>
  <si>
    <t>Euronet Services India Pvt Ltd.</t>
  </si>
  <si>
    <t>Anil Kumar</t>
  </si>
  <si>
    <t>anilrajput210@gmail.com</t>
  </si>
  <si>
    <t>15.4 Years</t>
  </si>
  <si>
    <t>Gurugram</t>
  </si>
  <si>
    <t>Vikas Kumar</t>
  </si>
  <si>
    <t>Immedidate, LWD 02/2025</t>
  </si>
  <si>
    <t>kumar0190vikash@gmail.com</t>
  </si>
  <si>
    <t>Quipu.de</t>
  </si>
  <si>
    <t>Lucknow</t>
  </si>
  <si>
    <t>anilanu.kumar2004@gmail.com</t>
  </si>
  <si>
    <t>QUESS CORP LTD</t>
  </si>
  <si>
    <t>Pranesh Rajan R</t>
  </si>
  <si>
    <t>praneshrajan.for@gmail.com</t>
  </si>
  <si>
    <t>CommandHQ</t>
  </si>
  <si>
    <t>Manoja M Kaisalagi</t>
  </si>
  <si>
    <t>manojkaisalagi97@gmail.com</t>
  </si>
  <si>
    <t>Mankind Pharma</t>
  </si>
  <si>
    <t>2.83 LPA</t>
  </si>
  <si>
    <t>Sai Swaroop K S</t>
  </si>
  <si>
    <t>kssaiswaroop22@gmail.com</t>
  </si>
  <si>
    <t>Pai International Electronic Pvt Ltd</t>
  </si>
  <si>
    <t>Gopal D </t>
  </si>
  <si>
    <t>gpaal369@gmail.com</t>
  </si>
  <si>
    <t>Homztels Stay Venture Pvt Ltd</t>
  </si>
  <si>
    <t>h</t>
  </si>
  <si>
    <t>Sunil R</t>
  </si>
  <si>
    <t>sunilswamy45@gmail.com</t>
  </si>
  <si>
    <t>Remidio Innovative Solutions</t>
  </si>
  <si>
    <t>Ravi Shankar E</t>
  </si>
  <si>
    <t>aaryanravi51@gmail.com</t>
  </si>
  <si>
    <t>Bob Caps Market Ltd</t>
  </si>
  <si>
    <t>vinod Murthy</t>
  </si>
  <si>
    <t>Hemanth Kumara Gn</t>
  </si>
  <si>
    <t>hemanth935374@gmail.com</t>
  </si>
  <si>
    <t xml:space="preserve"> BBM</t>
  </si>
  <si>
    <t>RELIANCE DIGITAL</t>
  </si>
  <si>
    <t>25K</t>
  </si>
  <si>
    <t xml:space="preserve"> 25K</t>
  </si>
  <si>
    <t>Subhaa Gopisuresh</t>
  </si>
  <si>
    <t>subhavarsh02@gmail.com</t>
  </si>
  <si>
    <t>BIT</t>
  </si>
  <si>
    <t xml:space="preserve"> 2.3 Year</t>
  </si>
  <si>
    <t>Signdesk</t>
  </si>
  <si>
    <t>VARUN S R</t>
  </si>
  <si>
    <t>varunraman222@gmail.com</t>
  </si>
  <si>
    <t>Asian Paints</t>
  </si>
  <si>
    <t>26K</t>
  </si>
  <si>
    <t>36K</t>
  </si>
  <si>
    <t>Ganesh nayak</t>
  </si>
  <si>
    <t>gn5260483@gmail.com</t>
  </si>
  <si>
    <t>SSLC</t>
  </si>
  <si>
    <t>Kushals Fashion Jewellery</t>
  </si>
  <si>
    <t>2.64 Lpa</t>
  </si>
  <si>
    <t>3 lpa</t>
  </si>
  <si>
    <t>waiting for panels availaibility for tech 1</t>
  </si>
  <si>
    <t>Kalaiyarasan.D</t>
  </si>
  <si>
    <t>dkalaiyarasan12@gmail.com</t>
  </si>
  <si>
    <t>Futhuresoft Solutions Pvt Ltd</t>
  </si>
  <si>
    <t>Amanson Muller</t>
  </si>
  <si>
    <t>amansonmuller20@gmail.com</t>
  </si>
  <si>
    <t>Eculid Innovation </t>
  </si>
  <si>
    <t>VIGNESH MS</t>
  </si>
  <si>
    <t>vigneshms378@gmail.com</t>
  </si>
  <si>
    <t>LTI Mindtree</t>
  </si>
  <si>
    <t>ROHIT CHAVAN</t>
  </si>
  <si>
    <t>rohitchavan8558@gmail.com</t>
  </si>
  <si>
    <t>GTT Communication Pvt. Ltd</t>
  </si>
  <si>
    <t>pasuluru.venkatesh1994@gmail.com</t>
  </si>
  <si>
    <t>VALUE SOFTWARE TECHNOLOGIES PVT LTD</t>
  </si>
  <si>
    <t>Ashish Mohanta</t>
  </si>
  <si>
    <t>LWD-13/03/2026</t>
  </si>
  <si>
    <t>ashishm58@gmail.com</t>
  </si>
  <si>
    <t>UST </t>
  </si>
  <si>
    <t>Anjan Kumar Rout</t>
  </si>
  <si>
    <t>anjan19831@gmail.com</t>
  </si>
  <si>
    <t>Soundharya N</t>
  </si>
  <si>
    <t>soundharya6074@gmail.com</t>
  </si>
  <si>
    <t>Allsec Technologies</t>
  </si>
  <si>
    <t>20K</t>
  </si>
  <si>
    <t>Aman Rodrigues</t>
  </si>
  <si>
    <t>amanrodriguez6529@gmail.com</t>
  </si>
  <si>
    <t>RNS motors</t>
  </si>
  <si>
    <t xml:space="preserve">available monday </t>
  </si>
  <si>
    <t>Mohammed Riazuddin</t>
  </si>
  <si>
    <t>LWD-15/03/2026</t>
  </si>
  <si>
    <t>riazuddin89@outlook.com</t>
  </si>
  <si>
    <t>Nokia </t>
  </si>
  <si>
    <t>Vijaykumar K</t>
  </si>
  <si>
    <t>vijaykreddy2026@gmail.com</t>
  </si>
  <si>
    <t>Pranaykumar Mallepally</t>
  </si>
  <si>
    <t>pranaykumar.mallepally@gmail.com</t>
  </si>
  <si>
    <t>6.7 Years</t>
  </si>
  <si>
    <t> Broadridge financial services pvt ltd</t>
  </si>
  <si>
    <t>Sai Divya Thota</t>
  </si>
  <si>
    <t>saidivya5998@gmail.com</t>
  </si>
  <si>
    <t>Infosys </t>
  </si>
  <si>
    <t>Ramakoteswarao Pusunuru</t>
  </si>
  <si>
    <t>Immedidate</t>
  </si>
  <si>
    <t>ram66koti@gmail.com</t>
  </si>
  <si>
    <t>Grain Corp</t>
  </si>
  <si>
    <t>Vijayawada</t>
  </si>
  <si>
    <t>Bala Karthikeyan</t>
  </si>
  <si>
    <t>kingofkaprakapra@gmail.com</t>
  </si>
  <si>
    <t>Vivo TNPL Company-</t>
  </si>
  <si>
    <t>Bharath SP</t>
  </si>
  <si>
    <t>iambharath2003kid@gmail.com</t>
  </si>
  <si>
    <t>2 Months</t>
  </si>
  <si>
    <t>Glow logic solution</t>
  </si>
  <si>
    <t>Mysuru</t>
  </si>
  <si>
    <t>manjunatht360@gmail.com</t>
  </si>
  <si>
    <t>Soundarapandi</t>
  </si>
  <si>
    <t>soundarapandidce@gmail.com</t>
  </si>
  <si>
    <t>Joined</t>
  </si>
  <si>
    <t>DOJ 18 mar 2026</t>
  </si>
  <si>
    <t>Doccument Collection</t>
  </si>
  <si>
    <t>Haroon Rasheed</t>
  </si>
  <si>
    <t>harun.rasith2010@gmail.com</t>
  </si>
  <si>
    <t>2.40 LPA</t>
  </si>
  <si>
    <t>Chandru </t>
  </si>
  <si>
    <t>ramchandamc@gmail.com</t>
  </si>
  <si>
    <t>2.04 LPA</t>
  </si>
  <si>
    <t>Vara Prasad</t>
  </si>
  <si>
    <t>chellam8660738269@gmail.com</t>
  </si>
  <si>
    <t>EBO MART</t>
  </si>
  <si>
    <t>Vikas DR</t>
  </si>
  <si>
    <t>LWD-07/01/2026</t>
  </si>
  <si>
    <t>vikasdr028@gmail.com</t>
  </si>
  <si>
    <t>Emqos Embedded Engineering Pvt Ltd</t>
  </si>
  <si>
    <t>13.2 LPA</t>
  </si>
  <si>
    <t>Sankardass</t>
  </si>
  <si>
    <t>LWD-22/09/2025</t>
  </si>
  <si>
    <t>sankardass.jr@gmail.com</t>
  </si>
  <si>
    <t>Saurav Kumar</t>
  </si>
  <si>
    <t>sauravkt1@outlook.com</t>
  </si>
  <si>
    <t>Amity Software Limited</t>
  </si>
  <si>
    <t>Laxmikant.v.shetty</t>
  </si>
  <si>
    <t>LWD-09/12/2026</t>
  </si>
  <si>
    <t>laxmikant.v.shetty@gmail.com</t>
  </si>
  <si>
    <t>Boven Technologies Pvt Ltd</t>
  </si>
  <si>
    <t xml:space="preserve"> Karthik M</t>
  </si>
  <si>
    <t>kar866078@gmail.com</t>
  </si>
  <si>
    <t>SBI Bank</t>
  </si>
  <si>
    <t>Sneha K</t>
  </si>
  <si>
    <t>spsneha209@gmail.com</t>
  </si>
  <si>
    <t>1.8 Years</t>
  </si>
  <si>
    <t>Axis Max Life Insurance co ltd</t>
  </si>
  <si>
    <t>Ishwari Kalyanshetty</t>
  </si>
  <si>
    <t>ishwarikalyanshetty@hotmail.com</t>
  </si>
  <si>
    <t>SCIEMETRIC INSTRUMENTS</t>
  </si>
  <si>
    <t>40% Hike</t>
  </si>
  <si>
    <t>Harish Adhere</t>
  </si>
  <si>
    <t>adhereharish143@gmail.com</t>
  </si>
  <si>
    <t>Centum T&amp;S</t>
  </si>
  <si>
    <t>Gajendrakumar Parmar</t>
  </si>
  <si>
    <t>gajendra808@rediffmail.com</t>
  </si>
  <si>
    <t xml:space="preserve"> 12 Year</t>
  </si>
  <si>
    <t>Mindteck india Ltd</t>
  </si>
  <si>
    <t>17.5 LPA</t>
  </si>
  <si>
    <t>Manish Poojary</t>
  </si>
  <si>
    <t>90 Days (60 Days Negotiable)</t>
  </si>
  <si>
    <t>manishpoojary04@gmail.com</t>
  </si>
  <si>
    <t xml:space="preserve"> 9.2 Year</t>
  </si>
  <si>
    <t>Akhilesh M</t>
  </si>
  <si>
    <t>30 Days ( Negotiable)</t>
  </si>
  <si>
    <t>akhilm19@gmail.com</t>
  </si>
  <si>
    <t>4 years</t>
  </si>
  <si>
    <t>Tata Technologies Ltd</t>
  </si>
  <si>
    <t>15.6 LPA</t>
  </si>
  <si>
    <t>20% HIKE</t>
  </si>
  <si>
    <t>PCB layout engineer</t>
  </si>
  <si>
    <t>Jotiram Kamble</t>
  </si>
  <si>
    <t>jokamble2@gmail.com</t>
  </si>
  <si>
    <t>PHILIPS HEALTHCARE R&amp;D IND PVT LTD</t>
  </si>
  <si>
    <t>Saravanan S</t>
  </si>
  <si>
    <t>sarotitan@gmail.com</t>
  </si>
  <si>
    <t>Value Point Systems Pvt Ltd</t>
  </si>
  <si>
    <t>Bindhu</t>
  </si>
  <si>
    <t>bindhusr1017@gmail.com</t>
  </si>
  <si>
    <t xml:space="preserve">B.Tech </t>
  </si>
  <si>
    <t>Vmoksha Technologies</t>
  </si>
  <si>
    <t>Arun</t>
  </si>
  <si>
    <t>LWd-10 Mar 2026</t>
  </si>
  <si>
    <t>arunkumar939195@gmail.com</t>
  </si>
  <si>
    <t>Hitachi Automotive</t>
  </si>
  <si>
    <t>Nellore, Andhra Pradesh</t>
  </si>
  <si>
    <t>Prajakta Gole</t>
  </si>
  <si>
    <t>prajakta1552@gmail.com</t>
  </si>
  <si>
    <t>Subhashree Sahoo</t>
  </si>
  <si>
    <t>Subhashreesahoo287@gmail.com</t>
  </si>
  <si>
    <t>4.10 Years</t>
  </si>
  <si>
    <t>V5 global solution</t>
  </si>
  <si>
    <t>Yogeshwar Singh</t>
  </si>
  <si>
    <t>Immediate-LWD 01/2026</t>
  </si>
  <si>
    <t>yogeshwar2401@gmail.com</t>
  </si>
  <si>
    <t>Concentrix</t>
  </si>
  <si>
    <t>M.Dinesh Reddy</t>
  </si>
  <si>
    <t>Immediate-LWD 03/2024</t>
  </si>
  <si>
    <t>Dinesh03Reddy@gmail.com</t>
  </si>
  <si>
    <t>L&amp;T Construction</t>
  </si>
  <si>
    <t>Shajahan Shaik</t>
  </si>
  <si>
    <t xml:space="preserve"> shajahan.shaike@gmail.com</t>
  </si>
  <si>
    <t xml:space="preserve">3i Info-tech Consultancy Services </t>
  </si>
  <si>
    <t>Holding offer 10lpa,DOJ 1 Apr 2026,Chennai location</t>
  </si>
  <si>
    <t>Sanoj K C</t>
  </si>
  <si>
    <t>sanojkc392@gmail.com</t>
  </si>
  <si>
    <t>ITI</t>
  </si>
  <si>
    <t>Maruti Suzuki Rns motors</t>
  </si>
  <si>
    <t>2.16 lpa</t>
  </si>
  <si>
    <t>Gujrath</t>
  </si>
  <si>
    <t>SREESHNU A</t>
  </si>
  <si>
    <t>sreeshnu1123@gmail.com</t>
  </si>
  <si>
    <t>Started Small Scale Training Garage at Home</t>
  </si>
  <si>
    <t>1.80 lpa</t>
  </si>
  <si>
    <t>Offer Rejected</t>
  </si>
  <si>
    <t>Jashavnt P Thakor</t>
  </si>
  <si>
    <t>jaiminthakor781@gmail.com</t>
  </si>
  <si>
    <t>1.9 Year</t>
  </si>
  <si>
    <t>Marico India Ltd</t>
  </si>
  <si>
    <t>1.80 LPA</t>
  </si>
  <si>
    <t>Gujarat</t>
  </si>
  <si>
    <t>Vasuki S</t>
  </si>
  <si>
    <t>vasukisrideeva@gmail.com</t>
  </si>
  <si>
    <t>AM Consulting</t>
  </si>
  <si>
    <t>Sangeetha A</t>
  </si>
  <si>
    <t>sangeethasrideev@gmail.com</t>
  </si>
  <si>
    <t>S Janani</t>
  </si>
  <si>
    <t>DOJ:- 17-03-2026</t>
  </si>
  <si>
    <t>Freshers</t>
  </si>
  <si>
    <t>Nil</t>
  </si>
  <si>
    <t>As per company Standards</t>
  </si>
  <si>
    <t>Campus Drive</t>
  </si>
  <si>
    <t>Kaleshwaran</t>
  </si>
  <si>
    <t>Jayapriya M</t>
  </si>
  <si>
    <t>I Tharika Hameedha</t>
  </si>
  <si>
    <t>Malathy Muthuraman</t>
  </si>
  <si>
    <t xml:space="preserve">Sangeetha Ganeshan </t>
  </si>
  <si>
    <t>Sanithya Devi</t>
  </si>
  <si>
    <t>Kawshiha S</t>
  </si>
  <si>
    <t>Lakshmipriya G S</t>
  </si>
  <si>
    <t>Sumaya Banu A</t>
  </si>
  <si>
    <t>Muthu Vimala M</t>
  </si>
  <si>
    <t>RG Madhushree</t>
  </si>
  <si>
    <t>P Sabareeshwari</t>
  </si>
  <si>
    <t>Syedali Fathima T</t>
  </si>
  <si>
    <t>Supriya Ghodke</t>
  </si>
  <si>
    <t>supriya.ghodke39@gmail.com</t>
  </si>
  <si>
    <t>+91 9145144871</t>
  </si>
  <si>
    <t>Deepak kumar</t>
  </si>
  <si>
    <t>LWD-10/04/2026</t>
  </si>
  <si>
    <t>deepaktakia11@gmail.com</t>
  </si>
  <si>
    <t>CHAVDA MUKESHBHAI SOMABHAI</t>
  </si>
  <si>
    <t>H.S.C</t>
  </si>
  <si>
    <t xml:space="preserve"> 6 Years</t>
  </si>
  <si>
    <t>Sanand</t>
  </si>
  <si>
    <t>Jayesh Rohit</t>
  </si>
  <si>
    <t>15 days</t>
  </si>
  <si>
    <t>Praveen giri goswami</t>
  </si>
  <si>
    <t>2.26 LPA</t>
  </si>
  <si>
    <t>Harikrushna Detroja</t>
  </si>
  <si>
    <t>Dabhi Karansinh hasmukh bhai</t>
  </si>
  <si>
    <t>Soumya Ranjan Sethi</t>
  </si>
  <si>
    <t>Sahadev Sasmal</t>
  </si>
  <si>
    <t>VIJAY V</t>
  </si>
  <si>
    <t>Saddam Hussain</t>
  </si>
  <si>
    <t>West Bengal</t>
  </si>
  <si>
    <t>Monu Kumar</t>
  </si>
  <si>
    <t>Faridabad</t>
  </si>
  <si>
    <t>Shyam veer</t>
  </si>
  <si>
    <t>Harshavardhan Reddy Balreddy</t>
  </si>
  <si>
    <t>LWD-24/03/2026</t>
  </si>
  <si>
    <t>harsha00159@gmail.com</t>
  </si>
  <si>
    <t>Samsung </t>
  </si>
  <si>
    <t>Medida.Sindhu</t>
  </si>
  <si>
    <t>LWD-15/04/2026</t>
  </si>
  <si>
    <t>medidasindhu77@gmail.com</t>
  </si>
  <si>
    <t>11 LPA ( Negotiable )</t>
  </si>
  <si>
    <t>Asmitha Selvam</t>
  </si>
  <si>
    <t>asmithaselvam148@gmail.com</t>
  </si>
  <si>
    <t>Balaji Ranganathan</t>
  </si>
  <si>
    <t>balajiranganathanrb@gmail.com</t>
  </si>
  <si>
    <t xml:space="preserve">Abdul Rahuman </t>
  </si>
  <si>
    <t>abdhulnrahuman@gmail.com</t>
  </si>
  <si>
    <t>Chandra Ganesan</t>
  </si>
  <si>
    <t>chandraganesan232@gmail.com</t>
  </si>
  <si>
    <t>Divya M</t>
  </si>
  <si>
    <t>divyamk1220@gmail.com</t>
  </si>
  <si>
    <t>Muthu pandi</t>
  </si>
  <si>
    <t>muthupandidhanush388@gmail.com</t>
  </si>
  <si>
    <t>Dexter Academy</t>
  </si>
  <si>
    <t>Abhishek Mahato</t>
  </si>
  <si>
    <t>abmahato8@gmail.com</t>
  </si>
  <si>
    <t>1.3 Year</t>
  </si>
  <si>
    <t>kolkata</t>
  </si>
  <si>
    <t>Dharmendra Kumar Prasad</t>
  </si>
  <si>
    <t>dharmendra.1993.kp@gmail.com</t>
  </si>
  <si>
    <t>Jharkhand</t>
  </si>
  <si>
    <t>Axay kumar Parmar</t>
  </si>
  <si>
    <t>parmarakshaykumar504@gmail.com</t>
  </si>
  <si>
    <t>Parmar Vishalbhai Bhanubhai</t>
  </si>
  <si>
    <t>Vishalparmar01300@gmail.com</t>
  </si>
  <si>
    <t>Aditya Sharma</t>
  </si>
  <si>
    <t>Surat</t>
  </si>
  <si>
    <t>Anil Kumar Dubey</t>
  </si>
  <si>
    <t>Sachin Pal</t>
  </si>
  <si>
    <t>Sudip Nayak</t>
  </si>
  <si>
    <t>West bangal</t>
  </si>
  <si>
    <t>Dhananjay Dwivedi</t>
  </si>
  <si>
    <t>Diploma/ITI</t>
  </si>
  <si>
    <t>Mukesh Kumar Giri</t>
  </si>
  <si>
    <t xml:space="preserve">Diploma </t>
  </si>
  <si>
    <t>Rupesh geedker</t>
  </si>
  <si>
    <t>Vedant Rajendra Shirbhat</t>
  </si>
  <si>
    <t xml:space="preserve">1 Year </t>
  </si>
  <si>
    <t>RISHNA YADAV</t>
  </si>
  <si>
    <t>Jeekel Bhutia</t>
  </si>
  <si>
    <t>West Bangal</t>
  </si>
  <si>
    <t>Malek Tanveer Husen</t>
  </si>
  <si>
    <t>Vadodra</t>
  </si>
  <si>
    <t>Prince Patel</t>
  </si>
  <si>
    <t xml:space="preserve"> 1.8 Year</t>
  </si>
  <si>
    <t>Ahemadabad</t>
  </si>
  <si>
    <t>Brijesh Kumar</t>
  </si>
  <si>
    <t xml:space="preserve"> 2.5 Year</t>
  </si>
  <si>
    <t>Uttar Pradesh</t>
  </si>
  <si>
    <t>Subhrabesh Koley</t>
  </si>
  <si>
    <t>LWD - 02/04/2026</t>
  </si>
  <si>
    <t>Shishupal</t>
  </si>
  <si>
    <t xml:space="preserve"> 1.2 Year</t>
  </si>
  <si>
    <t>NANDAN KUMAR</t>
  </si>
  <si>
    <t>Harishankar Suthar</t>
  </si>
  <si>
    <t>Patni Chirag Dineshbhai</t>
  </si>
  <si>
    <t>Rishbh Gupta</t>
  </si>
  <si>
    <t>Ankit Shukla</t>
  </si>
  <si>
    <t xml:space="preserve">Indore </t>
  </si>
  <si>
    <t>LWD-31/03/2026</t>
  </si>
  <si>
    <t>anilkr1187@gmail.com</t>
  </si>
  <si>
    <t>Instalimb India Pvt. Ltd</t>
  </si>
  <si>
    <t>Shaik Shakeer</t>
  </si>
  <si>
    <t>shaik.shakeer01@gmail.com</t>
  </si>
  <si>
    <t>Hitachi Systems India Pvt Ltd</t>
  </si>
  <si>
    <t>Jeevanantham M</t>
  </si>
  <si>
    <t>LWD- 18/04/2026</t>
  </si>
  <si>
    <t>jeeva006nantham@gmail.com</t>
  </si>
  <si>
    <t>4.2  Years</t>
  </si>
  <si>
    <t>HCL Tech</t>
  </si>
  <si>
    <t>KeerthikkumarM</t>
  </si>
  <si>
    <t>keerthikkumar3333@gmail.com</t>
  </si>
  <si>
    <t>Cornet Technology India</t>
  </si>
  <si>
    <t>Niraj Kumar Prajapti</t>
  </si>
  <si>
    <t>Gautambhai Dasharath</t>
  </si>
  <si>
    <t>Rahul chouhan</t>
  </si>
  <si>
    <t>Ujjain</t>
  </si>
  <si>
    <t>Ashish Shukla</t>
  </si>
  <si>
    <t>Hitesh Prajapat</t>
  </si>
  <si>
    <t>Patel Happy Bharatbhai</t>
  </si>
  <si>
    <t>Sanand Gujrat</t>
  </si>
  <si>
    <t>Deepak Sharma</t>
  </si>
  <si>
    <t>Rohit Kumar sah</t>
  </si>
  <si>
    <t>Basudev Nag</t>
  </si>
  <si>
    <t xml:space="preserve">2 Year </t>
  </si>
  <si>
    <t>Embedded Software Developer -2</t>
  </si>
  <si>
    <t>Aniruddha Dharmaji Bhute</t>
  </si>
  <si>
    <t>3 Year</t>
  </si>
  <si>
    <t>Mukesh Kumar Samal</t>
  </si>
  <si>
    <t>PARAMVEER SINGH</t>
  </si>
  <si>
    <t>CHANDAN KUMAR</t>
  </si>
  <si>
    <t>Navneet Chaudhary</t>
  </si>
  <si>
    <t>Akhilesh Kumar</t>
  </si>
  <si>
    <t>Ranjeet Kumar</t>
  </si>
  <si>
    <t>Nitesh</t>
  </si>
  <si>
    <t xml:space="preserve"> ITI</t>
  </si>
  <si>
    <t>Vipin Kumar</t>
  </si>
  <si>
    <t>A Kuldeep</t>
  </si>
  <si>
    <t>Chattishgarh</t>
  </si>
  <si>
    <t>Supriya Sougat Pattanayak</t>
  </si>
  <si>
    <t xml:space="preserve">3 Year </t>
  </si>
  <si>
    <t>Anirban Mandal</t>
  </si>
  <si>
    <t>Anil</t>
  </si>
  <si>
    <t>BIW</t>
  </si>
  <si>
    <t>Rajesh Kumar P V</t>
  </si>
  <si>
    <t>rajeshpv 006 @gmail.com</t>
  </si>
  <si>
    <t>Alten</t>
  </si>
  <si>
    <t>Sangeeta Nath</t>
  </si>
  <si>
    <t>sangeeta.nath.mech@gmail.com</t>
  </si>
  <si>
    <t>8.2 Years</t>
  </si>
  <si>
    <t>Overhead Door</t>
  </si>
  <si>
    <t>Sarang Tayade</t>
  </si>
  <si>
    <t>ertayadesarang@gmail.com</t>
  </si>
  <si>
    <t>Doney Paith D</t>
  </si>
  <si>
    <t>yenoddoney@gmail.com﻿</t>
  </si>
  <si>
    <t>Rapid Global Business Solutions</t>
  </si>
  <si>
    <t>Sheikh Asif Ali</t>
  </si>
  <si>
    <t>30 DAYS</t>
  </si>
  <si>
    <t>sheikh.firmwaredeveloper@gmail.com</t>
  </si>
  <si>
    <t>Center for development of advanced computing</t>
  </si>
  <si>
    <t>9.1 LPA</t>
  </si>
  <si>
    <t>Rajput Jashpalsinh</t>
  </si>
  <si>
    <t>Diplomo</t>
  </si>
  <si>
    <t>Rakshitha S Devadiga</t>
  </si>
  <si>
    <t>45 days</t>
  </si>
  <si>
    <t>3 YEARS</t>
  </si>
  <si>
    <t>Kaushik Kulal</t>
  </si>
  <si>
    <t>immediate</t>
  </si>
  <si>
    <t>2YEARS</t>
  </si>
  <si>
    <t>8LPA</t>
  </si>
  <si>
    <t>Krishna Rai</t>
  </si>
  <si>
    <t>kcrai1999@gmail.com</t>
  </si>
  <si>
    <t>KPMG</t>
  </si>
  <si>
    <t>Suhail Ahmed H I</t>
  </si>
  <si>
    <t>45 Days ( Negotiable)</t>
  </si>
  <si>
    <t>suhaiillahmedd@gmail.com</t>
  </si>
  <si>
    <t>Suprajit Engineering Ltd</t>
  </si>
  <si>
    <t>Omprakash Kushwaha</t>
  </si>
  <si>
    <t xml:space="preserve"> Fresher</t>
  </si>
  <si>
    <t>Rushikesh Santosh Pawar</t>
  </si>
  <si>
    <t>Abhinish kumar mishra</t>
  </si>
  <si>
    <t>Bihar</t>
  </si>
  <si>
    <t>Rohit Dubey</t>
  </si>
  <si>
    <t>Anuj Kumar</t>
  </si>
  <si>
    <t>Anumolu Naresh</t>
  </si>
  <si>
    <t>anumolunaresh95@gmail.com</t>
  </si>
  <si>
    <t>M/S Qorix India Pvt Ltd,</t>
  </si>
  <si>
    <t>Duplicate</t>
  </si>
  <si>
    <t>Bheerappa Wage</t>
  </si>
  <si>
    <t>bheerappawage@gmail.com</t>
  </si>
  <si>
    <t>4.11Years</t>
  </si>
  <si>
    <t>Aumovio Automative pvt ltd</t>
  </si>
  <si>
    <t>Ankur Yadav</t>
  </si>
  <si>
    <t>ankityadavfaizabad32@gmail.com</t>
  </si>
  <si>
    <t>1.2 LPA</t>
  </si>
  <si>
    <t>Arnab Mukherjee</t>
  </si>
  <si>
    <t>labpur814@gmail.com</t>
  </si>
  <si>
    <t>Adani solar</t>
  </si>
  <si>
    <t>2.34 LPA</t>
  </si>
  <si>
    <t>Fiyanshu Malvi</t>
  </si>
  <si>
    <t>fmalvi.2017@gmail.com</t>
  </si>
  <si>
    <t>Diploma &amp; ITI</t>
  </si>
  <si>
    <t>patel motors Eicher</t>
  </si>
  <si>
    <t>Aditya Prajapati</t>
  </si>
  <si>
    <t>adityakp131@gmail.com</t>
  </si>
  <si>
    <t>Diploma &amp; B.sc</t>
  </si>
  <si>
    <t>ACE HYGIENE PRIVATE LIMITED</t>
  </si>
  <si>
    <t>Somnath Shivaji Chougule</t>
  </si>
  <si>
    <t>somnathchougule01@gmail.com</t>
  </si>
  <si>
    <t>Endurance Technologies Ltd</t>
  </si>
  <si>
    <t>Kolhapur</t>
  </si>
  <si>
    <t>Vikram Sharma</t>
  </si>
  <si>
    <t>Immedidate LWD-04/2025</t>
  </si>
  <si>
    <t>Vikramsharma0901@gmail.com</t>
  </si>
  <si>
    <t>6.9 LPA</t>
  </si>
  <si>
    <t>MANOJ BABU ALLIMALLA</t>
  </si>
  <si>
    <t>manojallimalla202@gmail.com</t>
  </si>
  <si>
    <t>LTI MINDTREE </t>
  </si>
  <si>
    <t>Balai Mahanta</t>
  </si>
  <si>
    <t>rahulmahanta770@gmail.com</t>
  </si>
  <si>
    <t>+91 9123880634</t>
  </si>
  <si>
    <t>Rad365 Solution pvt.ltd</t>
  </si>
  <si>
    <t>4.62 LPA</t>
  </si>
  <si>
    <t>Harshit Prasad</t>
  </si>
  <si>
    <t>prasad.harshit000785@gmail.com</t>
  </si>
  <si>
    <t>Mieux Technologies Pvt. Ltd</t>
  </si>
  <si>
    <t>Moni Priyanka Katuri</t>
  </si>
  <si>
    <t>mounipriyankakaturi@gmail.com</t>
  </si>
  <si>
    <t>Subrata Deb</t>
  </si>
  <si>
    <t>LWD-15/05/2026 ( On bench )</t>
  </si>
  <si>
    <t>subrata.deb.uemkcse2015@gmail.com</t>
  </si>
  <si>
    <t>Net Connect global</t>
  </si>
  <si>
    <t>Offer Stage Drop</t>
  </si>
  <si>
    <t>Drop after Offer Accept</t>
  </si>
  <si>
    <t>Amandeep Singh</t>
  </si>
  <si>
    <t>aman8214.as@gmail.com</t>
  </si>
  <si>
    <t>Code Brew Labs </t>
  </si>
  <si>
    <t>Md Sajjadkhan</t>
  </si>
  <si>
    <t>sajjadk87@gmail.com</t>
  </si>
  <si>
    <t> Innomick Technology</t>
  </si>
  <si>
    <t>Jagrati Arun Shinde</t>
  </si>
  <si>
    <t>LWD-27/04/2026 ( Negotiable )</t>
  </si>
  <si>
    <t>jagratishinde24@gmail.com</t>
  </si>
  <si>
    <t>Capita </t>
  </si>
  <si>
    <t>Himanshu Kapoor</t>
  </si>
  <si>
    <t>hkkapoor01@gmail.com</t>
  </si>
  <si>
    <t>Digiswitch Infotech</t>
  </si>
  <si>
    <t>Ritik Rai</t>
  </si>
  <si>
    <t>Ajay Kumar</t>
  </si>
  <si>
    <t>Suraj Kumar</t>
  </si>
  <si>
    <t xml:space="preserve"> 10 Month</t>
  </si>
  <si>
    <t>LWD - 23/03/2026</t>
  </si>
  <si>
    <t>Abhisek Kushwaha</t>
  </si>
  <si>
    <t>Ajit Kumar</t>
  </si>
  <si>
    <t>Haryana</t>
  </si>
  <si>
    <t>Basavaraj Naik</t>
  </si>
  <si>
    <t>Rajib Lochan Mohanta</t>
  </si>
  <si>
    <t>Abhishek Kumar Kushwaha</t>
  </si>
  <si>
    <t>Deepak Kumar</t>
  </si>
  <si>
    <t xml:space="preserve"> 1.10 Year</t>
  </si>
  <si>
    <t>Hariom Patel</t>
  </si>
  <si>
    <t>Gujrat</t>
  </si>
  <si>
    <t>Vinay Sharma</t>
  </si>
  <si>
    <t>Ganesh Ambardas Girhepunje</t>
  </si>
  <si>
    <t>ANIKET YADAV</t>
  </si>
  <si>
    <t>Uttrakhand</t>
  </si>
  <si>
    <t>Deepak Kumar Nayak</t>
  </si>
  <si>
    <t>Chethan T C</t>
  </si>
  <si>
    <t>chethan8.com@gmail.com</t>
  </si>
  <si>
    <t xml:space="preserve">HealthworksAI Pvt Ltd </t>
  </si>
  <si>
    <t>Aparna Nelapatla</t>
  </si>
  <si>
    <t>Immediate Joiner LWD 15 mar 2026</t>
  </si>
  <si>
    <t xml:space="preserve">aparnanelapatla6@gmail.com </t>
  </si>
  <si>
    <t>Guru Prashanth Yadav</t>
  </si>
  <si>
    <t>Immediate Joiner LWD- 18 Feb 2026</t>
  </si>
  <si>
    <t>guruprashanth199@gmail.com</t>
  </si>
  <si>
    <t>Pyla Vasudeva Rao</t>
  </si>
  <si>
    <t>pylavasudevarao92@gmail.com</t>
  </si>
  <si>
    <t>9.20 LPA</t>
  </si>
  <si>
    <t>Inayeth pasha</t>
  </si>
  <si>
    <t>inyathp@gmail.com</t>
  </si>
  <si>
    <t>Computacenter India Pvt. Ltd</t>
  </si>
  <si>
    <t>8.4 LPA</t>
  </si>
  <si>
    <t>Harish R</t>
  </si>
  <si>
    <t>LWD-09/04/2026</t>
  </si>
  <si>
    <t>harishgowd777@gmail.com</t>
  </si>
  <si>
    <t>Wissen Info-tech Pvt.Ltd.</t>
  </si>
  <si>
    <t>Bablu Singh</t>
  </si>
  <si>
    <t>Bablusingh251@gmail.com</t>
  </si>
  <si>
    <t>Radiantinfonet Pvt.Ltd</t>
  </si>
  <si>
    <t>6.20 LPA</t>
  </si>
  <si>
    <t>Puja Sarkar</t>
  </si>
  <si>
    <t>puja.sarkar@hotmail.com</t>
  </si>
  <si>
    <t>81673 56767</t>
  </si>
  <si>
    <t>ADSL</t>
  </si>
  <si>
    <t>Prabhakar Sawant</t>
  </si>
  <si>
    <t>prabhaklswnt@gmail.com</t>
  </si>
  <si>
    <t>Dev Information Technology</t>
  </si>
  <si>
    <t>JAVED KHAN</t>
  </si>
  <si>
    <t>javed20258050@gmail.com</t>
  </si>
  <si>
    <t>SYNOPTEK PRIVATE LIMITED</t>
  </si>
  <si>
    <t>Md Shahbaz Wasi</t>
  </si>
  <si>
    <t>shahbazwasi764@gmail.com</t>
  </si>
  <si>
    <t>Extreme life academy</t>
  </si>
  <si>
    <t>Patna</t>
  </si>
  <si>
    <t>Vasudeva Rao Pyla</t>
  </si>
  <si>
    <t>vasupyla232024@gmail.com</t>
  </si>
  <si>
    <t>Fazlur Rehman</t>
  </si>
  <si>
    <t>fazlur.312@gmail.com</t>
  </si>
  <si>
    <t>Concentrix </t>
  </si>
  <si>
    <t>Shehnaz Alam</t>
  </si>
  <si>
    <t>shehnazalam.official@gmail.com</t>
  </si>
  <si>
    <t>4.9 LPA</t>
  </si>
  <si>
    <t>Yogendra Reddy S</t>
  </si>
  <si>
    <t>yogendrareddygs@googlemail.com</t>
  </si>
  <si>
    <t>+91 8197338699</t>
  </si>
  <si>
    <t>COMPUTACENTER </t>
  </si>
  <si>
    <t>BarathR</t>
  </si>
  <si>
    <t>barath.raj56@hotmail.com</t>
  </si>
  <si>
    <t>7.9 Years</t>
  </si>
  <si>
    <t>Darshan M</t>
  </si>
  <si>
    <t>darshan.basava93@gmail.com</t>
  </si>
  <si>
    <t>Mobirey Technologies</t>
  </si>
  <si>
    <t>Ashish Kumar Singh</t>
  </si>
  <si>
    <t>Shravan Kumar Mishra</t>
  </si>
  <si>
    <t>Mukesh Kumar Gope</t>
  </si>
  <si>
    <t>Bhavesh Rajendra Salunkhe</t>
  </si>
  <si>
    <t>Shiv Shankar</t>
  </si>
  <si>
    <t>Aman Yadav</t>
  </si>
  <si>
    <t>Rohit Pal</t>
  </si>
  <si>
    <t>Sumith AV</t>
  </si>
  <si>
    <t>1.11 Year</t>
  </si>
  <si>
    <t>Kerla</t>
  </si>
  <si>
    <t>Praveen kumar parmar</t>
  </si>
  <si>
    <t>Aadil Saiyad</t>
  </si>
  <si>
    <t xml:space="preserve"> 2 Year </t>
  </si>
  <si>
    <t xml:space="preserve"> Ahmedabad</t>
  </si>
  <si>
    <t>Alfred Soren</t>
  </si>
  <si>
    <t>Maharastra</t>
  </si>
  <si>
    <t>Ramesh chandra bag</t>
  </si>
  <si>
    <t>4 Year</t>
  </si>
  <si>
    <t>Anoop raj singh</t>
  </si>
  <si>
    <t xml:space="preserve"> 9 Month</t>
  </si>
  <si>
    <t>Pradum Maurya</t>
  </si>
  <si>
    <t>Vishal singh</t>
  </si>
  <si>
    <t>Ahemdabad</t>
  </si>
  <si>
    <t>Asheesh Kumar</t>
  </si>
  <si>
    <t>Kuldeep Singh</t>
  </si>
  <si>
    <t>Harshit Rana</t>
  </si>
  <si>
    <t>ranaharshit999@gmail.com</t>
  </si>
  <si>
    <t>Revanth H R</t>
  </si>
  <si>
    <t>revanthrudresh99@gmail.com</t>
  </si>
  <si>
    <t>Coffee Board of India</t>
  </si>
  <si>
    <t>6.6 LPA</t>
  </si>
  <si>
    <t>Ashwini S Reddy</t>
  </si>
  <si>
    <t>ashwinireddy2699@gmail.com</t>
  </si>
  <si>
    <t>Param Innovation</t>
  </si>
  <si>
    <t>Mamatha Rao</t>
  </si>
  <si>
    <t>mamathakusuma.pb@gmail.com</t>
  </si>
  <si>
    <t>Cubic Logics Pvt Ltd</t>
  </si>
  <si>
    <t>Antony P K</t>
  </si>
  <si>
    <t>LWD - 05/06/2026</t>
  </si>
  <si>
    <t>antonyjb2001@gmail.com</t>
  </si>
  <si>
    <t>Muthuvel</t>
  </si>
  <si>
    <t xml:space="preserve"> 6 Months</t>
  </si>
  <si>
    <t>Sachehida Nand Shukla</t>
  </si>
  <si>
    <t>Vikas Kumar Sahu</t>
  </si>
  <si>
    <t>Mayur Parmar</t>
  </si>
  <si>
    <t>31 Days</t>
  </si>
  <si>
    <t>Adarsh Pandey</t>
  </si>
  <si>
    <t>Manishchaudhary</t>
  </si>
  <si>
    <t>Manish Lodhaa</t>
  </si>
  <si>
    <t>Vinayak Sanjay Patil</t>
  </si>
  <si>
    <t>Akash Soni</t>
  </si>
  <si>
    <t>Mohini Bhalerao</t>
  </si>
  <si>
    <t>Varsha D</t>
  </si>
  <si>
    <t>Neeraj Singh</t>
  </si>
  <si>
    <t>Sachin Patel</t>
  </si>
  <si>
    <t>Imran Mulla</t>
  </si>
  <si>
    <t>Ravi Ranjan Pal</t>
  </si>
  <si>
    <t xml:space="preserve"> 1.7 Year</t>
  </si>
  <si>
    <t>Satya Nath Tiwari</t>
  </si>
  <si>
    <t>Param Yadav</t>
  </si>
  <si>
    <t xml:space="preserve"> 1.9 Year</t>
  </si>
  <si>
    <t>Gouranga Giri</t>
  </si>
  <si>
    <t>Sandeep Yadav</t>
  </si>
  <si>
    <t>Ashok Kumar vishakarma</t>
  </si>
  <si>
    <t>Seshi Reddy</t>
  </si>
  <si>
    <t>Seshimscrm@gmail.com</t>
  </si>
  <si>
    <t>Subway</t>
  </si>
  <si>
    <t>Lakshmi Naga Durga</t>
  </si>
  <si>
    <t>lakshminagadurgakola7@gmail.com</t>
  </si>
  <si>
    <t>Brigtcanyon Solutions India Pvt Ltd</t>
  </si>
  <si>
    <t>Shreekanth</t>
  </si>
  <si>
    <t>srikanths1687@gmail.com</t>
  </si>
  <si>
    <t>PWC</t>
  </si>
  <si>
    <t>Rathnakar reddy</t>
  </si>
  <si>
    <t>LWD - 30/03/2026</t>
  </si>
  <si>
    <t>rathnakeradama82@gmail.com</t>
  </si>
  <si>
    <t>Nikola Motors</t>
  </si>
  <si>
    <t>Rahul Kumar</t>
  </si>
  <si>
    <t>Gudgao</t>
  </si>
  <si>
    <t>Sanjeet Kumar</t>
  </si>
  <si>
    <t>Gaurav Kumar Singh</t>
  </si>
  <si>
    <t>Shubham Yadav</t>
  </si>
  <si>
    <t>Devendra Kumar</t>
  </si>
  <si>
    <t>Vikram Singh</t>
  </si>
  <si>
    <t>Nikhil Savita</t>
  </si>
  <si>
    <t>SANDIP KONALE</t>
  </si>
  <si>
    <t>san.konale89@gmail.com</t>
  </si>
  <si>
    <t>Colt Technologies</t>
  </si>
  <si>
    <t>Mohammad Riyaz</t>
  </si>
  <si>
    <t>mdriyaz34u@gmail.com</t>
  </si>
  <si>
    <t>Bitwise Solutions</t>
  </si>
  <si>
    <t>41 LPA</t>
  </si>
  <si>
    <t>Ramesh Burnwal</t>
  </si>
  <si>
    <t>LWD-25/04/2026</t>
  </si>
  <si>
    <t>rameshburnwal.blr@gmail.com</t>
  </si>
  <si>
    <t>Commonwealth Bank of Australia</t>
  </si>
  <si>
    <t>JANARDHAN REDDY V</t>
  </si>
  <si>
    <t>janardhan.bit@gmail.com</t>
  </si>
  <si>
    <t>Nielsen </t>
  </si>
  <si>
    <t>56 LPA</t>
  </si>
  <si>
    <t>Rajeshwari Ponnappa</t>
  </si>
  <si>
    <t>LWD-06/04/2026</t>
  </si>
  <si>
    <t>rajeshwari.ponnappa23@gmail.com</t>
  </si>
  <si>
    <t> Exito Enterprises Pvt Ltd</t>
  </si>
  <si>
    <t>Venkatesh Beemineni</t>
  </si>
  <si>
    <t>venky.karthi009@gmail.com</t>
  </si>
  <si>
    <t>33 LPA ( Offer in hand-32 LPA )</t>
  </si>
  <si>
    <t>Arulkumar Manickam</t>
  </si>
  <si>
    <t>LWD-24/04/2026</t>
  </si>
  <si>
    <t>arulkumaranyuvi@gmail.com</t>
  </si>
  <si>
    <t> Quest Global</t>
  </si>
  <si>
    <t>NAIM KHAN</t>
  </si>
  <si>
    <t>khan.naeem1987@gmail.com</t>
  </si>
  <si>
    <t>BOS CENTER PVT. LTD</t>
  </si>
  <si>
    <t>Manjunath S</t>
  </si>
  <si>
    <t>srimnj222@gmail.com</t>
  </si>
  <si>
    <t>Utthunga Technologies Pvt Ltd</t>
  </si>
  <si>
    <t>16.27 LPA</t>
  </si>
  <si>
    <t>Charu Jain</t>
  </si>
  <si>
    <t>LWD-14/04/2026</t>
  </si>
  <si>
    <t>charujain04@gmail.com</t>
  </si>
  <si>
    <t>AVL India Private Ltd.</t>
  </si>
  <si>
    <t>Maneesh Kumar</t>
  </si>
  <si>
    <t>maneeshk.it5@gmail.com</t>
  </si>
  <si>
    <t>Arsenal Info Solution Pvt. Ltd</t>
  </si>
  <si>
    <t>Kamini Sharma</t>
  </si>
  <si>
    <t>er.kaminisharma001@gmail.com</t>
  </si>
  <si>
    <t>Nextgen Technology</t>
  </si>
  <si>
    <t>14.77 LPA</t>
  </si>
  <si>
    <t>Ashutosh Rajput</t>
  </si>
  <si>
    <t>arajput9677@yahoo.com</t>
  </si>
  <si>
    <t>Diensten Tech</t>
  </si>
  <si>
    <t>Sreelakshmi Surapaneni</t>
  </si>
  <si>
    <t>LWD-31/04/2026</t>
  </si>
  <si>
    <t>sreee.surapaneni@gmail.com</t>
  </si>
  <si>
    <t> Nsight Inc</t>
  </si>
  <si>
    <t>27.3 LPA</t>
  </si>
  <si>
    <t>Harsha.D</t>
  </si>
  <si>
    <t>harshabhat2901@gmail.com</t>
  </si>
  <si>
    <t>14.3 LPA</t>
  </si>
  <si>
    <t>30 LPA ( Offer in hand - 23 LPA )</t>
  </si>
  <si>
    <t>Sumen kumar bhattacharyajee</t>
  </si>
  <si>
    <t>LWD-03/04/2026</t>
  </si>
  <si>
    <t>sumenshankar@gmail.com</t>
  </si>
  <si>
    <t> L &amp; T</t>
  </si>
  <si>
    <t>Satyender Kumar Yadav</t>
  </si>
  <si>
    <t>satyaa.yadav@gmail.com</t>
  </si>
  <si>
    <t>VISHAL MEGA MART</t>
  </si>
  <si>
    <t>UP</t>
  </si>
  <si>
    <t>REKHA KATARI</t>
  </si>
  <si>
    <t>rekhareddy.kishore@gmail.com</t>
  </si>
  <si>
    <t>Wabtec</t>
  </si>
  <si>
    <t>Ram</t>
  </si>
  <si>
    <t>ramachandrakatta5@gmail.com</t>
  </si>
  <si>
    <t>Pratham Jain</t>
  </si>
  <si>
    <t>jainpratham27@gmail.com</t>
  </si>
  <si>
    <t>Capgemini Technology Services India Private Limited</t>
  </si>
  <si>
    <t>Ghaziabad</t>
  </si>
  <si>
    <t>Basant Pandey</t>
  </si>
  <si>
    <t>basantpandey04@gmail.com</t>
  </si>
  <si>
    <t>GlobalLogic India Private Limited</t>
  </si>
  <si>
    <t>UttaraKhand</t>
  </si>
  <si>
    <t>Bhupender Sharma</t>
  </si>
  <si>
    <t>bhupendersharma931@gmail.com</t>
  </si>
  <si>
    <t>Presto Infosolutions Pvt. Ltd</t>
  </si>
  <si>
    <t>13.75 LPA</t>
  </si>
  <si>
    <t>New Delhi</t>
  </si>
  <si>
    <t>Anuj Joshi</t>
  </si>
  <si>
    <t>LWD - 30/04/2026</t>
  </si>
  <si>
    <t>anujjoshi77@gmail.com</t>
  </si>
  <si>
    <t>10.9 Years</t>
  </si>
  <si>
    <t>Amantya Technologies Pvt. Ltd</t>
  </si>
  <si>
    <t>26.45 LPA</t>
  </si>
  <si>
    <t>Tinku krishnan</t>
  </si>
  <si>
    <t>Tinku.krishnan28@gmail.com</t>
  </si>
  <si>
    <t>Arris Group India</t>
  </si>
  <si>
    <t>Mahesh Patel</t>
  </si>
  <si>
    <t>er.mahesh90@gmail.com</t>
  </si>
  <si>
    <t>Experis ManpowerGroup Pvt. Ltd</t>
  </si>
  <si>
    <t>Indoor</t>
  </si>
  <si>
    <t>Amit Kumar</t>
  </si>
  <si>
    <t>tyagi0001veer@gmail.com</t>
  </si>
  <si>
    <t>M.sc</t>
  </si>
  <si>
    <t>NetProphets Cyberworks Private Limited</t>
  </si>
  <si>
    <t>Yasu Bandi</t>
  </si>
  <si>
    <t>yesuraazbandi@outlook.com</t>
  </si>
  <si>
    <t>9.8 Years</t>
  </si>
  <si>
    <t>Onus Works (Yagna Soft)</t>
  </si>
  <si>
    <t>28.6 LPA</t>
  </si>
  <si>
    <t>Sruthi</t>
  </si>
  <si>
    <t>Sruthis190622@gmail.com</t>
  </si>
  <si>
    <t>Reigns Infotech Pvt Ltd</t>
  </si>
  <si>
    <t>Prabhu Teja</t>
  </si>
  <si>
    <t>prabhu831@yahoo.com</t>
  </si>
  <si>
    <t>BGD Tech Pvt Ltd</t>
  </si>
  <si>
    <t>10.2 LPA</t>
  </si>
  <si>
    <t>Shreyas K Poojary</t>
  </si>
  <si>
    <t>kpoojaryshreyas@gmail.com</t>
  </si>
  <si>
    <t>Envention Solutions</t>
  </si>
  <si>
    <t xml:space="preserve">Due to Salary </t>
  </si>
  <si>
    <t>Manish Kumar</t>
  </si>
  <si>
    <t>manishmalkania@gmail.com</t>
  </si>
  <si>
    <t>Chetak Logistics Pvt. Ltd.</t>
  </si>
  <si>
    <t>K. M. Sasank</t>
  </si>
  <si>
    <t>LWD-02/04/2026</t>
  </si>
  <si>
    <t>sasank.km@gmail.com</t>
  </si>
  <si>
    <t>88849 58835</t>
  </si>
  <si>
    <t>Signitives.Pvt.Ltd</t>
  </si>
  <si>
    <t>Vikas D R</t>
  </si>
  <si>
    <t>vikasachar3333@gmail.com</t>
  </si>
  <si>
    <t>Pruthviraj Yashvantbhai Chauhan</t>
  </si>
  <si>
    <t>chauhanpruthviraj60@gmail.com</t>
  </si>
  <si>
    <t>Diploma </t>
  </si>
  <si>
    <t>Marico Limited</t>
  </si>
  <si>
    <t>Alkeshkumar Balwantsinh Chauhan</t>
  </si>
  <si>
    <t>alkeshchauhan358@gmail.com</t>
  </si>
  <si>
    <t>Diploma /ITI</t>
  </si>
  <si>
    <t>Tata passenger electric mobility,</t>
  </si>
  <si>
    <t>Prashant Kumar Jha</t>
  </si>
  <si>
    <t>2000kumarprashant@gmail.com</t>
  </si>
  <si>
    <t>Apollo Tyres Limited-</t>
  </si>
  <si>
    <t>Harbhajan Singh</t>
  </si>
  <si>
    <t>harbhajan9696086@gmail.com</t>
  </si>
  <si>
    <t>Tenneco India Pvt Ltd</t>
  </si>
  <si>
    <t>Mamatha V</t>
  </si>
  <si>
    <t>mamata.veeranna@gmail.com</t>
  </si>
  <si>
    <t>13.7 Years</t>
  </si>
  <si>
    <t>Baker Hughes</t>
  </si>
  <si>
    <t>23.17 LPA</t>
  </si>
  <si>
    <t>Surya Jyothirmai V</t>
  </si>
  <si>
    <t>suryajyothirmai@gmail.com</t>
  </si>
  <si>
    <t>Setu Srinivasa Rao.P</t>
  </si>
  <si>
    <t>setusrinivasp@gmail.com</t>
  </si>
  <si>
    <t>Techborn It Solutions Pvt Ltd</t>
  </si>
  <si>
    <t>Anand B Patil</t>
  </si>
  <si>
    <t>anandbpatil10@gmail.com</t>
  </si>
  <si>
    <t>Alethea Communications Technologies</t>
  </si>
  <si>
    <t>23.6 LPA</t>
  </si>
  <si>
    <t>Sai Madhukar Ghandikota</t>
  </si>
  <si>
    <t>madhuk.20@gmail.com</t>
  </si>
  <si>
    <t>People Logic</t>
  </si>
  <si>
    <t>Vinothkumar.M</t>
  </si>
  <si>
    <t>LWD-16 jan 2026</t>
  </si>
  <si>
    <t>vinothkumarmagendiran@gmail.com</t>
  </si>
  <si>
    <t>Suchitra P</t>
  </si>
  <si>
    <t>suchitrap.suchi@gmail.com</t>
  </si>
  <si>
    <t>Metaplore</t>
  </si>
  <si>
    <t>Melbin MP</t>
  </si>
  <si>
    <t>melbinrc@gmail.com</t>
  </si>
  <si>
    <t>Harman Connected Services Corp. India Pvt. Ltd.</t>
  </si>
  <si>
    <t>kanyakumari</t>
  </si>
  <si>
    <t>Vishnu Prakash Gupta</t>
  </si>
  <si>
    <t>vishnuprakashg7@gmail.com</t>
  </si>
  <si>
    <t>Lancesoft India Pvt. Ltd</t>
  </si>
  <si>
    <t>25  LPA</t>
  </si>
  <si>
    <t>Prasad G</t>
  </si>
  <si>
    <t>prasad.dwd@gmail.com</t>
  </si>
  <si>
    <t>High Hoon Corp</t>
  </si>
  <si>
    <t>Santhakumar R</t>
  </si>
  <si>
    <t>kumarsantha88@gmail.com</t>
  </si>
  <si>
    <t>Logixhealth Solutions Pvt Ltd</t>
  </si>
  <si>
    <t>Vishvrajsinh Rana</t>
  </si>
  <si>
    <t>vishwarajsinhrana963@gmail.com</t>
  </si>
  <si>
    <t>Clurrent job process control company</t>
  </si>
  <si>
    <t>Akshay Kumar</t>
  </si>
  <si>
    <t>LWD - 10/04/2026</t>
  </si>
  <si>
    <t>akshaykumar142p@gmail.com</t>
  </si>
  <si>
    <t xml:space="preserve">Uptech Information Technologies Pvt Ltd </t>
  </si>
  <si>
    <t>Pillala Durga Sameer</t>
  </si>
  <si>
    <t>sameerwawa4@gmail.com</t>
  </si>
  <si>
    <t>Conduent Business Services</t>
  </si>
  <si>
    <t>Visakhapatnam</t>
  </si>
  <si>
    <t>Shashi Ranjan Thankur</t>
  </si>
  <si>
    <t xml:space="preserve"> Jharkhand</t>
  </si>
  <si>
    <t>Vimal Pal</t>
  </si>
  <si>
    <t>Satyam Shukla</t>
  </si>
  <si>
    <t>Ashok Saini</t>
  </si>
  <si>
    <t>Ravi Mishra</t>
  </si>
  <si>
    <t>Sai Teja</t>
  </si>
  <si>
    <t>iamsathish253@gmail.com</t>
  </si>
  <si>
    <t>Roll Number Technologies Pvt.Ltd</t>
  </si>
  <si>
    <t>Jalamanchili Prithvi</t>
  </si>
  <si>
    <t>Prithvi.Jalamanchili94@gmail.com</t>
  </si>
  <si>
    <t>Nayagara Technologies Limited</t>
  </si>
  <si>
    <t>Bandyala Vinay</t>
  </si>
  <si>
    <t>vinaybandyala142@gmail.com</t>
  </si>
  <si>
    <t>Siemens</t>
  </si>
  <si>
    <t>Vinay Reddy</t>
  </si>
  <si>
    <t>vinayreddye339@gmail.com</t>
  </si>
  <si>
    <t>Arkin Techno Private Limited</t>
  </si>
  <si>
    <t>PDR Rajesh</t>
  </si>
  <si>
    <t>padalarajesh060191@gmail.com</t>
  </si>
  <si>
    <t>NCORE Technologies</t>
  </si>
  <si>
    <t>Ajeet kumar</t>
  </si>
  <si>
    <t>ajit.netdevloper@gmail.com</t>
  </si>
  <si>
    <t>ERP,Online booking cab</t>
  </si>
  <si>
    <t>Abhishek Kumar Yadav</t>
  </si>
  <si>
    <t>abhi13kumaryadav@gmail.com</t>
  </si>
  <si>
    <t>19.26 LPA</t>
  </si>
  <si>
    <t>Anand M Dayal</t>
  </si>
  <si>
    <t>anandmdayal.1994@gmail.com</t>
  </si>
  <si>
    <t>Sundar Tamilarasu</t>
  </si>
  <si>
    <t>LWD - 21/04/2026</t>
  </si>
  <si>
    <t>sundarvdvl@gmail.com</t>
  </si>
  <si>
    <t>19 Years</t>
  </si>
  <si>
    <t>TVM Signaling and Transportation System</t>
  </si>
  <si>
    <t>44.80 LPA</t>
  </si>
  <si>
    <t>Vignesh Mohanan</t>
  </si>
  <si>
    <t>puthenpurayil84@gmail.com</t>
  </si>
  <si>
    <t>Thermofisher Scientific</t>
  </si>
  <si>
    <t xml:space="preserve">Ishwar Viveki </t>
  </si>
  <si>
    <t>ishwarviveki03@gmail.com</t>
  </si>
  <si>
    <t>Aumovio</t>
  </si>
  <si>
    <t>Rahul Bairagi</t>
  </si>
  <si>
    <t>rahulombairagi@gmail.com</t>
  </si>
  <si>
    <t>Delta Electronics</t>
  </si>
  <si>
    <t>Nandeesh Golasangi</t>
  </si>
  <si>
    <t>nandeesh.golasangi@gmail.com</t>
  </si>
  <si>
    <t>Rakuten Symphony India Pvt Ltd</t>
  </si>
  <si>
    <t>Ananda Shetty</t>
  </si>
  <si>
    <t>anandakshetty@rediffmail.com</t>
  </si>
  <si>
    <t>Honeywell Technology Solution</t>
  </si>
  <si>
    <t>26.25 LPA</t>
  </si>
  <si>
    <t>Alok Das</t>
  </si>
  <si>
    <t>das.alok01@gmail.com</t>
  </si>
  <si>
    <t>KPIT Technologies</t>
  </si>
  <si>
    <t>Shinoj P</t>
  </si>
  <si>
    <t>shinojmenon87@gmail.com</t>
  </si>
  <si>
    <t>Molex LLC</t>
  </si>
  <si>
    <t>Manoj Kumar Sahu</t>
  </si>
  <si>
    <t>LWD - 03/04/2026</t>
  </si>
  <si>
    <t>sahumanoj.8050@gmail.com</t>
  </si>
  <si>
    <t>Fictiv India</t>
  </si>
  <si>
    <t>Harish MV</t>
  </si>
  <si>
    <t>harishmv1125@gmail.com</t>
  </si>
  <si>
    <t>Honeywell Technology Solutions</t>
  </si>
  <si>
    <t>43.75 LPA</t>
  </si>
  <si>
    <t>Aravindhan Gowthaman</t>
  </si>
  <si>
    <t>aravig@gmail.com</t>
  </si>
  <si>
    <t>18.5 Years</t>
  </si>
  <si>
    <t>HCL Technology</t>
  </si>
  <si>
    <t>Prabhat Dighraskar</t>
  </si>
  <si>
    <t>dighraskar@yahoo.com</t>
  </si>
  <si>
    <t>Techno-craft Tooling’s</t>
  </si>
  <si>
    <t>Darshan H M</t>
  </si>
  <si>
    <t>darshanhm2211@gmail.com</t>
  </si>
  <si>
    <t>DPMT</t>
  </si>
  <si>
    <t>Zeno Earth</t>
  </si>
  <si>
    <t>Srikanth</t>
  </si>
  <si>
    <t>srikanthsoft999@gmail.com</t>
  </si>
  <si>
    <t>Aspirant Technology Pvt Ltd</t>
  </si>
  <si>
    <t>Praveen kumar</t>
  </si>
  <si>
    <t>rhcapraveenkumar@gmail.com</t>
  </si>
  <si>
    <t>Exclusive Markets Ltd</t>
  </si>
  <si>
    <t>Suraj kamble</t>
  </si>
  <si>
    <t>LWD - 20/04/2026</t>
  </si>
  <si>
    <t>surajkamble2875@gmail.com</t>
  </si>
  <si>
    <t>Anlage Info Ind Pvt Ltd</t>
  </si>
  <si>
    <t>KARTHEEK REDDY KAYTHI</t>
  </si>
  <si>
    <t>krkaythi11@gmail.com</t>
  </si>
  <si>
    <t>Sonata Software </t>
  </si>
  <si>
    <t>Bhaskar Gajjala</t>
  </si>
  <si>
    <t>bhaskaraws30@gmail.com</t>
  </si>
  <si>
    <t>Trianz </t>
  </si>
  <si>
    <t>32.14 LPA</t>
  </si>
  <si>
    <t>Debasish Karan</t>
  </si>
  <si>
    <t>debasishkaran@gmail.com</t>
  </si>
  <si>
    <t>21 Years</t>
  </si>
  <si>
    <t>Snehashis Das</t>
  </si>
  <si>
    <t>snehashis.d.das@gmail.com</t>
  </si>
  <si>
    <t>Oracle Cerner</t>
  </si>
  <si>
    <t>18 LPA ( Offer in hand-15 LPA )</t>
  </si>
  <si>
    <t>Amit Kundu</t>
  </si>
  <si>
    <t>LWD-21/04/2026</t>
  </si>
  <si>
    <t>amit1.kundu97@gmail.com</t>
  </si>
  <si>
    <t>26 LPA ( Offer in hand-21 LPA )</t>
  </si>
  <si>
    <t>Bakhudiya Vijaybhai Jayantibhai</t>
  </si>
  <si>
    <t>vijaybakhudiya666@gmail.com</t>
  </si>
  <si>
    <t>sanand</t>
  </si>
  <si>
    <t>Prince Mishra</t>
  </si>
  <si>
    <t>Princerewa633@gmail.com</t>
  </si>
  <si>
    <t>2.9 Years </t>
  </si>
  <si>
    <t>Sunny Kumar</t>
  </si>
  <si>
    <t>sureshbaluahi@gmail.co</t>
  </si>
  <si>
    <t>1.9 Years</t>
  </si>
  <si>
    <t>Jwala Kumar Maurya</t>
  </si>
  <si>
    <t>jwalamaurya9795@gmail.com</t>
  </si>
  <si>
    <t>Manas Pradhan</t>
  </si>
  <si>
    <t>manaskupradhan03@gmail.com</t>
  </si>
  <si>
    <t>Ajay Pal</t>
  </si>
  <si>
    <t>ap4330481@gmail.com</t>
  </si>
  <si>
    <t>Harsh</t>
  </si>
  <si>
    <t>Harshmahor8447@gmail.com</t>
  </si>
  <si>
    <t>RF Engineer</t>
  </si>
  <si>
    <t>Ambika Singh</t>
  </si>
  <si>
    <t>60 Days( Neg  15 Days)</t>
  </si>
  <si>
    <t>ambikasingh1991@gmail.com</t>
  </si>
  <si>
    <t>9 Yrs</t>
  </si>
  <si>
    <t>position closed</t>
  </si>
  <si>
    <t>Shanmukaprian R</t>
  </si>
  <si>
    <t>60 Days( Neg 30 Days)</t>
  </si>
  <si>
    <t>shanmukaprian1997@gmail.com</t>
  </si>
  <si>
    <t>15.7 LPA</t>
  </si>
  <si>
    <t>Subrahmanyam V</t>
  </si>
  <si>
    <t>subrahmanyam.veeravalli1@gmail.com</t>
  </si>
  <si>
    <t>Bhavya S</t>
  </si>
  <si>
    <t>shivannabhavya533@gmail.com</t>
  </si>
  <si>
    <t>7.6 Years</t>
  </si>
  <si>
    <t>Data Engineer</t>
  </si>
  <si>
    <t>Lan soft</t>
  </si>
  <si>
    <t>Babin Jebagnanathurai</t>
  </si>
  <si>
    <t>LWD-17/04/2026</t>
  </si>
  <si>
    <t>babinbabin4321@gmail.com</t>
  </si>
  <si>
    <t>Frank Healthcare Services</t>
  </si>
  <si>
    <t>Aravindhan Suresh</t>
  </si>
  <si>
    <t>aravindhansuresh3108@gmail.com</t>
  </si>
  <si>
    <t>Access Healthcare Services PVT LTD</t>
  </si>
  <si>
    <t>7.2LPA</t>
  </si>
  <si>
    <t>10LPA</t>
  </si>
  <si>
    <t>Siva N</t>
  </si>
  <si>
    <t>sangeethasivan81@gmail.com</t>
  </si>
  <si>
    <t>Galaxy Data Solutions Pvt Ltd</t>
  </si>
  <si>
    <t>9.3LPA</t>
  </si>
  <si>
    <t>Trichy</t>
  </si>
  <si>
    <t>14LPA</t>
  </si>
  <si>
    <t>Abhimanyu A</t>
  </si>
  <si>
    <t>abhimanyuetl1@gmail.com</t>
  </si>
  <si>
    <t>12LPA</t>
  </si>
  <si>
    <t xml:space="preserve">Telangana </t>
  </si>
  <si>
    <t>15LPA</t>
  </si>
  <si>
    <t>Srikarr Yerrolla</t>
  </si>
  <si>
    <t>LWD-20/04/2026</t>
  </si>
  <si>
    <t>srikar.dataeng@gmail.com</t>
  </si>
  <si>
    <t>N.V. Data Systems Pvt. Ltd.</t>
  </si>
  <si>
    <t>14.5LPA</t>
  </si>
  <si>
    <t>20LPA</t>
  </si>
  <si>
    <t>Lakshmi L</t>
  </si>
  <si>
    <t>lakshminiro3011@gmail.com</t>
  </si>
  <si>
    <t>19LPA</t>
  </si>
  <si>
    <t>B. Sikkandar</t>
  </si>
  <si>
    <t>sikkandarbabu0524@gmail.com</t>
  </si>
  <si>
    <t>Danfoss industries pvt ltd.</t>
  </si>
  <si>
    <t>13LPA</t>
  </si>
  <si>
    <t>Senior Power pages developer</t>
  </si>
  <si>
    <t>Priyanka Ray</t>
  </si>
  <si>
    <t>LWD - 11/04/2026</t>
  </si>
  <si>
    <t>priyankaisdynamics@gmail.com</t>
  </si>
  <si>
    <t>Bluethink Inc</t>
  </si>
  <si>
    <t>14.2 LPA</t>
  </si>
  <si>
    <t>Rangani Hareesh</t>
  </si>
  <si>
    <t>hareeshrangani36@gmail.com</t>
  </si>
  <si>
    <t>Visionyle Solutions</t>
  </si>
  <si>
    <t>Vijaya Lakshmi Mullamuri</t>
  </si>
  <si>
    <t>vijayalakshmimullamuri94@gmail.com</t>
  </si>
  <si>
    <t xml:space="preserve">Value Software Technologies Pvt Ltd </t>
  </si>
  <si>
    <t>VARADHA RAJAN PERUMAL</t>
  </si>
  <si>
    <t>pvaradharajan98@gmail.com</t>
  </si>
  <si>
    <t>SHLOK PRAKASH</t>
  </si>
  <si>
    <t>LWD-22/05/2026</t>
  </si>
  <si>
    <t>pandey10shlok@gmail.com</t>
  </si>
  <si>
    <t>+91 9176271865</t>
  </si>
  <si>
    <t>Murugan</t>
  </si>
  <si>
    <t>gmurugansoft@gmail.com</t>
  </si>
  <si>
    <t>+91 8438401110</t>
  </si>
  <si>
    <t>9.85 LPA</t>
  </si>
  <si>
    <t>Ragul C</t>
  </si>
  <si>
    <t>ragulchandran02@gmail.com</t>
  </si>
  <si>
    <t>Gopi Raju</t>
  </si>
  <si>
    <t>LWD-06/06/2026 ( Negotiable )</t>
  </si>
  <si>
    <t>gopiraju9751@gmail.com</t>
  </si>
  <si>
    <t>D GOKUL RAJ</t>
  </si>
  <si>
    <t>gokul.rajj706@gmail.com</t>
  </si>
  <si>
    <t>KANISHKAR R</t>
  </si>
  <si>
    <t>LWD-12/04/2026</t>
  </si>
  <si>
    <t>kanishkarravi02@gmail.com</t>
  </si>
  <si>
    <t>Soundarya Devi</t>
  </si>
  <si>
    <t>soundarya.devi2698@gmail.com</t>
  </si>
  <si>
    <t>Naveen Kumar C</t>
  </si>
  <si>
    <t>naveenkumar96c@gmail.com</t>
  </si>
  <si>
    <t>DHARANI BATHY</t>
  </si>
  <si>
    <t>LWD-13/04/2026</t>
  </si>
  <si>
    <t>dharanibathyp@gmail.com</t>
  </si>
  <si>
    <t>9.4 LPA</t>
  </si>
  <si>
    <t>Gurusai Nanubala</t>
  </si>
  <si>
    <t>LWD-16/05/2026</t>
  </si>
  <si>
    <t>nanubalagurusai18@gmail.com</t>
  </si>
  <si>
    <t>Seraraja</t>
  </si>
  <si>
    <t>seraraja96@gmail.com</t>
  </si>
  <si>
    <t>Revanth Chakravarthi</t>
  </si>
  <si>
    <t>revanthchakravarthi1430@gmail.com</t>
  </si>
  <si>
    <t>Krishnaprasad</t>
  </si>
  <si>
    <t>pingkrishnaprasad@gmail.com</t>
  </si>
  <si>
    <t>Varshini N</t>
  </si>
  <si>
    <t>varshinin036@gmail.com</t>
  </si>
  <si>
    <t>Semaconnect India Pvt Ltd</t>
  </si>
  <si>
    <t>Chandrasekhar Baskaran</t>
  </si>
  <si>
    <t>cbaskaran123@gmail.com</t>
  </si>
  <si>
    <t>PierSight Space Private Limite</t>
  </si>
  <si>
    <t>Chandrakanth G</t>
  </si>
  <si>
    <t>chandrumillo121@gmail.com</t>
  </si>
  <si>
    <t>SSG Engineering Services</t>
  </si>
  <si>
    <t>Omkar S Karade</t>
  </si>
  <si>
    <t>Omkarade3345@gmail.com</t>
  </si>
  <si>
    <t>BlueBinaries</t>
  </si>
  <si>
    <t>Mohammad Sahil Siddiqui</t>
  </si>
  <si>
    <t>sahilsiddiquiss789@gmail.com</t>
  </si>
  <si>
    <t>Mistral Solutions Pvt. Ltd.</t>
  </si>
  <si>
    <t>Anish Kumar Sahu</t>
  </si>
  <si>
    <t>sahooanish007@gmail.com</t>
  </si>
  <si>
    <t>Andor Tech India</t>
  </si>
  <si>
    <t>Syed Nizam ali</t>
  </si>
  <si>
    <t>snizam.truly@gmail.com</t>
  </si>
  <si>
    <t>Calsoft</t>
  </si>
  <si>
    <t>Farm Lab Techinican</t>
  </si>
  <si>
    <t>Abi Haridas</t>
  </si>
  <si>
    <t>Abilashabi812@gmail.com</t>
  </si>
  <si>
    <t>DELL Technologies</t>
  </si>
  <si>
    <t>Selvasekaran S</t>
  </si>
  <si>
    <t>selvasek15@gmail.com</t>
  </si>
  <si>
    <t>Wipro Limited</t>
  </si>
  <si>
    <t>Sai Pranitha Vinti</t>
  </si>
  <si>
    <t>saipranithavinti2468@gmail.com</t>
  </si>
  <si>
    <t>Oracle</t>
  </si>
  <si>
    <t>Sumithra Elumalai</t>
  </si>
  <si>
    <t>esumithra333@gmail.com</t>
  </si>
  <si>
    <t>Sanjaya S Patil</t>
  </si>
  <si>
    <t>Sanjay.shivannagouda.patil@gmail.com</t>
  </si>
  <si>
    <t>IAST Software Solutions Pvt Ltd</t>
  </si>
  <si>
    <t>Gowtham S</t>
  </si>
  <si>
    <t>gowthams2309@gmail.com</t>
  </si>
  <si>
    <t>Sushma Industries Pvt Ltd.</t>
  </si>
  <si>
    <t>Rashil pravinbhai dholariy</t>
  </si>
  <si>
    <t>dholariyarashil@gmail.com</t>
  </si>
  <si>
    <t>4.9 Years</t>
  </si>
  <si>
    <t>Continental Automotive Pvt Ltd</t>
  </si>
  <si>
    <t>Ragul Murugesan</t>
  </si>
  <si>
    <t>ragul7248@gmail.com</t>
  </si>
  <si>
    <t>AKKODIS Technologies</t>
  </si>
  <si>
    <t>Manjunath A</t>
  </si>
  <si>
    <t>manjunathgowda417@gmail.com</t>
  </si>
  <si>
    <t>Omegeon Internet Pvt Ltd</t>
  </si>
  <si>
    <t>Suraj Haribhau Pandhare</t>
  </si>
  <si>
    <t>pandharesuraj47@gmail.com</t>
  </si>
  <si>
    <t>Volvo group of Truck technology</t>
  </si>
  <si>
    <t>Rathan Aiyappa</t>
  </si>
  <si>
    <t>rathanaiyappa12@gmail.com</t>
  </si>
  <si>
    <t>Palace Toyota</t>
  </si>
  <si>
    <t>Sujith Kumar K C</t>
  </si>
  <si>
    <t>sujithkumars9740@gmail.com</t>
  </si>
  <si>
    <t>HP IT Word</t>
  </si>
  <si>
    <t xml:space="preserve">Jeevan R </t>
  </si>
  <si>
    <t>jeevangowda748@gmail.com</t>
  </si>
  <si>
    <t>Nexus Centre city mal</t>
  </si>
  <si>
    <t>Santosh Sahoo</t>
  </si>
  <si>
    <t>santoshk.dev97@gmail.com</t>
  </si>
  <si>
    <t>CitiusTech</t>
  </si>
  <si>
    <t>15 LPA ( Offer in hand - 12 LPA )</t>
  </si>
  <si>
    <t>Raghunath Keshav Khuli</t>
  </si>
  <si>
    <t>raghunathkkhuli@gmail.com</t>
  </si>
  <si>
    <t>Chegus Infotech</t>
  </si>
  <si>
    <t>12 LPA ( Negotiable )</t>
  </si>
  <si>
    <t>Prashant Kumar Rana</t>
  </si>
  <si>
    <t>prashantrana894@gmail.com</t>
  </si>
  <si>
    <t>Idexcel Technologies</t>
  </si>
  <si>
    <t>REDDI PAVAN ODETI</t>
  </si>
  <si>
    <t>reddipavan6226@gmail.com</t>
  </si>
  <si>
    <t>Pristyn Care</t>
  </si>
  <si>
    <t>Albin chacko</t>
  </si>
  <si>
    <t>albinchacko987@gmail.com</t>
  </si>
  <si>
    <t>Mirafra Technologies</t>
  </si>
  <si>
    <t>Varaprasad Enige</t>
  </si>
  <si>
    <t>prasadenige@gmail.com</t>
  </si>
  <si>
    <t>People Tech Technology Pvt Lt</t>
  </si>
  <si>
    <t>Sravan G</t>
  </si>
  <si>
    <t>sravangogu28@gmail.com</t>
  </si>
  <si>
    <t>Quess Corp Pvt Ltd</t>
  </si>
  <si>
    <t>13.7 LPA</t>
  </si>
  <si>
    <t>Prakash N S</t>
  </si>
  <si>
    <t>prakashnsneele@gmail.com</t>
  </si>
  <si>
    <t>Tessolve Semiconductors Pvt. Ltd</t>
  </si>
  <si>
    <t xml:space="preserve">Binu Ramanujam </t>
  </si>
  <si>
    <t>binuramanujam96@gmail.com</t>
  </si>
  <si>
    <t>Wipro pvt.ltd</t>
  </si>
  <si>
    <t>Vaishak C</t>
  </si>
  <si>
    <t>vaishakchemmenchery7@gmail.com</t>
  </si>
  <si>
    <t>Hoomanely Inc</t>
  </si>
  <si>
    <t>B.Kiran</t>
  </si>
  <si>
    <t>bkiranreddy044@gmail.com</t>
  </si>
  <si>
    <t>Foxconn Hon Hai Technology india mega development Pvt Ltd</t>
  </si>
  <si>
    <t>Nimmakayala Badri</t>
  </si>
  <si>
    <t>nimmakayalabadri143@gmail.com</t>
  </si>
  <si>
    <t>+91 9182637083</t>
  </si>
  <si>
    <t>HCL Technologies Ltd</t>
  </si>
  <si>
    <t>Poovarasan</t>
  </si>
  <si>
    <t>poovarasan944@gmail.com</t>
  </si>
  <si>
    <t>Movate Technologies Pvt Ltd</t>
  </si>
  <si>
    <t>4.50 LPA</t>
  </si>
  <si>
    <t>Anju Jacob</t>
  </si>
  <si>
    <t>anjujacobcharuvila@gmail.com</t>
  </si>
  <si>
    <t>VVDN Techologies</t>
  </si>
  <si>
    <t>chennai</t>
  </si>
  <si>
    <t>Anthony S Reddy</t>
  </si>
  <si>
    <t>anthonysr.ponnapati@gmail.com</t>
  </si>
  <si>
    <t>7.72 LPA</t>
  </si>
  <si>
    <t>Amarjeeth</t>
  </si>
  <si>
    <t>amarjeeth280@gmail.com</t>
  </si>
  <si>
    <t>RP Clan Service Pvt. Ltd</t>
  </si>
  <si>
    <t>Sritam</t>
  </si>
  <si>
    <t>sritambhuyan7078@gmail.com</t>
  </si>
  <si>
    <t>DreamSoft4u Pvt. Ltd</t>
  </si>
  <si>
    <t>Dhanapal T</t>
  </si>
  <si>
    <t>dhanapalvel64@gmail.com</t>
  </si>
  <si>
    <t>Ankit kumar Das</t>
  </si>
  <si>
    <t>ankitsanu7@gmail.com</t>
  </si>
  <si>
    <t>TechNova Solutions Pvt. Ltd</t>
  </si>
  <si>
    <t>Vasanadu Yeshwanth</t>
  </si>
  <si>
    <t>vasanaduyeshwanth26@gmail.com</t>
  </si>
  <si>
    <t>Walmart</t>
  </si>
  <si>
    <t>Shivam Kumar</t>
  </si>
  <si>
    <t>shivam.j.dev@gmail.com</t>
  </si>
  <si>
    <t>Nextbrain Technologies</t>
  </si>
  <si>
    <t>Jayesh Pandit Patil</t>
  </si>
  <si>
    <t>LWD - 24/04/2026</t>
  </si>
  <si>
    <t>jayeshpatil.14127@gmail.com</t>
  </si>
  <si>
    <t>Sapiens Technologies</t>
  </si>
  <si>
    <t>Sonu Kumar</t>
  </si>
  <si>
    <t>spsonu41@gmail.com</t>
  </si>
  <si>
    <t>Aswin Majhi</t>
  </si>
  <si>
    <t>LWD - 13/04/2026</t>
  </si>
  <si>
    <t>aswiniku2001@gmail.com</t>
  </si>
  <si>
    <t>+91 9110610974</t>
  </si>
  <si>
    <t>Bosch</t>
  </si>
  <si>
    <t>Kapil Namdeo</t>
  </si>
  <si>
    <t>kapilnamdeo91@gmail.com</t>
  </si>
  <si>
    <t>SLK SOFTWARE PVT LTD</t>
  </si>
  <si>
    <t>Sikendra Kumar</t>
  </si>
  <si>
    <t>sikendra01304@gmail.com</t>
  </si>
  <si>
    <t>Gowthami Reddy</t>
  </si>
  <si>
    <t>gowthamireddy113@gmail.com</t>
  </si>
  <si>
    <t>Synechron Technologies Pvt. Ltd</t>
  </si>
  <si>
    <t>Yamuna</t>
  </si>
  <si>
    <t>byamuna31397@gmail.com</t>
  </si>
  <si>
    <t>Scalene works people Solutions</t>
  </si>
  <si>
    <t>Anjani K Singh</t>
  </si>
  <si>
    <t>anshu5115@gmail.com</t>
  </si>
  <si>
    <t>Freelancing</t>
  </si>
  <si>
    <t>Abhilash Bodile</t>
  </si>
  <si>
    <t>abhilashbdl@gmail.com</t>
  </si>
  <si>
    <t>Harman International India Pvt. Ltd</t>
  </si>
  <si>
    <t>poojanagur94@gmail.com</t>
  </si>
  <si>
    <t>Versa Controls Pvt. Ltd</t>
  </si>
  <si>
    <t>12.3 LPA</t>
  </si>
  <si>
    <t>Suveer Jain</t>
  </si>
  <si>
    <t>suveer.jain1999@gmail.com</t>
  </si>
  <si>
    <t>River Mobility</t>
  </si>
  <si>
    <t>Mohit Issar</t>
  </si>
  <si>
    <t>mohitiissar@gmail.com</t>
  </si>
  <si>
    <t>BPS Plus Pvt. Lt</t>
  </si>
  <si>
    <t>14.6 LPA</t>
  </si>
  <si>
    <t>Tanmaya Kumar Sahoo</t>
  </si>
  <si>
    <t>tanmayasahook@gmail.com</t>
  </si>
  <si>
    <t>Globant Technology Pvt. Ltd</t>
  </si>
  <si>
    <t>Nirav Zalavadiya</t>
  </si>
  <si>
    <t>pnirav174@gmail.com</t>
  </si>
  <si>
    <t>Talentelgia Technologies</t>
  </si>
  <si>
    <t>12.7 LPA</t>
  </si>
  <si>
    <t>Shubham Khan</t>
  </si>
  <si>
    <t>shubhamkhanit@gmail.com</t>
  </si>
  <si>
    <t>Zoop Money</t>
  </si>
  <si>
    <t>Satyam Kumar</t>
  </si>
  <si>
    <t>satyam.stm277@gmail.com</t>
  </si>
  <si>
    <t>Recrosoft Technologies</t>
  </si>
  <si>
    <t>Saurav Kumar Verma</t>
  </si>
  <si>
    <t>sauravkumarverma56@gmail.com</t>
  </si>
  <si>
    <t>VN2 Solutions Pvt. Ltd</t>
  </si>
  <si>
    <t>5.6 LPA</t>
  </si>
  <si>
    <t>Praveen Kumar</t>
  </si>
  <si>
    <t>praveenkr2098@gmail.com</t>
  </si>
  <si>
    <t>Clinet IT Solution Pvt. Ltd</t>
  </si>
  <si>
    <t>Anurag Singh</t>
  </si>
  <si>
    <t>anurag6asa@gmail.com</t>
  </si>
  <si>
    <t>JoulessToWatts</t>
  </si>
  <si>
    <t>Dheeraj Bhanudas Gosavi</t>
  </si>
  <si>
    <t>dheerajgosavi@gmail.com</t>
  </si>
  <si>
    <t>Hemant Pawar</t>
  </si>
  <si>
    <t>hemant.tech13@gmail.com</t>
  </si>
  <si>
    <t>Presana Systems Pvt Ltd</t>
  </si>
  <si>
    <t>6.12 LPA</t>
  </si>
  <si>
    <t>Pradnya Potdar</t>
  </si>
  <si>
    <t>potdarpradnya91@gmail.com</t>
  </si>
  <si>
    <t>Vighnaharta Technologies Pvt Ltd</t>
  </si>
  <si>
    <t>Shivendra Ojha</t>
  </si>
  <si>
    <t>shivendraojha99@gmail.com</t>
  </si>
  <si>
    <t>+91 9111298387</t>
  </si>
  <si>
    <t>Techasoft Pvt Ltd</t>
  </si>
  <si>
    <t>hemanth reddy kodathala</t>
  </si>
  <si>
    <t>LWD - 22/04/2026</t>
  </si>
  <si>
    <t>hemanthreddy66991@gmail.com</t>
  </si>
  <si>
    <t>Mounesh</t>
  </si>
  <si>
    <t>LWD - 5/05/2026</t>
  </si>
  <si>
    <t>developermounesh@gmail.com</t>
  </si>
  <si>
    <t>B.SC</t>
  </si>
  <si>
    <t>ACCENTURE</t>
  </si>
  <si>
    <t>Pavan</t>
  </si>
  <si>
    <t>LWD - 18/05/2026</t>
  </si>
  <si>
    <t>pavanbezawada5@gmail.com</t>
  </si>
  <si>
    <t>Satendra Singh</t>
  </si>
  <si>
    <t>satendra9481@gmail.com</t>
  </si>
  <si>
    <t>Next Brain Technologies</t>
  </si>
  <si>
    <t>Raheman Vajir Fakir</t>
  </si>
  <si>
    <t>raheman3se@gmail.com</t>
  </si>
  <si>
    <t>kishore B</t>
  </si>
  <si>
    <t>kishorerkv6303@gmail.com</t>
  </si>
  <si>
    <t>Tavant Technologies</t>
  </si>
  <si>
    <t>Batthula Viswanand</t>
  </si>
  <si>
    <t>b.viswanand@gmail.com</t>
  </si>
  <si>
    <t>JP Morgan Chase</t>
  </si>
  <si>
    <t>Nikhil Tayade</t>
  </si>
  <si>
    <t>nikhiltayade11.nt@gmail.com</t>
  </si>
  <si>
    <t>Ador Welding Limited</t>
  </si>
  <si>
    <t>8.7 LPA</t>
  </si>
  <si>
    <t>Sameeksha Pravin Shete</t>
  </si>
  <si>
    <t>justsameeksha@gmail.com</t>
  </si>
  <si>
    <t>Traction Inverter</t>
  </si>
  <si>
    <t>Aditya Sunilkumar Pandey</t>
  </si>
  <si>
    <t>adityapandeymanju1107@gmail.com</t>
  </si>
  <si>
    <t>WHIRLPOOL CORPORATION</t>
  </si>
  <si>
    <t>10.3 LPA</t>
  </si>
  <si>
    <t>Richi Samantaray</t>
  </si>
  <si>
    <t>richeesamantaray29@gmail.com</t>
  </si>
  <si>
    <t>Heraizen Technologies Pvt Ltd</t>
  </si>
  <si>
    <t>Amit Kumatagi</t>
  </si>
  <si>
    <t>LWD-10/05/2026</t>
  </si>
  <si>
    <t>amitkumatagi2@gmail.com</t>
  </si>
  <si>
    <t>Hussmann </t>
  </si>
  <si>
    <t>Kallesh HC</t>
  </si>
  <si>
    <t>kalleshhc64@gmail.com</t>
  </si>
  <si>
    <t>Trigent Software Pvt Ltd</t>
  </si>
  <si>
    <t>Jitendra Kumar</t>
  </si>
  <si>
    <t>30 days ( Negotiable )</t>
  </si>
  <si>
    <t>kjitendra2832@gmail.com</t>
  </si>
  <si>
    <t>Pine Labs</t>
  </si>
  <si>
    <t>Ankita Jee</t>
  </si>
  <si>
    <t>ankitajee210@gmail.com</t>
  </si>
  <si>
    <t>KPMG </t>
  </si>
  <si>
    <t>Neeraj Rajak</t>
  </si>
  <si>
    <t>neerajrajaktech72@gmail.com</t>
  </si>
  <si>
    <t>+91 9187475097</t>
  </si>
  <si>
    <t>Peak XV Partners</t>
  </si>
  <si>
    <t>Pooja Pawar</t>
  </si>
  <si>
    <t>7 days</t>
  </si>
  <si>
    <t>pooja.p.pawar06@gmail.com</t>
  </si>
  <si>
    <t>ITMC Systems</t>
  </si>
  <si>
    <t>Govind Chaturvedi</t>
  </si>
  <si>
    <t>bhajgovindam10@gmail.com</t>
  </si>
  <si>
    <t>Neurealm </t>
  </si>
  <si>
    <t>ABHA THUKRAL</t>
  </si>
  <si>
    <t>abhathukral.96@gmail.com</t>
  </si>
  <si>
    <t>Canterr IT Services India Pvt Ltd</t>
  </si>
  <si>
    <t>25.5 LPA</t>
  </si>
  <si>
    <t>Aditya Bandaki</t>
  </si>
  <si>
    <t>devadityabandaki@gmail.com</t>
  </si>
  <si>
    <t>KibbCom </t>
  </si>
  <si>
    <t>J Murali</t>
  </si>
  <si>
    <t>jmurali824@gmail.com</t>
  </si>
  <si>
    <t>Nexxoft Infotel </t>
  </si>
  <si>
    <t>Kurrapothula Anjaneyulu</t>
  </si>
  <si>
    <t>kurrapothulaanjaneyulu@gmail.com</t>
  </si>
  <si>
    <t>ASICS TECHNOLOGIES PVT LTD</t>
  </si>
  <si>
    <t>Yashi Gupta</t>
  </si>
  <si>
    <t>LWD-27/04/2026</t>
  </si>
  <si>
    <t>yashigupta5108@gmail.com</t>
  </si>
  <si>
    <t>Encora </t>
  </si>
  <si>
    <t>Nirupma chaudhary</t>
  </si>
  <si>
    <t>nirupmachaudhary4@gmail.com</t>
  </si>
  <si>
    <t>+91 9149027855</t>
  </si>
  <si>
    <t>ZS Associates</t>
  </si>
  <si>
    <t>Akshatha</t>
  </si>
  <si>
    <t>kokkarneakshatha@gmail.com</t>
  </si>
  <si>
    <t>19.96 LPA</t>
  </si>
  <si>
    <t>DIBYA PRAKASH SAHOO</t>
  </si>
  <si>
    <t>dibyaprakashs19@gmail.com</t>
  </si>
  <si>
    <t>Simpliigence </t>
  </si>
  <si>
    <t>Gajender Singh</t>
  </si>
  <si>
    <t>gajender.php@gmail.com</t>
  </si>
  <si>
    <t>CYBERLET TECHNOLOGIES</t>
  </si>
  <si>
    <t>AJAY VERMA</t>
  </si>
  <si>
    <t>LWD-17/05/2026 ( Received early release mail confirmation from his HR )</t>
  </si>
  <si>
    <t>ajay.djv@gmail.com</t>
  </si>
  <si>
    <t>Scry AI</t>
  </si>
  <si>
    <t>Venkat Adapala</t>
  </si>
  <si>
    <t>LWD-27/05/2026 ( Buyout )</t>
  </si>
  <si>
    <t>venkat.vasun@gmail.com</t>
  </si>
  <si>
    <t>ADP</t>
  </si>
  <si>
    <t>Harika</t>
  </si>
  <si>
    <t>harikarajeswari.g@gmail.com</t>
  </si>
  <si>
    <t>Mphasis Limited</t>
  </si>
  <si>
    <t>RAGHUNANDAN WODEYAR</t>
  </si>
  <si>
    <t>raghu.raghunandhan@gmail.com</t>
  </si>
  <si>
    <t>9.3 Years</t>
  </si>
  <si>
    <t>EqualizeRCM Services</t>
  </si>
  <si>
    <t>Bhargavi P</t>
  </si>
  <si>
    <t>LWD-07/05/2026</t>
  </si>
  <si>
    <t>bpullapaturi@gmail.com</t>
  </si>
  <si>
    <t>Ankita Kashyap</t>
  </si>
  <si>
    <t>ankitakaashyap@gmail.com</t>
  </si>
  <si>
    <t>5.36 LPA</t>
  </si>
  <si>
    <t>Sharfudeen N</t>
  </si>
  <si>
    <t>sharfunpt@gmail.com</t>
  </si>
  <si>
    <t>TTK Services Private Limited</t>
  </si>
  <si>
    <t>Bukya Kalyan Nayak</t>
  </si>
  <si>
    <t>kalyannayak267@gmail.com</t>
  </si>
  <si>
    <t>+91 9100898266</t>
  </si>
  <si>
    <t>DXC Technology </t>
  </si>
  <si>
    <t>Ayushi narendral</t>
  </si>
  <si>
    <t>narendraayushi94@gmail.com</t>
  </si>
  <si>
    <t> TechnoSoft Services Pvt Ltd</t>
  </si>
  <si>
    <t>3.10 LPA</t>
  </si>
  <si>
    <t>Wasim Akram</t>
  </si>
  <si>
    <t>wasimtipu786@gmail.com</t>
  </si>
  <si>
    <t>Team Computers </t>
  </si>
  <si>
    <t>6.72 LPA</t>
  </si>
  <si>
    <t>Arul K</t>
  </si>
  <si>
    <t>arulkuppusamy46@gmail.com</t>
  </si>
  <si>
    <t>Tapas Kumar Bal</t>
  </si>
  <si>
    <t>tapask981@gmail.com</t>
  </si>
  <si>
    <t>Hyderabad/Remote</t>
  </si>
  <si>
    <t>Panzer Technologies</t>
  </si>
  <si>
    <t>Rinku</t>
  </si>
  <si>
    <t>naiknawarerinku@gmail.com</t>
  </si>
  <si>
    <t>+91 9130536132</t>
  </si>
  <si>
    <t>Manikanta chemaladinne</t>
  </si>
  <si>
    <t>manikantach0020@gmail.com</t>
  </si>
  <si>
    <t>AR SOFTCON PVT LTD </t>
  </si>
  <si>
    <t>Richa Boruah</t>
  </si>
  <si>
    <t>wricha101@gmail.com</t>
  </si>
  <si>
    <t>Teleperformance </t>
  </si>
  <si>
    <t>Guwahati</t>
  </si>
  <si>
    <t>Recruiter ID</t>
  </si>
  <si>
    <t>Email</t>
  </si>
  <si>
    <t>Phone Number</t>
  </si>
  <si>
    <t>Current Status</t>
  </si>
  <si>
    <t>Date of Joined</t>
  </si>
  <si>
    <t>LWD</t>
  </si>
  <si>
    <t>Designation</t>
  </si>
  <si>
    <t>Harish</t>
  </si>
  <si>
    <t>HRBP</t>
  </si>
  <si>
    <t>Lead</t>
  </si>
  <si>
    <t>Recruiter</t>
  </si>
  <si>
    <t>R006</t>
  </si>
  <si>
    <t>Himanshu</t>
  </si>
  <si>
    <t>R007</t>
  </si>
  <si>
    <t>Pooja &amp; Bhoomika</t>
  </si>
  <si>
    <t>Name</t>
  </si>
  <si>
    <t>No of Profiles as per Plan for the day</t>
  </si>
  <si>
    <t xml:space="preserve">No Of profile Shared </t>
  </si>
  <si>
    <t>Yet to receive feed back from panel</t>
  </si>
  <si>
    <t>No of profiles Screen Select</t>
  </si>
  <si>
    <t xml:space="preserve">No of Profiles rejected </t>
  </si>
  <si>
    <t>No of profiles in T1</t>
  </si>
  <si>
    <t>T1 Rejected</t>
  </si>
  <si>
    <t>ThoughtFocus</t>
  </si>
  <si>
    <t>Semnox</t>
  </si>
  <si>
    <t>Seralax</t>
  </si>
  <si>
    <t>Inhouse</t>
  </si>
  <si>
    <t>Skill</t>
  </si>
  <si>
    <t>Open Positions</t>
  </si>
  <si>
    <t>Profiles</t>
  </si>
  <si>
    <t xml:space="preserve">1. Windows sys - 18. 2. Python architech-13, </t>
  </si>
  <si>
    <t>3.Lead Data - 5, DDM -2</t>
  </si>
  <si>
    <t>Inside Sales - 2</t>
  </si>
  <si>
    <t>Inside Sales - 5, Field - 2</t>
  </si>
  <si>
    <t>BDE -2,</t>
  </si>
  <si>
    <t>HR - 1</t>
  </si>
  <si>
    <t>Emids</t>
  </si>
  <si>
    <t>Python Architect - 3</t>
  </si>
  <si>
    <t>Android BSP - 4</t>
  </si>
  <si>
    <t>Winods system admin - 3</t>
  </si>
  <si>
    <t>Naukri used- 321</t>
  </si>
  <si>
    <t>1. Windows sys - 3, Python architech-4</t>
  </si>
  <si>
    <t>Inside Sales - 6</t>
  </si>
  <si>
    <t>HR - 9</t>
  </si>
  <si>
    <t>Graphic-2, Associate-1, KAM-4,Sales head-3</t>
  </si>
  <si>
    <t>Lead data engineer-7</t>
  </si>
  <si>
    <t>KAM-9, Associate sales-1, sales head-3</t>
  </si>
  <si>
    <t>Winods system admin - 17</t>
  </si>
  <si>
    <t>Display driver-2</t>
  </si>
  <si>
    <t>IN T2</t>
  </si>
  <si>
    <t>IN T3</t>
  </si>
  <si>
    <t>Lead SOC</t>
  </si>
  <si>
    <t>Wndows System - 5, Angular JS - 5, Python - 5</t>
  </si>
  <si>
    <t>Lead Data engineer-3</t>
  </si>
  <si>
    <t>.Net Dev -3</t>
  </si>
  <si>
    <t>Angular RF Designer - 2</t>
  </si>
  <si>
    <t>Angular JS - 6</t>
  </si>
  <si>
    <t>Inside Sales - 7</t>
  </si>
  <si>
    <t>Technical Lead Mobile -1</t>
  </si>
  <si>
    <t>KAM - 4, Sales Head - 1, Associate Sales - 1, Graphic Designer -3</t>
  </si>
  <si>
    <t>Angular JS - 4</t>
  </si>
  <si>
    <t>Inside Sales - 3, Feild Sales -2</t>
  </si>
  <si>
    <t>Sales Head -11, GRaphic Designer -4, Associate Sales -2, KAM -1</t>
  </si>
  <si>
    <t>Windows system - 11, Python - 2</t>
  </si>
  <si>
    <t>IAM Eng - 4. Lead IAM - 1</t>
  </si>
  <si>
    <t>.Net Dev- 5</t>
  </si>
  <si>
    <t>Block Chain Dev -1</t>
  </si>
  <si>
    <t>RECRUITER</t>
  </si>
  <si>
    <t>REQUIREMENTS</t>
  </si>
  <si>
    <t>FROM 26-01-2026 TO 30-01-2026</t>
  </si>
  <si>
    <t>Least No of Interviews should be scheduled in a day</t>
  </si>
  <si>
    <t>3 Days</t>
  </si>
  <si>
    <t>Acheivable commitments</t>
  </si>
  <si>
    <t>ThoughtFocus, KPIT,</t>
  </si>
  <si>
    <t xml:space="preserve">No of Profiles to be shared </t>
  </si>
  <si>
    <t>Vidita,Semnox, Peritas, Thoughtfocus</t>
  </si>
  <si>
    <t>ThoughtFocus, KPIT, Semnox, Peritas, EMIDS</t>
  </si>
  <si>
    <t>Vidita,Semnox, Peritas, Avinashi Ads</t>
  </si>
  <si>
    <t>Java Sript -5, Python - 9, Angular JS- 1, Windows System -6</t>
  </si>
  <si>
    <t>Java Lead support - 6</t>
  </si>
  <si>
    <t>18 (Yet to share)</t>
  </si>
  <si>
    <t>.Net - 1</t>
  </si>
  <si>
    <t>Full Stack Dev - 17</t>
  </si>
  <si>
    <t>Inside Sales -7</t>
  </si>
  <si>
    <t>Full Stack Dev - 10</t>
  </si>
  <si>
    <t>Windows System -9, Python -2</t>
  </si>
  <si>
    <t>Java Lead support - 2, IAM Eng-3, Senior IAM -1</t>
  </si>
  <si>
    <t>Tech Lead -4</t>
  </si>
  <si>
    <t>Full Stack Dev - 3</t>
  </si>
  <si>
    <t>REQUIREMENTS, FROM 02-02-2026 TO 07-02-2026</t>
  </si>
  <si>
    <t>EMIDS,ThoughtFocus, KPIT,GNA</t>
  </si>
  <si>
    <t>,Semnox, Peritas, Thoughtfocus, GNA</t>
  </si>
  <si>
    <t>ThoughtFocus, KPIT, Semnox, GNA, EMIDS</t>
  </si>
  <si>
    <t xml:space="preserve">,Semnox, Peritas, Avinashi Ads, GNA, </t>
  </si>
  <si>
    <t>Java Script - 6, Angular JS(1.7) - 2</t>
  </si>
  <si>
    <t>Inside Sales- 10</t>
  </si>
  <si>
    <t>Mobile Tech Lead -5</t>
  </si>
  <si>
    <t>Full Stack Developer-5</t>
  </si>
  <si>
    <t>Graphic Designer 1,Associate Sales -1</t>
  </si>
  <si>
    <t>Inside Sales- 5</t>
  </si>
  <si>
    <t>Mobile Tech Lead -4</t>
  </si>
  <si>
    <t>QA Analyst - 13, full stack dev - 2</t>
  </si>
  <si>
    <t>Java Lead support - 3</t>
  </si>
  <si>
    <t>QA Analyst - 8, Full stack dev - 9</t>
  </si>
  <si>
    <t>Display driver -4</t>
  </si>
  <si>
    <t>REQUIREMENTS, FROM 09-02-2026 TO 13-02-2026</t>
  </si>
  <si>
    <t>EMIDS,ThoughtFocus, KPIT,GNA, Brillio</t>
  </si>
  <si>
    <t>GNA, Emergotec, Semnox, Brillio</t>
  </si>
  <si>
    <t>KPIT, Thoughtfocus, EMIDS, Semnox</t>
  </si>
  <si>
    <t>KPIT, Thoughtfocus, EMIDS</t>
  </si>
  <si>
    <t>Avinash ads, Peritas, GNA, Talme</t>
  </si>
  <si>
    <t>Megha Foods</t>
  </si>
  <si>
    <t>Angular Js dev-2</t>
  </si>
  <si>
    <t>Dats lead engineer- 4, Full stack-8, Backend developer-11, Frontend developer-9</t>
  </si>
  <si>
    <t>Inside Sales:2</t>
  </si>
  <si>
    <t>Complaiance officer:1</t>
  </si>
  <si>
    <t>Sales Head :9</t>
  </si>
  <si>
    <t>Java Lead Support Analyst - 10</t>
  </si>
  <si>
    <t xml:space="preserve">Inside Sales - 1 </t>
  </si>
  <si>
    <t>Sales Officer:1</t>
  </si>
  <si>
    <t xml:space="preserve">Key Account Manager - 3 , Sales Head - 3  </t>
  </si>
  <si>
    <t xml:space="preserve">Mobile Tech Lead - 3  </t>
  </si>
  <si>
    <t>Angular Js dev-4</t>
  </si>
  <si>
    <t>Java lead Analyst-2, Lead data engr-1, Backend dev-3, Frontend dev-4</t>
  </si>
  <si>
    <t>Display Driver-2, Android Bsp -1</t>
  </si>
  <si>
    <t>Anika solution- Technical lead- 2</t>
  </si>
  <si>
    <t xml:space="preserve">REQUIREMENTS, </t>
  </si>
  <si>
    <t>Windows system admin-6</t>
  </si>
  <si>
    <t>Full stack-2, Backend developer-5, Frontend developer-6</t>
  </si>
  <si>
    <t>Electrical maintenance engineer-3</t>
  </si>
  <si>
    <t>Sales head-10, KAM-5</t>
  </si>
  <si>
    <t xml:space="preserve">Key Account Manager - 6 , Sales Head - 6  </t>
  </si>
  <si>
    <t>Field sales-3</t>
  </si>
  <si>
    <t>JAVA lead analyst-1, Backend developer-6, Frontend-8</t>
  </si>
  <si>
    <t>Technical lead-3</t>
  </si>
  <si>
    <t>REQUIREMENTS, 23rd to 28th feb</t>
  </si>
  <si>
    <t>Thought focus, Emids</t>
  </si>
  <si>
    <t>Avinashi ads, Thought focus, Anika solutions</t>
  </si>
  <si>
    <t>Anika solutions, Thought focus, Megha foods, Emids</t>
  </si>
  <si>
    <t>Avinashi ads, Peritas</t>
  </si>
  <si>
    <t>Windows system admin-13</t>
  </si>
  <si>
    <t>Lead data engr-2</t>
  </si>
  <si>
    <t>Sales head-5, KAM-3,Associate sales-2,Graphic designer-1</t>
  </si>
  <si>
    <t>Field sales-4</t>
  </si>
  <si>
    <t xml:space="preserve">Key Account Manager - 3 , Sales Head - 7,Associate sales-2 </t>
  </si>
  <si>
    <t>Inside sales-2</t>
  </si>
  <si>
    <t>1( Last week)</t>
  </si>
  <si>
    <t>1(Last week)</t>
  </si>
  <si>
    <t>2 (Last week)</t>
  </si>
  <si>
    <t>JAVA lead analyst-1</t>
  </si>
  <si>
    <t>sales officer-1</t>
  </si>
  <si>
    <t>Graphic designer-1</t>
  </si>
  <si>
    <t>Technical lead-2</t>
  </si>
  <si>
    <t>HW Design-2</t>
  </si>
  <si>
    <t>Production operator-6, MFG_ITI-4</t>
  </si>
  <si>
    <t>PCB layout engineer-1, HW design engineer-1</t>
  </si>
  <si>
    <t>MFG_ITI-2</t>
  </si>
  <si>
    <t>Associate sales-2</t>
  </si>
  <si>
    <t>HW design-4, PCB design-2</t>
  </si>
  <si>
    <t>Windows system-1</t>
  </si>
  <si>
    <t>HW Design-2, AI/ML-2</t>
  </si>
  <si>
    <t>MFG_ITI-5, Production operator-6</t>
  </si>
  <si>
    <t>Embedded SW developer-3</t>
  </si>
  <si>
    <t>Production Operator-7</t>
  </si>
  <si>
    <t>Production operator-22,MFG_ITI-17</t>
  </si>
  <si>
    <t>windows system admin-2</t>
  </si>
  <si>
    <t>Embedded Engineer-2</t>
  </si>
  <si>
    <t>sales officer- 2</t>
  </si>
  <si>
    <t>Production operator-3,MFG_ITI-2</t>
  </si>
  <si>
    <t xml:space="preserve"> No of Joinings this month</t>
  </si>
  <si>
    <t>Windows system admin-9</t>
  </si>
  <si>
    <t>Production operator-2, MFG_ITI-1</t>
  </si>
  <si>
    <t>BIW-3,Embedded SW Developer-3</t>
  </si>
  <si>
    <t>Production Operator-1</t>
  </si>
  <si>
    <t>Production Operator-13,Material Handler-8</t>
  </si>
  <si>
    <t>Embedded engineer-1,Embedded SW developer-1,Lapview-1, Cluster Lead-1</t>
  </si>
  <si>
    <t>Production Operator-3,Material Handler-1</t>
  </si>
  <si>
    <t>Windows system admin-22, AI architect-7, .NET-15</t>
  </si>
  <si>
    <t>Full stack JAVA-2</t>
  </si>
  <si>
    <t>.NET-9</t>
  </si>
  <si>
    <t>Embedded python developer-2</t>
  </si>
  <si>
    <t>Full stack-4</t>
  </si>
  <si>
    <t>Production Operator-9</t>
  </si>
  <si>
    <t>Sales head-1</t>
  </si>
  <si>
    <t>Tech lead-5</t>
  </si>
  <si>
    <t>Production Operator-28,Material Handler-9</t>
  </si>
  <si>
    <t>Windows system admin-11,.NET-11</t>
  </si>
  <si>
    <t>Fullstack-1</t>
  </si>
  <si>
    <t>Production Operator-5</t>
  </si>
  <si>
    <t>Tech Lead-2</t>
  </si>
  <si>
    <t>In-house</t>
  </si>
  <si>
    <t>Emergo</t>
  </si>
  <si>
    <t>.NET,WPF-13, Lead Devops-1, Satabricks architect-3, AWS devops-5</t>
  </si>
  <si>
    <t>.NET,WPF-3, AWS devops-3</t>
  </si>
  <si>
    <t>Hardware project manager-13</t>
  </si>
  <si>
    <t>Production operator-17, material handler-5</t>
  </si>
  <si>
    <t xml:space="preserve">RF engineer-2, </t>
  </si>
  <si>
    <t>Production operator-6, Material handler-1</t>
  </si>
  <si>
    <t>LANSOFT-7</t>
  </si>
  <si>
    <t>Tech lead-3, Senior power page developer-2</t>
  </si>
  <si>
    <t>AI architect-5</t>
  </si>
  <si>
    <t>Hardware project manager-5</t>
  </si>
  <si>
    <t>Utsavas-2</t>
  </si>
  <si>
    <t>Production operator-16</t>
  </si>
  <si>
    <t>Data architect-2, Windows system admin-7, JAVA engineer-7</t>
  </si>
  <si>
    <t>Test automation engineer-15</t>
  </si>
  <si>
    <t>Production operator-5</t>
  </si>
  <si>
    <t>JAVA engineer-10</t>
  </si>
  <si>
    <t>Embedded software engineer-15,FARM lab techniacian-8, TELECOM test engineer-4</t>
  </si>
  <si>
    <t>ASM-3</t>
  </si>
  <si>
    <t>Production Operator-30</t>
  </si>
  <si>
    <t>Production Operator-24</t>
  </si>
  <si>
    <t>Windows system admin-14</t>
  </si>
  <si>
    <t>.NET,WPF-19</t>
  </si>
  <si>
    <t>Sales head-7</t>
  </si>
  <si>
    <t>Production operator-33, Project scheduler-4</t>
  </si>
  <si>
    <t>AI architect-1</t>
  </si>
  <si>
    <t>Production operator-64, Project scheduler-7</t>
  </si>
  <si>
    <t>Sl.No</t>
  </si>
  <si>
    <t>Comments</t>
  </si>
  <si>
    <t>Years of EXp</t>
  </si>
  <si>
    <t>Sayiant, Entra ID &amp; Azzure ID (Mandate) Immediate NP</t>
  </si>
  <si>
    <t>6-9 Years</t>
  </si>
  <si>
    <t>Java/Python (Payment, Banking domain) &amp; End to end card trans, supporting L1 and L3</t>
  </si>
  <si>
    <t>5+ Years</t>
  </si>
  <si>
    <t>Exp in IT sales</t>
  </si>
  <si>
    <t>1-2 Years</t>
  </si>
  <si>
    <t>Yet to receive feedbak from client</t>
  </si>
  <si>
    <t>Mandate (bnking Domain), Autoation Testing tool</t>
  </si>
  <si>
    <t>2-4 Years</t>
  </si>
  <si>
    <t>Angular, Node js</t>
  </si>
  <si>
    <t>Java script, HTML , CSS</t>
  </si>
  <si>
    <t>4-8 Years</t>
  </si>
  <si>
    <t>C2H</t>
  </si>
  <si>
    <t>SBI Project</t>
  </si>
  <si>
    <t>Golden Gate, CDC Integration, Cloud Era Archi, Oracle RDBMS, (Banking Domain)</t>
  </si>
  <si>
    <t>Mumbai Location</t>
  </si>
  <si>
    <t>Brillio</t>
  </si>
  <si>
    <t>AI, Machie Learning, DDM's</t>
  </si>
  <si>
    <t>LTTs</t>
  </si>
  <si>
    <t>Tech Status</t>
  </si>
  <si>
    <t>Recruiters</t>
  </si>
  <si>
    <t>Candidate current status</t>
  </si>
  <si>
    <t>Business unit</t>
  </si>
  <si>
    <t>Offered</t>
  </si>
  <si>
    <t>Offer Drop</t>
  </si>
  <si>
    <t>Offer Stage</t>
  </si>
  <si>
    <t>Tech 3 to be Scheduled</t>
  </si>
  <si>
    <t>Tech 3 Awaiting Feedback</t>
  </si>
  <si>
    <t>EDIPECS Developer</t>
  </si>
  <si>
    <t>Optiva PLM Functional Consultant</t>
  </si>
  <si>
    <t>Technical Project Manager</t>
  </si>
  <si>
    <t>Count of Client</t>
  </si>
  <si>
    <t/>
  </si>
  <si>
    <t>(blank)</t>
  </si>
  <si>
    <t xml:space="preserve"> Total</t>
  </si>
  <si>
    <t>Avinashi Ads Total</t>
  </si>
  <si>
    <t>EMIDS Total</t>
  </si>
  <si>
    <t>GNA Total</t>
  </si>
  <si>
    <t>KPIT Total</t>
  </si>
  <si>
    <t>LeadSOC Total</t>
  </si>
  <si>
    <t>Peritas Total</t>
  </si>
  <si>
    <t>Saralx Total</t>
  </si>
  <si>
    <t>Sarelx Total</t>
  </si>
  <si>
    <t>Semnox Solutions Total</t>
  </si>
  <si>
    <t>Talme  Total</t>
  </si>
  <si>
    <t>Thoughtfocus Total</t>
  </si>
  <si>
    <t>Grand Total</t>
  </si>
  <si>
    <t>Count of Job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</si>
</sst>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9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D0D0D"/>
      <name val="Calibri"/>
      <family val="2"/>
      <scheme val="minor"/>
    </font>
    <font>
      <sz val="11"/>
      <color rgb="FF010C1F"/>
      <name val="Calibri"/>
      <family val="2"/>
      <scheme val="minor"/>
    </font>
    <font>
      <sz val="11"/>
      <color rgb="FF253858"/>
      <name val="Calibri"/>
      <family val="2"/>
      <scheme val="minor"/>
    </font>
    <font>
      <sz val="11"/>
      <color rgb="FF242424"/>
      <name val="Calibri"/>
      <family val="2"/>
      <scheme val="minor"/>
    </font>
    <font>
      <sz val="10"/>
      <color rgb="FF010C1F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sz val="10"/>
      <color rgb="FF253858"/>
      <name val="Calibri Light"/>
      <family val="2"/>
      <scheme val="major"/>
    </font>
    <font>
      <sz val="10"/>
      <color theme="1"/>
      <name val="Calibri Light"/>
      <family val="2"/>
      <scheme val="major"/>
    </font>
    <font>
      <u/>
      <sz val="10"/>
      <color theme="10"/>
      <name val="Calibri Light"/>
      <family val="2"/>
      <scheme val="major"/>
    </font>
    <font>
      <sz val="12"/>
      <color rgb="FF010C1F"/>
      <name val="Calibri"/>
      <family val="2"/>
      <scheme val="minor"/>
    </font>
    <font>
      <sz val="11"/>
      <color rgb="FF000000"/>
      <name val="Calibri"/>
      <family val="2"/>
    </font>
    <font>
      <sz val="11"/>
      <color rgb="FF010C1F"/>
      <name val="Manrope"/>
      <family val="2"/>
      <charset val="1"/>
    </font>
    <font>
      <sz val="11"/>
      <color rgb="FF010C1F"/>
      <name val="Manrope"/>
      <charset val="1"/>
    </font>
    <font>
      <sz val="11"/>
      <color rgb="FF000000"/>
      <name val="Aptos Narrow"/>
      <family val="2"/>
    </font>
    <font>
      <sz val="11"/>
      <color rgb="FF000000"/>
      <name val="-Apple-System"/>
      <charset val="1"/>
    </font>
    <font>
      <sz val="1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u/>
      <sz val="11"/>
      <name val="Calibri"/>
      <family val="2"/>
    </font>
    <font>
      <sz val="12"/>
      <color theme="1"/>
      <name val="Times New Roman"/>
      <family val="1"/>
      <charset val="1"/>
    </font>
    <font>
      <sz val="10"/>
      <color rgb="FF242424"/>
      <name val="Calibri Light"/>
      <family val="2"/>
      <scheme val="major"/>
    </font>
    <font>
      <sz val="11"/>
      <color rgb="FF000000"/>
      <name val="Inherit"/>
      <charset val="1"/>
    </font>
    <font>
      <sz val="9"/>
      <color rgb="FF253858"/>
      <name val="Manrope"/>
      <charset val="1"/>
    </font>
    <font>
      <sz val="10"/>
      <name val="Arial"/>
      <family val="2"/>
    </font>
    <font>
      <u/>
      <sz val="11"/>
      <color theme="10"/>
      <name val="Calibri"/>
      <family val="2"/>
    </font>
    <font>
      <sz val="9"/>
      <color rgb="FF253858"/>
      <name val="Calibri Light"/>
      <family val="2"/>
      <scheme val="major"/>
    </font>
    <font>
      <sz val="9"/>
      <color rgb="FF253858"/>
      <name val="Manrope"/>
      <family val="2"/>
      <charset val="1"/>
    </font>
    <font>
      <sz val="12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theme="10"/>
      <name val="Calibri"/>
      <family val="2"/>
      <scheme val="minor"/>
    </font>
    <font>
      <sz val="11"/>
      <color rgb="FF222222"/>
      <name val="Calibri"/>
      <family val="2"/>
      <scheme val="minor"/>
    </font>
    <font>
      <sz val="10"/>
      <color rgb="FF041533"/>
      <name val="Calibri Light"/>
      <family val="2"/>
      <scheme val="major"/>
    </font>
    <font>
      <sz val="9"/>
      <color rgb="FF091E42"/>
      <name val="Calibri Light"/>
      <family val="2"/>
      <scheme val="major"/>
    </font>
    <font>
      <sz val="10"/>
      <color rgb="FF191919"/>
      <name val="Arial"/>
      <family val="2"/>
    </font>
    <font>
      <sz val="10"/>
      <color rgb="FF091E42"/>
      <name val="Calibri Light"/>
      <family val="2"/>
      <scheme val="major"/>
    </font>
    <font>
      <i/>
      <sz val="11"/>
      <name val="Calibri"/>
      <family val="2"/>
      <scheme val="minor"/>
    </font>
    <font>
      <i/>
      <sz val="11"/>
      <name val="Calibri"/>
      <family val="2"/>
    </font>
    <font>
      <sz val="10.5"/>
      <color theme="1"/>
      <name val="Calibri"/>
      <family val="2"/>
    </font>
    <font>
      <sz val="11"/>
      <color theme="1"/>
      <name val="Aptos Narrow"/>
      <family val="2"/>
    </font>
    <font>
      <sz val="11"/>
      <color rgb="FF010C1F"/>
      <name val="Manrope"/>
    </font>
    <font>
      <sz val="11"/>
      <color rgb="FF222222"/>
      <name val="Calibri"/>
      <family val="2"/>
    </font>
    <font>
      <sz val="11"/>
      <color rgb="FF333333"/>
      <name val="Calibri"/>
      <family val="2"/>
    </font>
    <font>
      <i/>
      <sz val="11"/>
      <color theme="1"/>
      <name val="Calibri"/>
      <family val="2"/>
    </font>
    <font>
      <sz val="10"/>
      <color rgb="FF253858"/>
      <name val="Manrope"/>
      <charset val="1"/>
    </font>
    <font>
      <sz val="9"/>
      <color rgb="FF091E42"/>
      <name val="Manrope"/>
      <charset val="1"/>
    </font>
    <font>
      <u/>
      <sz val="11"/>
      <color rgb="FF000000"/>
      <name val="Aptos Narrow"/>
      <family val="2"/>
    </font>
    <font>
      <u/>
      <sz val="11"/>
      <color rgb="FF467886"/>
      <name val="Aptos Narrow"/>
      <family val="2"/>
    </font>
    <font>
      <sz val="11"/>
      <color theme="1"/>
      <name val="Times New Roman"/>
      <family val="1"/>
      <charset val="1"/>
    </font>
    <font>
      <sz val="9"/>
      <color rgb="FF091E42"/>
      <name val="Manrope"/>
      <family val="2"/>
      <charset val="1"/>
    </font>
    <font>
      <sz val="12"/>
      <color rgb="FF000000"/>
      <name val="Aptos"/>
      <family val="2"/>
    </font>
    <font>
      <u/>
      <sz val="10"/>
      <name val="Arial"/>
      <family val="2"/>
    </font>
    <font>
      <sz val="10"/>
      <color rgb="FF253858"/>
      <name val="Manrope"/>
      <family val="2"/>
      <charset val="1"/>
    </font>
    <font>
      <sz val="11"/>
      <color theme="1"/>
      <name val="Cambria"/>
      <family val="1"/>
    </font>
    <font>
      <sz val="11"/>
      <color rgb="FF4F81BD"/>
      <name val="Calibri Light"/>
      <family val="2"/>
      <scheme val="major"/>
    </font>
    <font>
      <sz val="10"/>
      <name val="Calibri Light"/>
      <family val="2"/>
      <scheme val="major"/>
    </font>
    <font>
      <sz val="12"/>
      <name val="Aptos"/>
      <family val="2"/>
    </font>
    <font>
      <sz val="11"/>
      <color theme="1"/>
      <name val="Times New Roman"/>
      <family val="1"/>
    </font>
    <font>
      <sz val="10"/>
      <color rgb="FF1A2B49"/>
      <name val="Arial"/>
      <family val="2"/>
    </font>
    <font>
      <sz val="11"/>
      <color rgb="FF1A2B49"/>
      <name val="Arial"/>
      <family val="2"/>
    </font>
    <font>
      <sz val="10"/>
      <color rgb="FFFF0000"/>
      <name val="Arial"/>
      <family val="2"/>
    </font>
    <font>
      <sz val="12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Aptos"/>
      <family val="2"/>
    </font>
    <font>
      <sz val="12"/>
      <color rgb="FF010C1F"/>
      <name val="Manrope"/>
      <charset val="1"/>
    </font>
    <font>
      <sz val="11"/>
      <color rgb="FF253858"/>
      <name val="Arial"/>
      <family val="2"/>
    </font>
    <font>
      <sz val="11"/>
      <color rgb="FF000000"/>
      <name val="Calibri Light"/>
      <family val="2"/>
      <scheme val="major"/>
    </font>
    <font>
      <sz val="10"/>
      <color rgb="FF010C1F"/>
      <name val="Arial"/>
      <family val="2"/>
    </font>
    <font>
      <sz val="10"/>
      <color rgb="FF242424"/>
      <name val="Arial"/>
      <family val="2"/>
    </font>
    <font>
      <sz val="10"/>
      <color rgb="FF253858"/>
      <name val="Arial"/>
      <family val="2"/>
    </font>
    <font>
      <sz val="10"/>
      <color rgb="FF041533"/>
      <name val="Arial"/>
      <family val="2"/>
    </font>
    <font>
      <sz val="10"/>
      <color rgb="FF091E4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scheme val="minor"/>
    </font>
    <font>
      <sz val="11"/>
      <name val="Calibri"/>
      <scheme val="minor"/>
    </font>
    <font>
      <u/>
      <sz val="11"/>
      <color theme="10"/>
      <name val="Calibri"/>
      <scheme val="minor"/>
    </font>
    <font>
      <sz val="10"/>
      <color rgb="FF000000"/>
      <name val="Calibri"/>
      <scheme val="minor"/>
    </font>
    <font>
      <sz val="12"/>
      <color rgb="FF000000"/>
      <name val="Calibri"/>
      <scheme val="minor"/>
    </font>
    <font>
      <sz val="11"/>
      <color rgb="FF242424"/>
      <name val="Calibri"/>
      <scheme val="minor"/>
    </font>
    <font>
      <u/>
      <sz val="10"/>
      <color theme="10"/>
      <name val="Calibri"/>
      <scheme val="minor"/>
    </font>
    <font>
      <sz val="9"/>
      <color rgb="FF253858"/>
      <name val="Calibri"/>
      <scheme val="minor"/>
    </font>
    <font>
      <sz val="12"/>
      <color theme="1"/>
      <name val="Calibri"/>
      <scheme val="minor"/>
    </font>
    <font>
      <u/>
      <sz val="12"/>
      <color theme="10"/>
      <name val="Calibri"/>
      <scheme val="minor"/>
    </font>
    <font>
      <sz val="12"/>
      <color rgb="FF253858"/>
      <name val="Calibri"/>
      <scheme val="minor"/>
    </font>
    <font>
      <sz val="10"/>
      <color theme="1"/>
      <name val="Calibri"/>
      <scheme val="minor"/>
    </font>
    <font>
      <sz val="12"/>
      <color rgb="FF242424"/>
      <name val="Calibri"/>
      <scheme val="minor"/>
    </font>
    <font>
      <u/>
      <sz val="11"/>
      <color rgb="FF0070C0"/>
      <name val="Calibri"/>
      <scheme val="minor"/>
    </font>
    <font>
      <sz val="11"/>
      <color rgb="FF010C1F"/>
      <name val="Calibri"/>
      <scheme val="minor"/>
    </font>
    <font>
      <sz val="11"/>
      <color theme="10"/>
      <name val="Calibri"/>
      <scheme val="minor"/>
    </font>
    <font>
      <sz val="11"/>
      <color theme="7" tint="-0.499984740745262"/>
      <name val="Calibri"/>
      <scheme val="minor"/>
    </font>
    <font>
      <sz val="11"/>
      <color rgb="FF253858"/>
      <name val="Calibri"/>
      <scheme val="minor"/>
    </font>
    <font>
      <sz val="11"/>
      <color rgb="FF000009"/>
      <name val="Calibri"/>
      <scheme val="minor"/>
    </font>
    <font>
      <u/>
      <sz val="11"/>
      <color rgb="FF000000"/>
      <name val="Calibri"/>
      <scheme val="minor"/>
    </font>
    <font>
      <sz val="11"/>
      <name val="Aptos"/>
      <family val="2"/>
    </font>
    <font>
      <sz val="11"/>
      <color rgb="FF000000"/>
      <name val="Calibri"/>
      <charset val="1"/>
    </font>
    <font>
      <sz val="10"/>
      <color rgb="FF010C1F"/>
      <name val="Arial"/>
      <scheme val="major"/>
    </font>
    <font>
      <sz val="10"/>
      <color rgb="FF000000"/>
      <name val="Arial"/>
      <scheme val="major"/>
    </font>
    <font>
      <sz val="10"/>
      <color rgb="FF253858"/>
      <name val="Arial"/>
      <scheme val="major"/>
    </font>
    <font>
      <sz val="11"/>
      <color theme="1"/>
      <name val="Aptos Display"/>
      <scheme val="major"/>
    </font>
    <font>
      <u/>
      <sz val="11"/>
      <color theme="10"/>
      <name val="Aptos Display"/>
      <scheme val="major"/>
    </font>
    <font>
      <sz val="11"/>
      <color rgb="FF000000"/>
      <name val="Aptos Narrow"/>
      <scheme val="minor"/>
    </font>
    <font>
      <sz val="12"/>
      <color rgb="FF000000"/>
      <name val="Aptos Narrow"/>
      <scheme val="minor"/>
    </font>
    <font>
      <sz val="11"/>
      <color theme="1"/>
      <name val="Aptos Narrow"/>
      <scheme val="minor"/>
    </font>
    <font>
      <sz val="10"/>
      <color rgb="FF091E42"/>
      <name val="Arial"/>
      <scheme val="major"/>
    </font>
    <font>
      <sz val="11"/>
      <color rgb="FF000000"/>
      <name val="Aptos Display"/>
      <scheme val="major"/>
    </font>
    <font>
      <sz val="11"/>
      <color rgb="FF010C1F"/>
      <name val="Aptos Display"/>
      <scheme val="major"/>
    </font>
    <font>
      <sz val="11"/>
      <color rgb="FF253858"/>
      <name val="Aptos Display"/>
      <scheme val="major"/>
    </font>
    <font>
      <sz val="12"/>
      <color theme="1"/>
      <name val="Aptos Display"/>
      <scheme val="major"/>
    </font>
    <font>
      <sz val="12"/>
      <color theme="1"/>
      <name val="Aptos Narrow"/>
      <scheme val="minor"/>
    </font>
    <font>
      <u/>
      <sz val="12"/>
      <color theme="10"/>
      <name val="Aptos Narrow"/>
      <scheme val="minor"/>
    </font>
    <font>
      <sz val="12"/>
      <color rgb="FF010C1F"/>
      <name val="Aptos Narrow"/>
      <scheme val="minor"/>
    </font>
    <font>
      <sz val="12"/>
      <color rgb="FF000000"/>
      <name val="Aptos Display"/>
      <scheme val="major"/>
    </font>
    <font>
      <sz val="11"/>
      <color rgb="FF000000"/>
      <name val="Aptos Narrow"/>
      <family val="2"/>
      <scheme val="minor"/>
    </font>
    <font>
      <sz val="10"/>
      <color rgb="FF041533"/>
      <name val="Arial"/>
      <scheme val="major"/>
    </font>
    <font>
      <sz val="9"/>
      <color rgb="FF091E42"/>
      <name val="Arial"/>
      <scheme val="major"/>
    </font>
    <font>
      <sz val="9"/>
      <color rgb="FF000000"/>
      <name val="Verdana"/>
      <charset val="1"/>
    </font>
    <font>
      <sz val="11"/>
      <color theme="1"/>
      <name val="Calibri"/>
      <charset val="1"/>
    </font>
    <font>
      <sz val="10"/>
      <color rgb="FF242424"/>
      <name val="Arial"/>
      <scheme val="major"/>
    </font>
  </fonts>
  <fills count="12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theme="4" tint="0.79998168889431442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18">
    <xf numFmtId="0" fontId="0" fillId="0" borderId="0" xfId="0"/>
    <xf numFmtId="0" fontId="3" fillId="2" borderId="0" xfId="0" applyFont="1" applyFill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2" xfId="0" applyBorder="1"/>
    <xf numFmtId="0" fontId="0" fillId="5" borderId="1" xfId="0" applyFill="1" applyBorder="1" applyAlignment="1">
      <alignment horizontal="center" wrapText="1"/>
    </xf>
    <xf numFmtId="0" fontId="0" fillId="5" borderId="2" xfId="0" applyFill="1" applyBorder="1" applyAlignment="1">
      <alignment wrapText="1"/>
    </xf>
    <xf numFmtId="0" fontId="0" fillId="5" borderId="1" xfId="0" applyFill="1" applyBorder="1"/>
    <xf numFmtId="0" fontId="0" fillId="5" borderId="2" xfId="0" applyFill="1" applyBorder="1"/>
    <xf numFmtId="0" fontId="0" fillId="6" borderId="1" xfId="0" applyFill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5" xfId="0" applyBorder="1"/>
    <xf numFmtId="0" fontId="0" fillId="0" borderId="4" xfId="0" applyBorder="1" applyAlignment="1">
      <alignment wrapText="1"/>
    </xf>
    <xf numFmtId="0" fontId="0" fillId="5" borderId="1" xfId="0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7" fillId="0" borderId="6" xfId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14" fontId="5" fillId="0" borderId="6" xfId="0" applyNumberFormat="1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4" fillId="0" borderId="6" xfId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0" fillId="3" borderId="6" xfId="0" applyFill="1" applyBorder="1" applyAlignment="1">
      <alignment horizontal="center"/>
    </xf>
    <xf numFmtId="15" fontId="0" fillId="0" borderId="6" xfId="0" applyNumberFormat="1" applyBorder="1" applyAlignment="1">
      <alignment horizontal="center"/>
    </xf>
    <xf numFmtId="0" fontId="6" fillId="0" borderId="6" xfId="0" applyFont="1" applyBorder="1" applyAlignment="1">
      <alignment horizontal="center" vertical="center"/>
    </xf>
    <xf numFmtId="15" fontId="6" fillId="0" borderId="6" xfId="0" applyNumberFormat="1" applyFont="1" applyBorder="1" applyAlignment="1">
      <alignment horizontal="center"/>
    </xf>
    <xf numFmtId="0" fontId="6" fillId="4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wrapText="1"/>
    </xf>
    <xf numFmtId="0" fontId="11" fillId="0" borderId="6" xfId="0" applyFont="1" applyBorder="1" applyAlignment="1">
      <alignment horizontal="center"/>
    </xf>
    <xf numFmtId="0" fontId="0" fillId="0" borderId="6" xfId="0" applyBorder="1" applyAlignment="1">
      <alignment horizontal="center" vertical="top"/>
    </xf>
    <xf numFmtId="0" fontId="5" fillId="4" borderId="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 wrapText="1"/>
    </xf>
    <xf numFmtId="0" fontId="9" fillId="0" borderId="6" xfId="0" applyFont="1" applyBorder="1" applyAlignment="1">
      <alignment horizontal="center"/>
    </xf>
    <xf numFmtId="0" fontId="5" fillId="4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/>
    </xf>
    <xf numFmtId="0" fontId="18" fillId="7" borderId="1" xfId="0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26" fillId="0" borderId="6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8" fillId="0" borderId="6" xfId="0" applyFont="1" applyBorder="1" applyAlignment="1">
      <alignment horizontal="center"/>
    </xf>
    <xf numFmtId="0" fontId="0" fillId="0" borderId="1" xfId="0" applyBorder="1"/>
    <xf numFmtId="15" fontId="0" fillId="0" borderId="1" xfId="0" applyNumberFormat="1" applyBorder="1" applyAlignment="1">
      <alignment horizontal="center"/>
    </xf>
    <xf numFmtId="15" fontId="0" fillId="0" borderId="1" xfId="0" applyNumberFormat="1" applyBorder="1"/>
    <xf numFmtId="0" fontId="0" fillId="3" borderId="1" xfId="0" applyFill="1" applyBorder="1"/>
    <xf numFmtId="0" fontId="0" fillId="0" borderId="11" xfId="0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32" fillId="3" borderId="1" xfId="0" applyFont="1" applyFill="1" applyBorder="1" applyAlignment="1">
      <alignment horizontal="center" wrapText="1"/>
    </xf>
    <xf numFmtId="0" fontId="33" fillId="0" borderId="1" xfId="0" applyFont="1" applyBorder="1" applyAlignment="1">
      <alignment horizontal="center" wrapText="1"/>
    </xf>
    <xf numFmtId="0" fontId="21" fillId="0" borderId="0" xfId="0" applyFont="1"/>
    <xf numFmtId="0" fontId="0" fillId="5" borderId="2" xfId="0" applyFill="1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6" borderId="0" xfId="0" applyFill="1" applyAlignment="1">
      <alignment horizontal="center"/>
    </xf>
    <xf numFmtId="0" fontId="0" fillId="0" borderId="0" xfId="0" applyAlignment="1">
      <alignment wrapText="1"/>
    </xf>
    <xf numFmtId="0" fontId="34" fillId="0" borderId="1" xfId="0" applyFont="1" applyBorder="1" applyAlignment="1">
      <alignment horizontal="center"/>
    </xf>
    <xf numFmtId="0" fontId="0" fillId="0" borderId="0" xfId="0" pivotButton="1"/>
    <xf numFmtId="0" fontId="6" fillId="0" borderId="8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7" fillId="0" borderId="1" xfId="0" applyFont="1" applyBorder="1" applyAlignment="1">
      <alignment horizontal="left"/>
    </xf>
    <xf numFmtId="0" fontId="4" fillId="0" borderId="0" xfId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21" fillId="4" borderId="6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6" fillId="8" borderId="6" xfId="0" applyFont="1" applyFill="1" applyBorder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15" fontId="0" fillId="0" borderId="8" xfId="0" applyNumberFormat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26" fillId="4" borderId="6" xfId="0" applyFont="1" applyFill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35" fillId="0" borderId="6" xfId="0" applyFont="1" applyBorder="1" applyAlignment="1">
      <alignment horizontal="center"/>
    </xf>
    <xf numFmtId="0" fontId="32" fillId="4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6" fillId="0" borderId="1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6" fillId="9" borderId="6" xfId="0" applyFont="1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8" borderId="16" xfId="0" applyFill="1" applyBorder="1" applyAlignment="1">
      <alignment horizontal="center"/>
    </xf>
    <xf numFmtId="0" fontId="6" fillId="8" borderId="16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15" fontId="0" fillId="0" borderId="3" xfId="0" applyNumberFormat="1" applyBorder="1" applyAlignment="1">
      <alignment horizontal="center"/>
    </xf>
    <xf numFmtId="0" fontId="26" fillId="4" borderId="1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6" fillId="4" borderId="8" xfId="0" applyFont="1" applyFill="1" applyBorder="1" applyAlignment="1">
      <alignment horizontal="center" vertical="center"/>
    </xf>
    <xf numFmtId="0" fontId="39" fillId="4" borderId="18" xfId="0" applyFont="1" applyFill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/>
    </xf>
    <xf numFmtId="0" fontId="40" fillId="0" borderId="6" xfId="0" applyFont="1" applyBorder="1" applyAlignment="1">
      <alignment horizontal="center" vertical="center"/>
    </xf>
    <xf numFmtId="0" fontId="21" fillId="0" borderId="6" xfId="0" applyFont="1" applyBorder="1" applyAlignment="1">
      <alignment vertical="center"/>
    </xf>
    <xf numFmtId="0" fontId="28" fillId="0" borderId="6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/>
    </xf>
    <xf numFmtId="15" fontId="0" fillId="0" borderId="9" xfId="0" applyNumberFormat="1" applyBorder="1" applyAlignment="1">
      <alignment horizontal="center"/>
    </xf>
    <xf numFmtId="0" fontId="42" fillId="0" borderId="6" xfId="0" applyFont="1" applyBorder="1" applyAlignment="1">
      <alignment horizontal="center"/>
    </xf>
    <xf numFmtId="0" fontId="43" fillId="0" borderId="1" xfId="0" applyFont="1" applyBorder="1" applyAlignment="1">
      <alignment horizontal="center"/>
    </xf>
    <xf numFmtId="0" fontId="44" fillId="0" borderId="1" xfId="0" applyFont="1" applyBorder="1" applyAlignment="1">
      <alignment horizontal="center"/>
    </xf>
    <xf numFmtId="0" fontId="4" fillId="0" borderId="0" xfId="1"/>
    <xf numFmtId="0" fontId="0" fillId="5" borderId="2" xfId="0" applyFill="1" applyBorder="1" applyAlignment="1">
      <alignment horizontal="center"/>
    </xf>
    <xf numFmtId="0" fontId="45" fillId="0" borderId="1" xfId="0" applyFont="1" applyBorder="1" applyAlignment="1">
      <alignment horizontal="center"/>
    </xf>
    <xf numFmtId="14" fontId="21" fillId="0" borderId="1" xfId="0" applyNumberFormat="1" applyFont="1" applyBorder="1" applyAlignment="1">
      <alignment horizontal="center"/>
    </xf>
    <xf numFmtId="0" fontId="46" fillId="0" borderId="1" xfId="0" applyFont="1" applyBorder="1" applyAlignment="1">
      <alignment horizontal="center"/>
    </xf>
    <xf numFmtId="0" fontId="46" fillId="0" borderId="3" xfId="0" applyFont="1" applyBorder="1" applyAlignment="1">
      <alignment horizontal="center"/>
    </xf>
    <xf numFmtId="15" fontId="0" fillId="0" borderId="10" xfId="0" applyNumberFormat="1" applyBorder="1" applyAlignment="1">
      <alignment horizontal="center"/>
    </xf>
    <xf numFmtId="0" fontId="6" fillId="8" borderId="9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6" fillId="4" borderId="6" xfId="0" applyFont="1" applyFill="1" applyBorder="1" applyAlignment="1">
      <alignment horizontal="center" vertical="center" wrapText="1"/>
    </xf>
    <xf numFmtId="0" fontId="48" fillId="0" borderId="6" xfId="0" applyFont="1" applyBorder="1" applyAlignment="1">
      <alignment horizontal="center" vertical="center"/>
    </xf>
    <xf numFmtId="0" fontId="49" fillId="0" borderId="1" xfId="0" applyFont="1" applyBorder="1" applyAlignment="1">
      <alignment horizontal="center"/>
    </xf>
    <xf numFmtId="0" fontId="50" fillId="0" borderId="1" xfId="0" applyFont="1" applyBorder="1" applyAlignment="1">
      <alignment horizontal="center"/>
    </xf>
    <xf numFmtId="0" fontId="21" fillId="4" borderId="18" xfId="0" applyFont="1" applyFill="1" applyBorder="1" applyAlignment="1">
      <alignment horizontal="center" vertical="center" wrapText="1"/>
    </xf>
    <xf numFmtId="0" fontId="21" fillId="4" borderId="18" xfId="0" applyFont="1" applyFill="1" applyBorder="1" applyAlignment="1">
      <alignment horizontal="center" vertical="center"/>
    </xf>
    <xf numFmtId="0" fontId="52" fillId="0" borderId="18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 wrapText="1"/>
    </xf>
    <xf numFmtId="0" fontId="21" fillId="4" borderId="20" xfId="0" applyFont="1" applyFill="1" applyBorder="1" applyAlignment="1">
      <alignment vertical="center" wrapText="1"/>
    </xf>
    <xf numFmtId="0" fontId="29" fillId="0" borderId="6" xfId="0" applyFont="1" applyBorder="1" applyAlignment="1">
      <alignment horizontal="center" vertical="center"/>
    </xf>
    <xf numFmtId="0" fontId="21" fillId="4" borderId="6" xfId="0" applyFont="1" applyFill="1" applyBorder="1" applyAlignment="1">
      <alignment vertical="center" wrapText="1"/>
    </xf>
    <xf numFmtId="15" fontId="21" fillId="4" borderId="6" xfId="0" applyNumberFormat="1" applyFont="1" applyFill="1" applyBorder="1" applyAlignment="1">
      <alignment horizontal="center" vertical="center" wrapText="1"/>
    </xf>
    <xf numFmtId="0" fontId="50" fillId="0" borderId="6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5" fillId="0" borderId="11" xfId="0" applyFont="1" applyBorder="1" applyAlignment="1">
      <alignment horizontal="center"/>
    </xf>
    <xf numFmtId="0" fontId="21" fillId="0" borderId="2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8" borderId="23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0" fontId="12" fillId="3" borderId="7" xfId="0" applyFont="1" applyFill="1" applyBorder="1" applyAlignment="1">
      <alignment horizontal="center" wrapText="1"/>
    </xf>
    <xf numFmtId="0" fontId="12" fillId="3" borderId="7" xfId="0" applyFont="1" applyFill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6" fillId="0" borderId="7" xfId="0" applyFont="1" applyBorder="1" applyAlignment="1">
      <alignment horizontal="center" wrapText="1"/>
    </xf>
    <xf numFmtId="0" fontId="6" fillId="0" borderId="7" xfId="0" applyFont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 vertical="center" wrapText="1"/>
    </xf>
    <xf numFmtId="0" fontId="20" fillId="0" borderId="12" xfId="0" applyFont="1" applyBorder="1" applyAlignment="1">
      <alignment horizontal="center"/>
    </xf>
    <xf numFmtId="0" fontId="22" fillId="3" borderId="12" xfId="0" applyFont="1" applyFill="1" applyBorder="1" applyAlignment="1">
      <alignment horizontal="center" wrapText="1"/>
    </xf>
    <xf numFmtId="0" fontId="21" fillId="4" borderId="7" xfId="0" applyFont="1" applyFill="1" applyBorder="1" applyAlignment="1">
      <alignment horizontal="center" vertical="center"/>
    </xf>
    <xf numFmtId="0" fontId="28" fillId="0" borderId="7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24" fillId="0" borderId="12" xfId="0" applyFont="1" applyBorder="1" applyAlignment="1">
      <alignment horizontal="center"/>
    </xf>
    <xf numFmtId="0" fontId="23" fillId="3" borderId="12" xfId="0" applyFont="1" applyFill="1" applyBorder="1" applyAlignment="1">
      <alignment horizontal="center" wrapText="1"/>
    </xf>
    <xf numFmtId="0" fontId="32" fillId="3" borderId="12" xfId="0" applyFont="1" applyFill="1" applyBorder="1" applyAlignment="1">
      <alignment horizontal="center" wrapText="1"/>
    </xf>
    <xf numFmtId="0" fontId="27" fillId="0" borderId="12" xfId="0" applyFont="1" applyBorder="1" applyAlignment="1">
      <alignment horizontal="center"/>
    </xf>
    <xf numFmtId="0" fontId="32" fillId="4" borderId="12" xfId="0" applyFont="1" applyFill="1" applyBorder="1" applyAlignment="1">
      <alignment horizontal="center" wrapText="1"/>
    </xf>
    <xf numFmtId="0" fontId="21" fillId="0" borderId="12" xfId="0" applyFont="1" applyBorder="1" applyAlignment="1">
      <alignment horizontal="center"/>
    </xf>
    <xf numFmtId="0" fontId="26" fillId="0" borderId="7" xfId="0" applyFont="1" applyBorder="1" applyAlignment="1">
      <alignment horizontal="center" vertical="center"/>
    </xf>
    <xf numFmtId="0" fontId="26" fillId="4" borderId="7" xfId="0" applyFont="1" applyFill="1" applyBorder="1" applyAlignment="1">
      <alignment horizontal="center" vertical="center"/>
    </xf>
    <xf numFmtId="0" fontId="16" fillId="0" borderId="14" xfId="0" applyFont="1" applyBorder="1" applyAlignment="1">
      <alignment horizontal="center"/>
    </xf>
    <xf numFmtId="0" fontId="21" fillId="0" borderId="7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21" fillId="4" borderId="7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/>
    </xf>
    <xf numFmtId="0" fontId="24" fillId="0" borderId="6" xfId="0" applyFont="1" applyBorder="1" applyAlignment="1">
      <alignment horizontal="center"/>
    </xf>
    <xf numFmtId="0" fontId="23" fillId="0" borderId="6" xfId="0" applyFont="1" applyBorder="1" applyAlignment="1">
      <alignment horizontal="center"/>
    </xf>
    <xf numFmtId="0" fontId="15" fillId="3" borderId="6" xfId="0" applyFont="1" applyFill="1" applyBorder="1" applyAlignment="1">
      <alignment horizontal="center"/>
    </xf>
    <xf numFmtId="0" fontId="22" fillId="3" borderId="6" xfId="0" applyFont="1" applyFill="1" applyBorder="1" applyAlignment="1">
      <alignment horizontal="center" wrapText="1"/>
    </xf>
    <xf numFmtId="0" fontId="27" fillId="0" borderId="6" xfId="0" applyFont="1" applyBorder="1" applyAlignment="1">
      <alignment horizontal="center"/>
    </xf>
    <xf numFmtId="0" fontId="23" fillId="3" borderId="6" xfId="0" applyFont="1" applyFill="1" applyBorder="1" applyAlignment="1">
      <alignment horizontal="center" wrapText="1"/>
    </xf>
    <xf numFmtId="0" fontId="23" fillId="0" borderId="6" xfId="0" applyFont="1" applyBorder="1" applyAlignment="1">
      <alignment horizontal="center" wrapText="1"/>
    </xf>
    <xf numFmtId="0" fontId="6" fillId="3" borderId="11" xfId="0" applyFont="1" applyFill="1" applyBorder="1" applyAlignment="1">
      <alignment horizontal="center" wrapText="1"/>
    </xf>
    <xf numFmtId="0" fontId="6" fillId="3" borderId="11" xfId="0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0" fontId="6" fillId="0" borderId="11" xfId="1" applyFont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4" fillId="0" borderId="11" xfId="1" applyBorder="1" applyAlignment="1">
      <alignment horizontal="center"/>
    </xf>
    <xf numFmtId="0" fontId="6" fillId="0" borderId="11" xfId="0" applyFont="1" applyBorder="1" applyAlignment="1">
      <alignment horizontal="center" wrapText="1"/>
    </xf>
    <xf numFmtId="0" fontId="6" fillId="0" borderId="11" xfId="1" applyFont="1" applyFill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4" borderId="11" xfId="1" applyFont="1" applyFill="1" applyBorder="1" applyAlignment="1">
      <alignment horizontal="center" vertical="center"/>
    </xf>
    <xf numFmtId="0" fontId="6" fillId="4" borderId="11" xfId="1" applyFont="1" applyFill="1" applyBorder="1" applyAlignment="1">
      <alignment horizontal="center"/>
    </xf>
    <xf numFmtId="0" fontId="4" fillId="0" borderId="2" xfId="1" applyBorder="1" applyAlignment="1">
      <alignment horizontal="center"/>
    </xf>
    <xf numFmtId="0" fontId="6" fillId="4" borderId="11" xfId="1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/>
    </xf>
    <xf numFmtId="0" fontId="19" fillId="0" borderId="2" xfId="1" applyFont="1" applyBorder="1" applyAlignment="1">
      <alignment horizontal="center"/>
    </xf>
    <xf numFmtId="0" fontId="4" fillId="0" borderId="15" xfId="1" applyBorder="1" applyAlignment="1">
      <alignment horizontal="center"/>
    </xf>
    <xf numFmtId="0" fontId="4" fillId="0" borderId="11" xfId="1" applyBorder="1" applyAlignment="1">
      <alignment horizontal="center" vertical="center"/>
    </xf>
    <xf numFmtId="0" fontId="4" fillId="4" borderId="11" xfId="1" applyFill="1" applyBorder="1" applyAlignment="1">
      <alignment horizontal="center" vertical="center"/>
    </xf>
    <xf numFmtId="0" fontId="34" fillId="0" borderId="2" xfId="0" applyFont="1" applyBorder="1" applyAlignment="1">
      <alignment horizontal="center"/>
    </xf>
    <xf numFmtId="0" fontId="21" fillId="0" borderId="2" xfId="0" applyFont="1" applyBorder="1"/>
    <xf numFmtId="0" fontId="17" fillId="3" borderId="2" xfId="0" applyFont="1" applyFill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4" fillId="4" borderId="25" xfId="1" applyFill="1" applyBorder="1" applyAlignment="1">
      <alignment horizontal="center" vertical="center" wrapText="1"/>
    </xf>
    <xf numFmtId="0" fontId="37" fillId="0" borderId="2" xfId="0" applyFont="1" applyBorder="1" applyAlignment="1">
      <alignment horizontal="center"/>
    </xf>
    <xf numFmtId="0" fontId="37" fillId="3" borderId="15" xfId="0" applyFont="1" applyFill="1" applyBorder="1" applyAlignment="1">
      <alignment horizontal="center"/>
    </xf>
    <xf numFmtId="0" fontId="38" fillId="0" borderId="2" xfId="0" applyFont="1" applyBorder="1" applyAlignment="1">
      <alignment horizontal="center"/>
    </xf>
    <xf numFmtId="0" fontId="41" fillId="0" borderId="11" xfId="1" applyFont="1" applyFill="1" applyBorder="1" applyAlignment="1">
      <alignment horizontal="center" vertical="center"/>
    </xf>
    <xf numFmtId="0" fontId="4" fillId="0" borderId="11" xfId="1" applyFill="1" applyBorder="1" applyAlignment="1">
      <alignment horizontal="center" vertical="center" wrapText="1"/>
    </xf>
    <xf numFmtId="0" fontId="7" fillId="0" borderId="11" xfId="1" applyFont="1" applyBorder="1" applyAlignment="1">
      <alignment horizontal="center" vertical="center"/>
    </xf>
    <xf numFmtId="0" fontId="7" fillId="0" borderId="11" xfId="1" applyFont="1" applyBorder="1" applyAlignment="1">
      <alignment horizontal="center" vertical="center" wrapText="1"/>
    </xf>
    <xf numFmtId="0" fontId="7" fillId="0" borderId="11" xfId="1" applyFont="1" applyBorder="1" applyAlignment="1">
      <alignment horizontal="center"/>
    </xf>
    <xf numFmtId="0" fontId="4" fillId="0" borderId="25" xfId="1" applyBorder="1" applyAlignment="1">
      <alignment horizontal="center" vertical="center"/>
    </xf>
    <xf numFmtId="0" fontId="4" fillId="4" borderId="25" xfId="1" applyFill="1" applyBorder="1" applyAlignment="1">
      <alignment horizontal="center" vertical="center"/>
    </xf>
    <xf numFmtId="0" fontId="6" fillId="0" borderId="13" xfId="0" applyFont="1" applyBorder="1" applyAlignment="1">
      <alignment horizontal="center"/>
    </xf>
    <xf numFmtId="0" fontId="4" fillId="0" borderId="11" xfId="1" applyBorder="1" applyAlignment="1">
      <alignment horizontal="center" vertical="center" wrapText="1"/>
    </xf>
    <xf numFmtId="0" fontId="13" fillId="0" borderId="7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18" fillId="7" borderId="12" xfId="0" applyFont="1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28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center"/>
    </xf>
    <xf numFmtId="0" fontId="16" fillId="3" borderId="6" xfId="0" applyFont="1" applyFill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21" fillId="0" borderId="6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3" xfId="0" applyBorder="1" applyAlignment="1">
      <alignment horizontal="center" vertical="center" wrapText="1"/>
    </xf>
    <xf numFmtId="0" fontId="34" fillId="0" borderId="3" xfId="0" applyFont="1" applyBorder="1" applyAlignment="1">
      <alignment horizontal="center"/>
    </xf>
    <xf numFmtId="0" fontId="4" fillId="0" borderId="1" xfId="1" applyBorder="1" applyAlignment="1">
      <alignment horizontal="center"/>
    </xf>
    <xf numFmtId="0" fontId="4" fillId="0" borderId="6" xfId="1" applyBorder="1" applyAlignment="1">
      <alignment horizontal="center" vertical="center"/>
    </xf>
    <xf numFmtId="0" fontId="54" fillId="0" borderId="6" xfId="0" applyFont="1" applyBorder="1" applyAlignment="1">
      <alignment horizontal="center" vertical="center"/>
    </xf>
    <xf numFmtId="0" fontId="27" fillId="0" borderId="1" xfId="1" applyFont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4" fillId="4" borderId="18" xfId="1" applyFill="1" applyBorder="1" applyAlignment="1">
      <alignment horizontal="center" vertical="center"/>
    </xf>
    <xf numFmtId="0" fontId="4" fillId="4" borderId="18" xfId="1" applyFill="1" applyBorder="1" applyAlignment="1">
      <alignment horizontal="center" vertical="center" wrapText="1"/>
    </xf>
    <xf numFmtId="0" fontId="55" fillId="3" borderId="1" xfId="0" applyFont="1" applyFill="1" applyBorder="1" applyAlignment="1">
      <alignment horizontal="center"/>
    </xf>
    <xf numFmtId="0" fontId="56" fillId="0" borderId="1" xfId="0" applyFont="1" applyBorder="1" applyAlignment="1">
      <alignment horizontal="center"/>
    </xf>
    <xf numFmtId="0" fontId="57" fillId="0" borderId="1" xfId="1" applyFont="1" applyBorder="1" applyAlignment="1">
      <alignment horizontal="center"/>
    </xf>
    <xf numFmtId="0" fontId="56" fillId="0" borderId="3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18" fillId="3" borderId="6" xfId="0" applyFont="1" applyFill="1" applyBorder="1" applyAlignment="1">
      <alignment horizontal="center"/>
    </xf>
    <xf numFmtId="0" fontId="17" fillId="3" borderId="1" xfId="0" applyFont="1" applyFill="1" applyBorder="1" applyAlignment="1">
      <alignment horizontal="center"/>
    </xf>
    <xf numFmtId="0" fontId="18" fillId="3" borderId="1" xfId="0" applyFont="1" applyFill="1" applyBorder="1" applyAlignment="1">
      <alignment horizontal="center"/>
    </xf>
    <xf numFmtId="0" fontId="29" fillId="3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7" fillId="3" borderId="3" xfId="0" applyFont="1" applyFill="1" applyBorder="1" applyAlignment="1">
      <alignment horizontal="center"/>
    </xf>
    <xf numFmtId="0" fontId="18" fillId="3" borderId="3" xfId="0" applyFont="1" applyFill="1" applyBorder="1" applyAlignment="1">
      <alignment horizontal="center"/>
    </xf>
    <xf numFmtId="0" fontId="30" fillId="0" borderId="7" xfId="1" applyFont="1" applyBorder="1" applyAlignment="1">
      <alignment horizontal="center" vertical="center"/>
    </xf>
    <xf numFmtId="0" fontId="4" fillId="0" borderId="7" xfId="1" applyBorder="1" applyAlignment="1">
      <alignment horizontal="center" vertical="center"/>
    </xf>
    <xf numFmtId="0" fontId="23" fillId="3" borderId="1" xfId="0" applyFont="1" applyFill="1" applyBorder="1" applyAlignment="1">
      <alignment horizontal="center" wrapText="1"/>
    </xf>
    <xf numFmtId="0" fontId="23" fillId="4" borderId="1" xfId="0" applyFont="1" applyFill="1" applyBorder="1" applyAlignment="1">
      <alignment horizontal="center" wrapText="1"/>
    </xf>
    <xf numFmtId="0" fontId="59" fillId="0" borderId="1" xfId="0" applyFont="1" applyBorder="1" applyAlignment="1">
      <alignment horizontal="center"/>
    </xf>
    <xf numFmtId="0" fontId="60" fillId="0" borderId="1" xfId="0" applyFont="1" applyBorder="1" applyAlignment="1">
      <alignment horizontal="center"/>
    </xf>
    <xf numFmtId="0" fontId="21" fillId="0" borderId="18" xfId="0" applyFont="1" applyBorder="1" applyAlignment="1">
      <alignment horizontal="center" vertical="center"/>
    </xf>
    <xf numFmtId="0" fontId="4" fillId="0" borderId="18" xfId="1" applyBorder="1" applyAlignment="1">
      <alignment horizontal="center" vertical="center"/>
    </xf>
    <xf numFmtId="0" fontId="4" fillId="0" borderId="11" xfId="1" applyFill="1" applyBorder="1" applyAlignment="1">
      <alignment horizontal="center" vertical="center"/>
    </xf>
    <xf numFmtId="0" fontId="4" fillId="0" borderId="1" xfId="1" applyBorder="1"/>
    <xf numFmtId="0" fontId="26" fillId="0" borderId="8" xfId="0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16" fillId="3" borderId="1" xfId="0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5" fillId="0" borderId="0" xfId="0" applyFont="1" applyAlignment="1">
      <alignment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0" fillId="6" borderId="1" xfId="0" applyFill="1" applyBorder="1" applyAlignment="1">
      <alignment horizontal="center" vertical="center"/>
    </xf>
    <xf numFmtId="0" fontId="61" fillId="0" borderId="0" xfId="0" applyFont="1" applyAlignment="1">
      <alignment wrapText="1" readingOrder="1"/>
    </xf>
    <xf numFmtId="0" fontId="4" fillId="3" borderId="1" xfId="1" applyFill="1" applyBorder="1" applyAlignment="1">
      <alignment horizontal="center"/>
    </xf>
    <xf numFmtId="0" fontId="63" fillId="0" borderId="1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4" fillId="0" borderId="11" xfId="1" applyFill="1" applyBorder="1" applyAlignment="1">
      <alignment horizontal="center"/>
    </xf>
    <xf numFmtId="0" fontId="30" fillId="0" borderId="6" xfId="1" applyFont="1" applyFill="1" applyBorder="1" applyAlignment="1">
      <alignment horizontal="center"/>
    </xf>
    <xf numFmtId="0" fontId="64" fillId="0" borderId="18" xfId="0" applyFont="1" applyBorder="1" applyAlignment="1">
      <alignment horizontal="right" vertical="center"/>
    </xf>
    <xf numFmtId="0" fontId="64" fillId="0" borderId="18" xfId="0" applyFont="1" applyBorder="1" applyAlignment="1">
      <alignment vertical="center"/>
    </xf>
    <xf numFmtId="0" fontId="29" fillId="0" borderId="1" xfId="0" applyFont="1" applyBorder="1" applyAlignment="1">
      <alignment horizontal="center"/>
    </xf>
    <xf numFmtId="0" fontId="65" fillId="0" borderId="1" xfId="0" applyFont="1" applyBorder="1" applyAlignment="1">
      <alignment horizontal="center"/>
    </xf>
    <xf numFmtId="0" fontId="30" fillId="0" borderId="6" xfId="1" applyFont="1" applyBorder="1" applyAlignment="1">
      <alignment horizontal="center"/>
    </xf>
    <xf numFmtId="0" fontId="30" fillId="0" borderId="6" xfId="1" applyFont="1" applyFill="1" applyBorder="1" applyAlignment="1">
      <alignment horizontal="center" vertical="center"/>
    </xf>
    <xf numFmtId="0" fontId="30" fillId="0" borderId="6" xfId="1" applyFont="1" applyBorder="1" applyAlignment="1">
      <alignment horizontal="center" vertical="center"/>
    </xf>
    <xf numFmtId="0" fontId="24" fillId="0" borderId="1" xfId="1" applyFont="1" applyBorder="1" applyAlignment="1">
      <alignment horizontal="center"/>
    </xf>
    <xf numFmtId="0" fontId="19" fillId="0" borderId="1" xfId="1" applyFont="1" applyBorder="1" applyAlignment="1">
      <alignment horizontal="center"/>
    </xf>
    <xf numFmtId="0" fontId="22" fillId="3" borderId="1" xfId="0" applyFont="1" applyFill="1" applyBorder="1" applyAlignment="1">
      <alignment horizontal="center" wrapText="1"/>
    </xf>
    <xf numFmtId="0" fontId="38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4" fillId="0" borderId="6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/>
    </xf>
    <xf numFmtId="0" fontId="35" fillId="0" borderId="24" xfId="0" applyFont="1" applyBorder="1" applyAlignment="1">
      <alignment horizontal="center"/>
    </xf>
    <xf numFmtId="0" fontId="6" fillId="0" borderId="21" xfId="1" applyFont="1" applyFill="1" applyBorder="1" applyAlignment="1">
      <alignment horizontal="center" vertical="center"/>
    </xf>
    <xf numFmtId="0" fontId="35" fillId="0" borderId="6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/>
    </xf>
    <xf numFmtId="0" fontId="26" fillId="0" borderId="9" xfId="0" applyFont="1" applyBorder="1" applyAlignment="1">
      <alignment horizontal="center" vertical="center"/>
    </xf>
    <xf numFmtId="15" fontId="6" fillId="0" borderId="9" xfId="0" applyNumberFormat="1" applyFont="1" applyBorder="1" applyAlignment="1">
      <alignment horizontal="center"/>
    </xf>
    <xf numFmtId="0" fontId="26" fillId="0" borderId="6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0" fontId="6" fillId="0" borderId="11" xfId="1" applyFont="1" applyFill="1" applyBorder="1" applyAlignment="1">
      <alignment horizontal="center" vertical="center" wrapText="1"/>
    </xf>
    <xf numFmtId="0" fontId="54" fillId="0" borderId="18" xfId="0" applyFont="1" applyBorder="1" applyAlignment="1">
      <alignment horizontal="center" vertical="center"/>
    </xf>
    <xf numFmtId="15" fontId="9" fillId="0" borderId="0" xfId="0" applyNumberFormat="1" applyFont="1"/>
    <xf numFmtId="0" fontId="4" fillId="0" borderId="3" xfId="1" applyBorder="1" applyAlignment="1">
      <alignment horizontal="center"/>
    </xf>
    <xf numFmtId="0" fontId="6" fillId="10" borderId="6" xfId="0" applyFont="1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5" fillId="0" borderId="7" xfId="0" applyFont="1" applyBorder="1" applyAlignment="1">
      <alignment horizontal="center" wrapText="1"/>
    </xf>
    <xf numFmtId="0" fontId="6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/>
    </xf>
    <xf numFmtId="0" fontId="26" fillId="0" borderId="7" xfId="0" applyFont="1" applyBorder="1" applyAlignment="1">
      <alignment horizontal="center"/>
    </xf>
    <xf numFmtId="0" fontId="27" fillId="0" borderId="7" xfId="0" applyFont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26" fillId="0" borderId="11" xfId="1" applyFont="1" applyFill="1" applyBorder="1" applyAlignment="1">
      <alignment horizontal="center"/>
    </xf>
    <xf numFmtId="0" fontId="36" fillId="0" borderId="11" xfId="1" applyFont="1" applyFill="1" applyBorder="1" applyAlignment="1">
      <alignment horizontal="center" vertical="center"/>
    </xf>
    <xf numFmtId="0" fontId="30" fillId="0" borderId="11" xfId="1" applyFont="1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27" fillId="0" borderId="19" xfId="0" applyFont="1" applyBorder="1" applyAlignment="1">
      <alignment horizontal="center" vertical="center"/>
    </xf>
    <xf numFmtId="0" fontId="4" fillId="0" borderId="0" xfId="1" applyFill="1" applyBorder="1" applyAlignment="1">
      <alignment horizontal="center" vertical="center"/>
    </xf>
    <xf numFmtId="0" fontId="34" fillId="0" borderId="0" xfId="0" applyFont="1"/>
    <xf numFmtId="0" fontId="15" fillId="3" borderId="3" xfId="0" applyFont="1" applyFill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16" fillId="3" borderId="3" xfId="0" applyFont="1" applyFill="1" applyBorder="1" applyAlignment="1">
      <alignment horizontal="center"/>
    </xf>
    <xf numFmtId="0" fontId="44" fillId="0" borderId="3" xfId="0" applyFont="1" applyBorder="1" applyAlignment="1">
      <alignment horizontal="center"/>
    </xf>
    <xf numFmtId="0" fontId="5" fillId="0" borderId="0" xfId="0" applyFont="1"/>
    <xf numFmtId="0" fontId="6" fillId="0" borderId="7" xfId="0" applyFont="1" applyBorder="1" applyAlignment="1">
      <alignment horizontal="center" vertical="center" wrapText="1"/>
    </xf>
    <xf numFmtId="0" fontId="7" fillId="0" borderId="11" xfId="1" applyFont="1" applyFill="1" applyBorder="1" applyAlignment="1">
      <alignment horizontal="center" vertical="center"/>
    </xf>
    <xf numFmtId="0" fontId="7" fillId="0" borderId="11" xfId="1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47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34" fillId="3" borderId="1" xfId="0" applyFont="1" applyFill="1" applyBorder="1" applyAlignment="1">
      <alignment horizontal="center"/>
    </xf>
    <xf numFmtId="0" fontId="66" fillId="3" borderId="6" xfId="0" applyFont="1" applyFill="1" applyBorder="1" applyAlignment="1">
      <alignment horizontal="center"/>
    </xf>
    <xf numFmtId="0" fontId="66" fillId="0" borderId="6" xfId="0" applyFont="1" applyBorder="1" applyAlignment="1">
      <alignment horizontal="center" wrapText="1"/>
    </xf>
    <xf numFmtId="0" fontId="66" fillId="0" borderId="6" xfId="0" applyFont="1" applyBorder="1" applyAlignment="1">
      <alignment horizontal="center"/>
    </xf>
    <xf numFmtId="0" fontId="7" fillId="0" borderId="6" xfId="1" applyFont="1" applyBorder="1" applyAlignment="1">
      <alignment horizontal="center"/>
    </xf>
    <xf numFmtId="0" fontId="67" fillId="0" borderId="6" xfId="0" applyFont="1" applyBorder="1" applyAlignment="1">
      <alignment horizontal="center"/>
    </xf>
    <xf numFmtId="0" fontId="7" fillId="0" borderId="6" xfId="1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4" fillId="0" borderId="26" xfId="1" applyBorder="1" applyAlignment="1">
      <alignment horizontal="center" vertical="center"/>
    </xf>
    <xf numFmtId="0" fontId="4" fillId="0" borderId="27" xfId="1" applyBorder="1" applyAlignment="1">
      <alignment horizontal="center" vertical="center"/>
    </xf>
    <xf numFmtId="15" fontId="0" fillId="0" borderId="0" xfId="0" applyNumberFormat="1"/>
    <xf numFmtId="0" fontId="68" fillId="0" borderId="0" xfId="0" applyFont="1"/>
    <xf numFmtId="0" fontId="21" fillId="0" borderId="9" xfId="0" applyFont="1" applyBorder="1" applyAlignment="1">
      <alignment horizontal="center"/>
    </xf>
    <xf numFmtId="0" fontId="69" fillId="3" borderId="1" xfId="0" applyFont="1" applyFill="1" applyBorder="1" applyAlignment="1">
      <alignment horizontal="center"/>
    </xf>
    <xf numFmtId="0" fontId="70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3" fontId="0" fillId="0" borderId="6" xfId="0" applyNumberFormat="1" applyBorder="1" applyAlignment="1">
      <alignment horizontal="center"/>
    </xf>
    <xf numFmtId="0" fontId="71" fillId="0" borderId="1" xfId="0" applyFont="1" applyBorder="1" applyAlignment="1">
      <alignment horizontal="center"/>
    </xf>
    <xf numFmtId="0" fontId="25" fillId="0" borderId="0" xfId="0" applyFont="1"/>
    <xf numFmtId="0" fontId="72" fillId="0" borderId="0" xfId="0" applyFont="1"/>
    <xf numFmtId="0" fontId="4" fillId="0" borderId="13" xfId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73" fillId="0" borderId="6" xfId="0" applyFont="1" applyBorder="1" applyAlignment="1">
      <alignment horizontal="center"/>
    </xf>
    <xf numFmtId="0" fontId="74" fillId="0" borderId="6" xfId="0" applyFont="1" applyBorder="1" applyAlignment="1">
      <alignment horizontal="center"/>
    </xf>
    <xf numFmtId="0" fontId="0" fillId="0" borderId="9" xfId="0" applyBorder="1"/>
    <xf numFmtId="15" fontId="0" fillId="0" borderId="9" xfId="0" applyNumberFormat="1" applyBorder="1"/>
    <xf numFmtId="0" fontId="0" fillId="0" borderId="6" xfId="0" applyBorder="1"/>
    <xf numFmtId="15" fontId="0" fillId="0" borderId="6" xfId="0" applyNumberFormat="1" applyBorder="1"/>
    <xf numFmtId="0" fontId="0" fillId="0" borderId="8" xfId="0" applyBorder="1"/>
    <xf numFmtId="15" fontId="0" fillId="0" borderId="8" xfId="0" applyNumberFormat="1" applyBorder="1"/>
    <xf numFmtId="14" fontId="0" fillId="0" borderId="1" xfId="0" applyNumberFormat="1" applyBorder="1" applyAlignment="1">
      <alignment horizontal="center"/>
    </xf>
    <xf numFmtId="0" fontId="4" fillId="0" borderId="1" xfId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75" fillId="3" borderId="1" xfId="0" applyFont="1" applyFill="1" applyBorder="1" applyAlignment="1">
      <alignment horizontal="center" wrapText="1"/>
    </xf>
    <xf numFmtId="0" fontId="24" fillId="0" borderId="0" xfId="0" applyFont="1"/>
    <xf numFmtId="0" fontId="16" fillId="0" borderId="1" xfId="0" applyFont="1" applyBorder="1" applyAlignment="1">
      <alignment horizontal="center" wrapText="1"/>
    </xf>
    <xf numFmtId="0" fontId="19" fillId="3" borderId="1" xfId="1" applyFont="1" applyFill="1" applyBorder="1"/>
    <xf numFmtId="0" fontId="16" fillId="3" borderId="1" xfId="0" applyFont="1" applyFill="1" applyBorder="1"/>
    <xf numFmtId="0" fontId="16" fillId="0" borderId="1" xfId="0" applyFont="1" applyBorder="1"/>
    <xf numFmtId="0" fontId="16" fillId="0" borderId="3" xfId="0" applyFont="1" applyBorder="1" applyAlignment="1">
      <alignment horizontal="center" wrapText="1"/>
    </xf>
    <xf numFmtId="0" fontId="17" fillId="0" borderId="3" xfId="0" applyFont="1" applyBorder="1" applyAlignment="1">
      <alignment horizontal="center"/>
    </xf>
    <xf numFmtId="0" fontId="43" fillId="0" borderId="3" xfId="0" applyFont="1" applyBorder="1" applyAlignment="1">
      <alignment horizontal="center"/>
    </xf>
    <xf numFmtId="0" fontId="17" fillId="0" borderId="0" xfId="0" applyFont="1"/>
    <xf numFmtId="0" fontId="16" fillId="0" borderId="0" xfId="0" applyFont="1"/>
    <xf numFmtId="0" fontId="39" fillId="0" borderId="1" xfId="0" applyFont="1" applyBorder="1" applyAlignment="1">
      <alignment horizontal="center"/>
    </xf>
    <xf numFmtId="0" fontId="76" fillId="0" borderId="1" xfId="0" applyFont="1" applyBorder="1" applyAlignment="1">
      <alignment horizontal="center"/>
    </xf>
    <xf numFmtId="0" fontId="22" fillId="3" borderId="3" xfId="0" applyFont="1" applyFill="1" applyBorder="1" applyAlignment="1">
      <alignment horizontal="center" wrapText="1"/>
    </xf>
    <xf numFmtId="0" fontId="26" fillId="4" borderId="6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0" fillId="6" borderId="4" xfId="0" applyFill="1" applyBorder="1" applyAlignment="1">
      <alignment horizontal="center" vertical="center" wrapText="1"/>
    </xf>
    <xf numFmtId="0" fontId="77" fillId="0" borderId="1" xfId="0" applyFont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6" fillId="11" borderId="6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35" fillId="5" borderId="6" xfId="0" applyFont="1" applyFill="1" applyBorder="1" applyAlignment="1">
      <alignment horizontal="center"/>
    </xf>
    <xf numFmtId="0" fontId="29" fillId="5" borderId="18" xfId="0" applyFont="1" applyFill="1" applyBorder="1" applyAlignment="1">
      <alignment horizontal="center" vertical="center"/>
    </xf>
    <xf numFmtId="0" fontId="62" fillId="5" borderId="6" xfId="1" applyFont="1" applyFill="1" applyBorder="1" applyAlignment="1">
      <alignment horizontal="center"/>
    </xf>
    <xf numFmtId="15" fontId="0" fillId="5" borderId="6" xfId="0" applyNumberFormat="1" applyFill="1" applyBorder="1" applyAlignment="1">
      <alignment horizontal="center"/>
    </xf>
    <xf numFmtId="0" fontId="78" fillId="3" borderId="1" xfId="0" applyFont="1" applyFill="1" applyBorder="1" applyAlignment="1">
      <alignment horizontal="center"/>
    </xf>
    <xf numFmtId="0" fontId="79" fillId="4" borderId="12" xfId="0" applyFont="1" applyFill="1" applyBorder="1" applyAlignment="1">
      <alignment horizontal="center" wrapText="1"/>
    </xf>
    <xf numFmtId="0" fontId="80" fillId="3" borderId="2" xfId="0" applyFont="1" applyFill="1" applyBorder="1" applyAlignment="1">
      <alignment horizontal="center"/>
    </xf>
    <xf numFmtId="0" fontId="79" fillId="4" borderId="1" xfId="0" applyFont="1" applyFill="1" applyBorder="1" applyAlignment="1">
      <alignment horizontal="center" wrapText="1"/>
    </xf>
    <xf numFmtId="0" fontId="81" fillId="0" borderId="1" xfId="0" applyFont="1" applyBorder="1" applyAlignment="1">
      <alignment horizontal="center"/>
    </xf>
    <xf numFmtId="0" fontId="82" fillId="0" borderId="1" xfId="0" applyFont="1" applyBorder="1" applyAlignment="1">
      <alignment horizontal="center"/>
    </xf>
    <xf numFmtId="0" fontId="80" fillId="0" borderId="1" xfId="0" applyFont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24" fillId="0" borderId="9" xfId="0" applyFont="1" applyBorder="1" applyAlignment="1">
      <alignment horizontal="center"/>
    </xf>
    <xf numFmtId="0" fontId="11" fillId="3" borderId="24" xfId="0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wrapText="1"/>
    </xf>
    <xf numFmtId="0" fontId="26" fillId="4" borderId="9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78" fillId="3" borderId="4" xfId="0" applyFont="1" applyFill="1" applyBorder="1" applyAlignment="1">
      <alignment horizontal="center"/>
    </xf>
    <xf numFmtId="0" fontId="79" fillId="4" borderId="28" xfId="0" applyFont="1" applyFill="1" applyBorder="1" applyAlignment="1">
      <alignment horizontal="center" wrapText="1"/>
    </xf>
    <xf numFmtId="0" fontId="80" fillId="3" borderId="5" xfId="0" applyFont="1" applyFill="1" applyBorder="1" applyAlignment="1">
      <alignment horizontal="center"/>
    </xf>
    <xf numFmtId="0" fontId="79" fillId="4" borderId="4" xfId="0" applyFont="1" applyFill="1" applyBorder="1" applyAlignment="1">
      <alignment horizontal="center" wrapText="1"/>
    </xf>
    <xf numFmtId="0" fontId="81" fillId="0" borderId="4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 wrapText="1"/>
    </xf>
    <xf numFmtId="0" fontId="4" fillId="0" borderId="6" xfId="1" applyBorder="1" applyAlignment="1">
      <alignment horizontal="center" vertical="center" wrapText="1"/>
    </xf>
    <xf numFmtId="0" fontId="4" fillId="0" borderId="6" xfId="1" applyFill="1" applyBorder="1" applyAlignment="1">
      <alignment horizontal="center" vertical="center" wrapText="1"/>
    </xf>
    <xf numFmtId="0" fontId="5" fillId="0" borderId="6" xfId="0" applyFont="1" applyBorder="1"/>
    <xf numFmtId="0" fontId="15" fillId="3" borderId="0" xfId="0" applyFont="1" applyFill="1" applyAlignment="1">
      <alignment horizontal="center"/>
    </xf>
    <xf numFmtId="0" fontId="6" fillId="0" borderId="3" xfId="0" applyFont="1" applyBorder="1" applyAlignment="1">
      <alignment horizontal="center"/>
    </xf>
    <xf numFmtId="0" fontId="21" fillId="0" borderId="3" xfId="0" applyFont="1" applyBorder="1" applyAlignment="1">
      <alignment horizontal="center" vertical="center"/>
    </xf>
    <xf numFmtId="0" fontId="4" fillId="0" borderId="3" xfId="1" applyBorder="1" applyAlignment="1">
      <alignment horizontal="center" vertical="center"/>
    </xf>
    <xf numFmtId="0" fontId="76" fillId="0" borderId="3" xfId="0" applyFont="1" applyBorder="1" applyAlignment="1">
      <alignment horizontal="center"/>
    </xf>
    <xf numFmtId="0" fontId="7" fillId="0" borderId="8" xfId="1" applyFont="1" applyBorder="1" applyAlignment="1">
      <alignment horizontal="center"/>
    </xf>
    <xf numFmtId="15" fontId="6" fillId="0" borderId="8" xfId="0" applyNumberFormat="1" applyFont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23" fillId="3" borderId="4" xfId="0" applyFont="1" applyFill="1" applyBorder="1" applyAlignment="1">
      <alignment horizontal="center" wrapText="1"/>
    </xf>
    <xf numFmtId="15" fontId="0" fillId="0" borderId="4" xfId="0" applyNumberForma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80" fillId="0" borderId="4" xfId="0" applyFont="1" applyBorder="1" applyAlignment="1">
      <alignment horizontal="center"/>
    </xf>
    <xf numFmtId="0" fontId="82" fillId="0" borderId="4" xfId="0" applyFont="1" applyBorder="1" applyAlignment="1">
      <alignment horizontal="center"/>
    </xf>
    <xf numFmtId="0" fontId="4" fillId="0" borderId="9" xfId="1" applyBorder="1"/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28" fillId="3" borderId="4" xfId="0" applyFont="1" applyFill="1" applyBorder="1" applyAlignment="1">
      <alignment horizontal="center"/>
    </xf>
    <xf numFmtId="0" fontId="73" fillId="0" borderId="9" xfId="0" applyFont="1" applyBorder="1" applyAlignment="1">
      <alignment horizontal="center"/>
    </xf>
    <xf numFmtId="0" fontId="28" fillId="3" borderId="1" xfId="0" applyFont="1" applyFill="1" applyBorder="1" applyAlignment="1">
      <alignment horizontal="center"/>
    </xf>
    <xf numFmtId="15" fontId="24" fillId="0" borderId="9" xfId="0" applyNumberFormat="1" applyFont="1" applyBorder="1" applyAlignment="1">
      <alignment horizontal="center"/>
    </xf>
    <xf numFmtId="15" fontId="24" fillId="0" borderId="6" xfId="0" applyNumberFormat="1" applyFont="1" applyBorder="1" applyAlignment="1">
      <alignment horizontal="center"/>
    </xf>
    <xf numFmtId="0" fontId="84" fillId="0" borderId="1" xfId="0" applyFont="1" applyBorder="1" applyAlignment="1">
      <alignment horizontal="center"/>
    </xf>
    <xf numFmtId="0" fontId="88" fillId="4" borderId="1" xfId="0" applyFont="1" applyFill="1" applyBorder="1" applyAlignment="1">
      <alignment horizontal="center" readingOrder="1"/>
    </xf>
    <xf numFmtId="0" fontId="92" fillId="0" borderId="1" xfId="0" applyFont="1" applyBorder="1" applyAlignment="1">
      <alignment horizontal="center"/>
    </xf>
    <xf numFmtId="0" fontId="88" fillId="0" borderId="1" xfId="0" applyFont="1" applyBorder="1" applyAlignment="1">
      <alignment horizontal="center"/>
    </xf>
    <xf numFmtId="9" fontId="92" fillId="0" borderId="1" xfId="0" applyNumberFormat="1" applyFont="1" applyBorder="1" applyAlignment="1">
      <alignment horizontal="center"/>
    </xf>
    <xf numFmtId="3" fontId="84" fillId="0" borderId="1" xfId="0" applyNumberFormat="1" applyFont="1" applyBorder="1" applyAlignment="1">
      <alignment horizontal="center"/>
    </xf>
    <xf numFmtId="0" fontId="85" fillId="0" borderId="1" xfId="0" applyFont="1" applyBorder="1" applyAlignment="1">
      <alignment horizontal="center"/>
    </xf>
    <xf numFmtId="0" fontId="84" fillId="9" borderId="1" xfId="0" applyFont="1" applyFill="1" applyBorder="1" applyAlignment="1">
      <alignment horizontal="center"/>
    </xf>
    <xf numFmtId="0" fontId="86" fillId="0" borderId="1" xfId="1" applyFont="1" applyBorder="1" applyAlignment="1">
      <alignment horizontal="center"/>
    </xf>
    <xf numFmtId="0" fontId="98" fillId="0" borderId="1" xfId="0" applyFont="1" applyBorder="1" applyAlignment="1">
      <alignment horizontal="center"/>
    </xf>
    <xf numFmtId="0" fontId="84" fillId="0" borderId="1" xfId="1" applyFont="1" applyBorder="1" applyAlignment="1">
      <alignment horizontal="center"/>
    </xf>
    <xf numFmtId="0" fontId="95" fillId="0" borderId="1" xfId="0" applyFont="1" applyBorder="1" applyAlignment="1">
      <alignment horizontal="center"/>
    </xf>
    <xf numFmtId="0" fontId="98" fillId="0" borderId="1" xfId="0" applyFont="1" applyBorder="1" applyAlignment="1">
      <alignment horizontal="center" wrapText="1"/>
    </xf>
    <xf numFmtId="0" fontId="100" fillId="0" borderId="1" xfId="1" applyFont="1" applyBorder="1" applyAlignment="1">
      <alignment horizontal="center"/>
    </xf>
    <xf numFmtId="0" fontId="101" fillId="0" borderId="1" xfId="0" applyFont="1" applyBorder="1" applyAlignment="1">
      <alignment horizontal="center"/>
    </xf>
    <xf numFmtId="0" fontId="84" fillId="0" borderId="1" xfId="1" applyFont="1" applyFill="1" applyBorder="1" applyAlignment="1">
      <alignment horizontal="center"/>
    </xf>
    <xf numFmtId="9" fontId="84" fillId="0" borderId="1" xfId="0" applyNumberFormat="1" applyFont="1" applyBorder="1" applyAlignment="1">
      <alignment horizontal="center"/>
    </xf>
    <xf numFmtId="0" fontId="85" fillId="8" borderId="1" xfId="0" applyFont="1" applyFill="1" applyBorder="1" applyAlignment="1">
      <alignment horizontal="center"/>
    </xf>
    <xf numFmtId="0" fontId="98" fillId="3" borderId="1" xfId="0" applyFont="1" applyFill="1" applyBorder="1" applyAlignment="1">
      <alignment horizontal="center" wrapText="1"/>
    </xf>
    <xf numFmtId="15" fontId="84" fillId="0" borderId="1" xfId="0" applyNumberFormat="1" applyFont="1" applyBorder="1" applyAlignment="1">
      <alignment horizontal="center"/>
    </xf>
    <xf numFmtId="0" fontId="84" fillId="0" borderId="1" xfId="1" applyFont="1" applyFill="1" applyBorder="1" applyAlignment="1">
      <alignment horizontal="center" wrapText="1"/>
    </xf>
    <xf numFmtId="0" fontId="102" fillId="0" borderId="1" xfId="0" applyFont="1" applyBorder="1" applyAlignment="1">
      <alignment horizontal="center"/>
    </xf>
    <xf numFmtId="0" fontId="103" fillId="0" borderId="1" xfId="0" applyFont="1" applyBorder="1" applyAlignment="1">
      <alignment horizontal="center" vertical="center"/>
    </xf>
    <xf numFmtId="0" fontId="103" fillId="0" borderId="1" xfId="1" applyFont="1" applyBorder="1" applyAlignment="1">
      <alignment horizontal="center"/>
    </xf>
    <xf numFmtId="0" fontId="86" fillId="0" borderId="1" xfId="1" applyFont="1" applyFill="1" applyBorder="1" applyAlignment="1">
      <alignment horizontal="center"/>
    </xf>
    <xf numFmtId="0" fontId="85" fillId="0" borderId="1" xfId="1" applyFont="1" applyFill="1" applyBorder="1" applyAlignment="1">
      <alignment horizontal="center"/>
    </xf>
    <xf numFmtId="0" fontId="85" fillId="4" borderId="1" xfId="0" applyFont="1" applyFill="1" applyBorder="1" applyAlignment="1">
      <alignment horizontal="center" vertical="center"/>
    </xf>
    <xf numFmtId="0" fontId="85" fillId="0" borderId="1" xfId="1" applyFont="1" applyBorder="1" applyAlignment="1">
      <alignment horizontal="center"/>
    </xf>
    <xf numFmtId="0" fontId="85" fillId="0" borderId="1" xfId="0" applyFont="1" applyBorder="1" applyAlignment="1">
      <alignment horizontal="center" vertical="top"/>
    </xf>
    <xf numFmtId="0" fontId="87" fillId="0" borderId="1" xfId="0" applyFont="1" applyBorder="1" applyAlignment="1">
      <alignment horizontal="center"/>
    </xf>
    <xf numFmtId="0" fontId="89" fillId="4" borderId="1" xfId="0" applyFont="1" applyFill="1" applyBorder="1" applyAlignment="1">
      <alignment horizontal="center" readingOrder="1"/>
    </xf>
    <xf numFmtId="0" fontId="90" fillId="4" borderId="1" xfId="1" applyFont="1" applyFill="1" applyBorder="1" applyAlignment="1">
      <alignment horizontal="center"/>
    </xf>
    <xf numFmtId="0" fontId="91" fillId="0" borderId="1" xfId="0" applyFont="1" applyBorder="1" applyAlignment="1">
      <alignment horizontal="center"/>
    </xf>
    <xf numFmtId="0" fontId="93" fillId="0" borderId="1" xfId="1" applyFont="1" applyBorder="1" applyAlignment="1">
      <alignment horizontal="center"/>
    </xf>
    <xf numFmtId="0" fontId="94" fillId="0" borderId="1" xfId="0" applyFont="1" applyBorder="1" applyAlignment="1">
      <alignment horizontal="center"/>
    </xf>
    <xf numFmtId="0" fontId="86" fillId="0" borderId="1" xfId="1" applyFont="1" applyBorder="1" applyAlignment="1">
      <alignment horizontal="center" vertical="center"/>
    </xf>
    <xf numFmtId="0" fontId="85" fillId="9" borderId="1" xfId="0" applyFont="1" applyFill="1" applyBorder="1" applyAlignment="1">
      <alignment horizontal="center"/>
    </xf>
    <xf numFmtId="0" fontId="86" fillId="9" borderId="1" xfId="1" applyFont="1" applyFill="1" applyBorder="1" applyAlignment="1">
      <alignment horizontal="center" vertical="center"/>
    </xf>
    <xf numFmtId="0" fontId="96" fillId="9" borderId="1" xfId="0" applyFont="1" applyFill="1" applyBorder="1" applyAlignment="1">
      <alignment horizontal="center"/>
    </xf>
    <xf numFmtId="0" fontId="96" fillId="4" borderId="1" xfId="0" applyFont="1" applyFill="1" applyBorder="1" applyAlignment="1">
      <alignment horizontal="center"/>
    </xf>
    <xf numFmtId="0" fontId="86" fillId="9" borderId="1" xfId="1" applyFont="1" applyFill="1" applyBorder="1" applyAlignment="1">
      <alignment horizontal="center"/>
    </xf>
    <xf numFmtId="0" fontId="89" fillId="9" borderId="1" xfId="0" applyFont="1" applyFill="1" applyBorder="1" applyAlignment="1">
      <alignment horizontal="center" wrapText="1"/>
    </xf>
    <xf numFmtId="0" fontId="92" fillId="9" borderId="1" xfId="0" applyFont="1" applyFill="1" applyBorder="1" applyAlignment="1">
      <alignment horizontal="center"/>
    </xf>
    <xf numFmtId="0" fontId="97" fillId="9" borderId="1" xfId="0" applyFont="1" applyFill="1" applyBorder="1" applyAlignment="1">
      <alignment horizontal="center"/>
    </xf>
    <xf numFmtId="0" fontId="99" fillId="0" borderId="1" xfId="1" applyFont="1" applyBorder="1" applyAlignment="1">
      <alignment horizontal="center"/>
    </xf>
    <xf numFmtId="0" fontId="84" fillId="4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top"/>
    </xf>
    <xf numFmtId="0" fontId="5" fillId="0" borderId="8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0" fontId="6" fillId="0" borderId="13" xfId="1" applyFont="1" applyBorder="1" applyAlignment="1">
      <alignment horizontal="center"/>
    </xf>
    <xf numFmtId="0" fontId="4" fillId="0" borderId="8" xfId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6" fillId="0" borderId="13" xfId="1" applyFont="1" applyFill="1" applyBorder="1" applyAlignment="1">
      <alignment horizontal="center"/>
    </xf>
    <xf numFmtId="0" fontId="6" fillId="0" borderId="13" xfId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2" fillId="3" borderId="14" xfId="0" applyFont="1" applyFill="1" applyBorder="1" applyAlignment="1">
      <alignment horizontal="center" wrapText="1"/>
    </xf>
    <xf numFmtId="0" fontId="21" fillId="0" borderId="8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23" fillId="0" borderId="8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0" fillId="0" borderId="3" xfId="0" applyBorder="1"/>
    <xf numFmtId="0" fontId="6" fillId="0" borderId="13" xfId="1" applyFont="1" applyBorder="1" applyAlignment="1">
      <alignment horizontal="center" vertical="center"/>
    </xf>
    <xf numFmtId="0" fontId="18" fillId="0" borderId="8" xfId="0" applyFont="1" applyBorder="1" applyAlignment="1">
      <alignment horizontal="center"/>
    </xf>
    <xf numFmtId="0" fontId="39" fillId="4" borderId="8" xfId="0" applyFont="1" applyFill="1" applyBorder="1" applyAlignment="1">
      <alignment horizontal="center" vertical="center" wrapText="1"/>
    </xf>
    <xf numFmtId="0" fontId="39" fillId="4" borderId="19" xfId="0" applyFont="1" applyFill="1" applyBorder="1" applyAlignment="1">
      <alignment horizontal="center" vertical="center" wrapText="1"/>
    </xf>
    <xf numFmtId="0" fontId="4" fillId="4" borderId="0" xfId="1" applyFill="1" applyBorder="1" applyAlignment="1">
      <alignment horizontal="center" vertical="center" wrapText="1"/>
    </xf>
    <xf numFmtId="0" fontId="23" fillId="3" borderId="8" xfId="0" applyFont="1" applyFill="1" applyBorder="1" applyAlignment="1">
      <alignment horizontal="center" wrapText="1"/>
    </xf>
    <xf numFmtId="0" fontId="22" fillId="3" borderId="8" xfId="0" applyFont="1" applyFill="1" applyBorder="1" applyAlignment="1">
      <alignment horizontal="center" wrapText="1"/>
    </xf>
    <xf numFmtId="0" fontId="38" fillId="0" borderId="15" xfId="0" applyFont="1" applyBorder="1" applyAlignment="1">
      <alignment horizontal="center"/>
    </xf>
    <xf numFmtId="0" fontId="51" fillId="3" borderId="8" xfId="0" applyFont="1" applyFill="1" applyBorder="1" applyAlignment="1">
      <alignment horizontal="center" wrapText="1"/>
    </xf>
    <xf numFmtId="0" fontId="34" fillId="0" borderId="15" xfId="0" applyFont="1" applyBorder="1" applyAlignment="1">
      <alignment horizontal="center"/>
    </xf>
    <xf numFmtId="0" fontId="21" fillId="4" borderId="8" xfId="0" applyFont="1" applyFill="1" applyBorder="1" applyAlignment="1">
      <alignment horizontal="center" vertical="center" wrapText="1"/>
    </xf>
    <xf numFmtId="0" fontId="24" fillId="0" borderId="3" xfId="0" applyFont="1" applyBorder="1" applyAlignment="1">
      <alignment horizontal="center"/>
    </xf>
    <xf numFmtId="0" fontId="58" fillId="0" borderId="3" xfId="0" applyFont="1" applyBorder="1" applyAlignment="1">
      <alignment horizontal="center"/>
    </xf>
    <xf numFmtId="0" fontId="27" fillId="0" borderId="3" xfId="0" applyFont="1" applyBorder="1" applyAlignment="1">
      <alignment horizontal="center" vertical="center"/>
    </xf>
    <xf numFmtId="0" fontId="4" fillId="0" borderId="17" xfId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27" fillId="0" borderId="8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23" fillId="3" borderId="3" xfId="0" applyFont="1" applyFill="1" applyBorder="1" applyAlignment="1">
      <alignment horizontal="center" wrapText="1"/>
    </xf>
    <xf numFmtId="0" fontId="4" fillId="0" borderId="19" xfId="1" applyBorder="1" applyAlignment="1">
      <alignment horizontal="center" vertical="center"/>
    </xf>
    <xf numFmtId="0" fontId="38" fillId="0" borderId="3" xfId="0" applyFont="1" applyBorder="1" applyAlignment="1">
      <alignment horizontal="center"/>
    </xf>
    <xf numFmtId="0" fontId="21" fillId="0" borderId="29" xfId="0" applyFont="1" applyBorder="1" applyAlignment="1">
      <alignment horizontal="center" vertical="center"/>
    </xf>
    <xf numFmtId="0" fontId="4" fillId="0" borderId="29" xfId="1" applyBorder="1" applyAlignment="1">
      <alignment horizontal="center" vertical="center"/>
    </xf>
    <xf numFmtId="0" fontId="21" fillId="0" borderId="29" xfId="0" applyFont="1" applyBorder="1" applyAlignment="1">
      <alignment horizontal="right" vertical="center"/>
    </xf>
    <xf numFmtId="0" fontId="26" fillId="0" borderId="8" xfId="0" applyFont="1" applyBorder="1" applyAlignment="1">
      <alignment horizontal="center" vertical="center" wrapText="1"/>
    </xf>
    <xf numFmtId="0" fontId="30" fillId="0" borderId="8" xfId="1" applyFont="1" applyFill="1" applyBorder="1" applyAlignment="1">
      <alignment horizontal="center" vertical="center"/>
    </xf>
    <xf numFmtId="0" fontId="28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6" fillId="0" borderId="21" xfId="1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6" fillId="3" borderId="21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4" fillId="0" borderId="24" xfId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5" fillId="4" borderId="24" xfId="0" applyFont="1" applyFill="1" applyBorder="1" applyAlignment="1">
      <alignment horizontal="center" vertical="center"/>
    </xf>
    <xf numFmtId="0" fontId="6" fillId="4" borderId="21" xfId="1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20" fillId="0" borderId="28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16" fillId="3" borderId="9" xfId="0" applyFont="1" applyFill="1" applyBorder="1" applyAlignment="1">
      <alignment horizontal="center"/>
    </xf>
    <xf numFmtId="0" fontId="18" fillId="7" borderId="28" xfId="0" applyFont="1" applyFill="1" applyBorder="1" applyAlignment="1">
      <alignment horizontal="center"/>
    </xf>
    <xf numFmtId="0" fontId="18" fillId="7" borderId="4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4" fillId="0" borderId="5" xfId="1" applyBorder="1" applyAlignment="1">
      <alignment horizontal="center"/>
    </xf>
    <xf numFmtId="0" fontId="0" fillId="0" borderId="28" xfId="0" applyBorder="1" applyAlignment="1">
      <alignment horizontal="center"/>
    </xf>
    <xf numFmtId="0" fontId="21" fillId="0" borderId="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1" fillId="4" borderId="24" xfId="0" applyFont="1" applyFill="1" applyBorder="1" applyAlignment="1">
      <alignment horizontal="center" vertical="center"/>
    </xf>
    <xf numFmtId="0" fontId="4" fillId="0" borderId="21" xfId="1" applyBorder="1" applyAlignment="1">
      <alignment horizontal="center" vertical="center"/>
    </xf>
    <xf numFmtId="0" fontId="21" fillId="4" borderId="9" xfId="0" applyFont="1" applyFill="1" applyBorder="1" applyAlignment="1">
      <alignment horizontal="center" vertical="center"/>
    </xf>
    <xf numFmtId="0" fontId="21" fillId="0" borderId="5" xfId="0" applyFont="1" applyBorder="1" applyAlignment="1">
      <alignment horizontal="center"/>
    </xf>
    <xf numFmtId="0" fontId="24" fillId="0" borderId="28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0" fillId="0" borderId="4" xfId="0" applyBorder="1"/>
    <xf numFmtId="0" fontId="27" fillId="0" borderId="9" xfId="0" applyFont="1" applyBorder="1" applyAlignment="1">
      <alignment horizontal="center" vertical="center"/>
    </xf>
    <xf numFmtId="0" fontId="27" fillId="0" borderId="24" xfId="0" applyFont="1" applyBorder="1" applyAlignment="1">
      <alignment horizontal="center" vertical="center"/>
    </xf>
    <xf numFmtId="0" fontId="4" fillId="0" borderId="21" xfId="1" applyFill="1" applyBorder="1" applyAlignment="1">
      <alignment horizontal="center" vertical="center"/>
    </xf>
    <xf numFmtId="0" fontId="39" fillId="4" borderId="9" xfId="0" applyFont="1" applyFill="1" applyBorder="1" applyAlignment="1">
      <alignment horizontal="center" vertical="center" wrapText="1"/>
    </xf>
    <xf numFmtId="0" fontId="0" fillId="0" borderId="30" xfId="0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26" fillId="0" borderId="9" xfId="0" applyFont="1" applyBorder="1" applyAlignment="1">
      <alignment horizontal="center"/>
    </xf>
    <xf numFmtId="0" fontId="26" fillId="0" borderId="24" xfId="0" applyFont="1" applyBorder="1" applyAlignment="1">
      <alignment horizontal="center"/>
    </xf>
    <xf numFmtId="0" fontId="26" fillId="0" borderId="21" xfId="1" applyFont="1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23" fillId="3" borderId="9" xfId="0" applyFont="1" applyFill="1" applyBorder="1" applyAlignment="1">
      <alignment horizontal="center" wrapText="1"/>
    </xf>
    <xf numFmtId="0" fontId="21" fillId="0" borderId="28" xfId="0" applyFont="1" applyBorder="1" applyAlignment="1">
      <alignment horizontal="center"/>
    </xf>
    <xf numFmtId="0" fontId="34" fillId="0" borderId="5" xfId="0" applyFont="1" applyBorder="1" applyAlignment="1">
      <alignment horizontal="center"/>
    </xf>
    <xf numFmtId="0" fontId="22" fillId="3" borderId="9" xfId="0" applyFont="1" applyFill="1" applyBorder="1" applyAlignment="1">
      <alignment horizontal="center" wrapText="1"/>
    </xf>
    <xf numFmtId="0" fontId="38" fillId="0" borderId="5" xfId="0" applyFont="1" applyBorder="1" applyAlignment="1">
      <alignment horizontal="center"/>
    </xf>
    <xf numFmtId="0" fontId="26" fillId="0" borderId="24" xfId="0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/>
    </xf>
    <xf numFmtId="0" fontId="21" fillId="4" borderId="9" xfId="0" applyFont="1" applyFill="1" applyBorder="1" applyAlignment="1">
      <alignment horizontal="center" vertical="center" wrapText="1"/>
    </xf>
    <xf numFmtId="0" fontId="4" fillId="0" borderId="9" xfId="1" applyBorder="1" applyAlignment="1">
      <alignment horizontal="center" vertical="center"/>
    </xf>
    <xf numFmtId="0" fontId="53" fillId="0" borderId="9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34" fillId="0" borderId="4" xfId="0" applyFont="1" applyBorder="1" applyAlignment="1">
      <alignment horizontal="center"/>
    </xf>
    <xf numFmtId="0" fontId="22" fillId="3" borderId="4" xfId="0" applyFont="1" applyFill="1" applyBorder="1" applyAlignment="1">
      <alignment horizontal="center" wrapText="1"/>
    </xf>
    <xf numFmtId="0" fontId="38" fillId="0" borderId="4" xfId="0" applyFont="1" applyBorder="1" applyAlignment="1">
      <alignment horizontal="center"/>
    </xf>
    <xf numFmtId="0" fontId="50" fillId="0" borderId="4" xfId="0" applyFont="1" applyBorder="1" applyAlignment="1">
      <alignment horizontal="center"/>
    </xf>
    <xf numFmtId="0" fontId="15" fillId="3" borderId="4" xfId="0" applyFont="1" applyFill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3" borderId="4" xfId="0" applyFont="1" applyFill="1" applyBorder="1" applyAlignment="1">
      <alignment horizontal="center"/>
    </xf>
    <xf numFmtId="0" fontId="17" fillId="3" borderId="4" xfId="0" applyFont="1" applyFill="1" applyBorder="1" applyAlignment="1">
      <alignment horizontal="center"/>
    </xf>
    <xf numFmtId="0" fontId="43" fillId="0" borderId="4" xfId="0" applyFont="1" applyBorder="1" applyAlignment="1">
      <alignment horizontal="center"/>
    </xf>
    <xf numFmtId="0" fontId="16" fillId="0" borderId="4" xfId="0" applyFont="1" applyBorder="1" applyAlignment="1">
      <alignment horizontal="center" wrapText="1"/>
    </xf>
    <xf numFmtId="0" fontId="19" fillId="0" borderId="4" xfId="1" applyFont="1" applyBorder="1" applyAlignment="1">
      <alignment horizontal="center"/>
    </xf>
    <xf numFmtId="0" fontId="46" fillId="0" borderId="4" xfId="0" applyFont="1" applyBorder="1" applyAlignment="1">
      <alignment horizontal="center"/>
    </xf>
    <xf numFmtId="0" fontId="26" fillId="0" borderId="9" xfId="1" applyFont="1" applyFill="1" applyBorder="1" applyAlignment="1">
      <alignment horizontal="center" vertical="center"/>
    </xf>
    <xf numFmtId="0" fontId="4" fillId="0" borderId="4" xfId="1" applyBorder="1" applyAlignment="1">
      <alignment horizontal="center"/>
    </xf>
    <xf numFmtId="0" fontId="4" fillId="0" borderId="9" xfId="1" applyBorder="1" applyAlignment="1">
      <alignment horizontal="center"/>
    </xf>
    <xf numFmtId="0" fontId="4" fillId="0" borderId="6" xfId="1" applyFill="1" applyBorder="1" applyAlignment="1">
      <alignment horizontal="center" vertical="center"/>
    </xf>
    <xf numFmtId="0" fontId="27" fillId="0" borderId="6" xfId="0" applyFont="1" applyBorder="1" applyAlignment="1">
      <alignment horizontal="center" wrapText="1"/>
    </xf>
    <xf numFmtId="0" fontId="4" fillId="0" borderId="6" xfId="1" applyBorder="1" applyAlignment="1">
      <alignment horizontal="center" wrapText="1"/>
    </xf>
    <xf numFmtId="16" fontId="0" fillId="0" borderId="6" xfId="0" applyNumberFormat="1" applyBorder="1" applyAlignment="1">
      <alignment horizontal="center"/>
    </xf>
    <xf numFmtId="0" fontId="104" fillId="0" borderId="6" xfId="0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3" fontId="104" fillId="0" borderId="6" xfId="0" applyNumberFormat="1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/>
    </xf>
    <xf numFmtId="0" fontId="4" fillId="0" borderId="6" xfId="1" applyFill="1" applyBorder="1" applyAlignment="1">
      <alignment horizontal="center"/>
    </xf>
    <xf numFmtId="0" fontId="0" fillId="0" borderId="33" xfId="0" applyBorder="1"/>
    <xf numFmtId="0" fontId="0" fillId="0" borderId="0" xfId="0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15" fontId="0" fillId="0" borderId="0" xfId="0" applyNumberFormat="1" applyAlignment="1">
      <alignment horizontal="center" vertical="center" wrapText="1"/>
    </xf>
    <xf numFmtId="0" fontId="105" fillId="0" borderId="0" xfId="0" applyFont="1" applyAlignment="1">
      <alignment horizontal="center" vertical="center"/>
    </xf>
    <xf numFmtId="0" fontId="4" fillId="0" borderId="8" xfId="1" applyFill="1" applyBorder="1" applyAlignment="1">
      <alignment horizontal="center"/>
    </xf>
    <xf numFmtId="0" fontId="5" fillId="0" borderId="8" xfId="0" applyFont="1" applyBorder="1"/>
    <xf numFmtId="0" fontId="106" fillId="3" borderId="1" xfId="0" applyFont="1" applyFill="1" applyBorder="1" applyAlignment="1">
      <alignment horizontal="center"/>
    </xf>
    <xf numFmtId="0" fontId="108" fillId="0" borderId="1" xfId="0" applyFont="1" applyBorder="1" applyAlignment="1">
      <alignment horizontal="center"/>
    </xf>
    <xf numFmtId="0" fontId="107" fillId="0" borderId="1" xfId="0" applyFont="1" applyBorder="1" applyAlignment="1">
      <alignment horizontal="center"/>
    </xf>
    <xf numFmtId="0" fontId="109" fillId="0" borderId="1" xfId="1" applyFont="1" applyFill="1" applyBorder="1" applyAlignment="1">
      <alignment horizontal="center"/>
    </xf>
    <xf numFmtId="0" fontId="109" fillId="0" borderId="1" xfId="0" applyFont="1" applyBorder="1" applyAlignment="1">
      <alignment horizontal="center"/>
    </xf>
    <xf numFmtId="0" fontId="110" fillId="0" borderId="1" xfId="1" applyFont="1" applyBorder="1" applyAlignment="1">
      <alignment horizontal="center"/>
    </xf>
    <xf numFmtId="0" fontId="0" fillId="0" borderId="1" xfId="1" applyFont="1" applyFill="1" applyBorder="1" applyAlignment="1">
      <alignment horizontal="center"/>
    </xf>
    <xf numFmtId="0" fontId="111" fillId="0" borderId="1" xfId="1" applyFont="1" applyFill="1" applyBorder="1" applyAlignment="1">
      <alignment horizontal="center"/>
    </xf>
    <xf numFmtId="0" fontId="112" fillId="0" borderId="1" xfId="0" applyFont="1" applyBorder="1" applyAlignment="1">
      <alignment horizontal="center"/>
    </xf>
    <xf numFmtId="0" fontId="113" fillId="0" borderId="1" xfId="0" applyFont="1" applyBorder="1" applyAlignment="1">
      <alignment horizontal="center"/>
    </xf>
    <xf numFmtId="0" fontId="111" fillId="0" borderId="1" xfId="1" applyFont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56" fillId="0" borderId="4" xfId="0" applyFont="1" applyBorder="1" applyAlignment="1">
      <alignment horizontal="center"/>
    </xf>
    <xf numFmtId="0" fontId="107" fillId="0" borderId="2" xfId="0" applyFont="1" applyBorder="1" applyAlignment="1">
      <alignment horizontal="center"/>
    </xf>
    <xf numFmtId="0" fontId="114" fillId="0" borderId="1" xfId="0" applyFont="1" applyBorder="1" applyAlignment="1">
      <alignment horizontal="center"/>
    </xf>
    <xf numFmtId="0" fontId="107" fillId="0" borderId="3" xfId="0" applyFont="1" applyBorder="1" applyAlignment="1">
      <alignment horizontal="center"/>
    </xf>
    <xf numFmtId="0" fontId="107" fillId="0" borderId="12" xfId="0" applyFont="1" applyBorder="1" applyAlignment="1">
      <alignment horizontal="center"/>
    </xf>
    <xf numFmtId="0" fontId="115" fillId="0" borderId="1" xfId="1" applyFont="1" applyFill="1" applyBorder="1" applyAlignment="1">
      <alignment horizontal="center"/>
    </xf>
    <xf numFmtId="0" fontId="116" fillId="0" borderId="1" xfId="0" applyFont="1" applyBorder="1" applyAlignment="1">
      <alignment horizontal="center"/>
    </xf>
    <xf numFmtId="0" fontId="111" fillId="0" borderId="1" xfId="0" applyFont="1" applyBorder="1" applyAlignment="1">
      <alignment horizontal="center"/>
    </xf>
    <xf numFmtId="9" fontId="109" fillId="0" borderId="1" xfId="0" applyNumberFormat="1" applyFont="1" applyBorder="1" applyAlignment="1">
      <alignment horizontal="center"/>
    </xf>
    <xf numFmtId="0" fontId="117" fillId="0" borderId="1" xfId="0" applyFont="1" applyBorder="1" applyAlignment="1">
      <alignment horizontal="center"/>
    </xf>
    <xf numFmtId="0" fontId="118" fillId="0" borderId="1" xfId="0" applyFont="1" applyBorder="1" applyAlignment="1">
      <alignment horizontal="center"/>
    </xf>
    <xf numFmtId="0" fontId="119" fillId="0" borderId="1" xfId="0" applyFont="1" applyBorder="1" applyAlignment="1">
      <alignment horizontal="center"/>
    </xf>
    <xf numFmtId="0" fontId="119" fillId="0" borderId="1" xfId="1" applyFont="1" applyFill="1" applyBorder="1" applyAlignment="1">
      <alignment horizontal="center"/>
    </xf>
    <xf numFmtId="0" fontId="120" fillId="0" borderId="1" xfId="1" applyFont="1" applyBorder="1" applyAlignment="1">
      <alignment horizontal="center"/>
    </xf>
    <xf numFmtId="0" fontId="0" fillId="0" borderId="1" xfId="1" applyFont="1" applyBorder="1" applyAlignment="1">
      <alignment horizontal="center"/>
    </xf>
    <xf numFmtId="0" fontId="112" fillId="0" borderId="1" xfId="0" applyFont="1" applyBorder="1" applyAlignment="1">
      <alignment horizontal="center" wrapText="1"/>
    </xf>
    <xf numFmtId="0" fontId="121" fillId="0" borderId="1" xfId="0" applyFont="1" applyBorder="1" applyAlignment="1">
      <alignment horizontal="center"/>
    </xf>
    <xf numFmtId="0" fontId="122" fillId="0" borderId="1" xfId="0" applyFont="1" applyBorder="1" applyAlignment="1">
      <alignment horizontal="center"/>
    </xf>
    <xf numFmtId="0" fontId="122" fillId="0" borderId="1" xfId="1" applyFont="1" applyFill="1" applyBorder="1" applyAlignment="1">
      <alignment horizontal="center"/>
    </xf>
    <xf numFmtId="0" fontId="113" fillId="0" borderId="2" xfId="0" applyFont="1" applyBorder="1" applyAlignment="1">
      <alignment horizontal="center"/>
    </xf>
    <xf numFmtId="0" fontId="113" fillId="0" borderId="3" xfId="0" applyFont="1" applyBorder="1" applyAlignment="1">
      <alignment horizontal="center"/>
    </xf>
    <xf numFmtId="0" fontId="123" fillId="0" borderId="1" xfId="0" applyFont="1" applyBorder="1" applyAlignment="1">
      <alignment horizontal="center"/>
    </xf>
    <xf numFmtId="0" fontId="113" fillId="0" borderId="12" xfId="0" applyFont="1" applyBorder="1" applyAlignment="1">
      <alignment horizontal="center"/>
    </xf>
    <xf numFmtId="0" fontId="122" fillId="0" borderId="1" xfId="1" applyFont="1" applyBorder="1" applyAlignment="1">
      <alignment horizontal="center"/>
    </xf>
    <xf numFmtId="0" fontId="123" fillId="0" borderId="1" xfId="1" applyFont="1" applyFill="1" applyBorder="1" applyAlignment="1">
      <alignment horizontal="center"/>
    </xf>
    <xf numFmtId="0" fontId="123" fillId="0" borderId="1" xfId="1" applyFont="1" applyFill="1" applyBorder="1" applyAlignment="1">
      <alignment horizontal="center" wrapText="1"/>
    </xf>
    <xf numFmtId="0" fontId="123" fillId="0" borderId="1" xfId="1" applyFont="1" applyBorder="1" applyAlignment="1">
      <alignment horizontal="center"/>
    </xf>
    <xf numFmtId="0" fontId="107" fillId="3" borderId="1" xfId="0" applyFont="1" applyFill="1" applyBorder="1" applyAlignment="1">
      <alignment horizontal="center" wrapText="1"/>
    </xf>
    <xf numFmtId="0" fontId="124" fillId="0" borderId="1" xfId="0" applyFont="1" applyBorder="1" applyAlignment="1">
      <alignment horizontal="center"/>
    </xf>
    <xf numFmtId="0" fontId="107" fillId="0" borderId="1" xfId="0" applyFont="1" applyBorder="1" applyAlignment="1">
      <alignment horizontal="center" vertical="top"/>
    </xf>
    <xf numFmtId="0" fontId="125" fillId="0" borderId="1" xfId="0" applyFont="1" applyBorder="1" applyAlignment="1">
      <alignment horizontal="center"/>
    </xf>
    <xf numFmtId="0" fontId="107" fillId="0" borderId="1" xfId="0" applyFont="1" applyBorder="1" applyAlignment="1">
      <alignment horizontal="center" wrapText="1"/>
    </xf>
    <xf numFmtId="0" fontId="106" fillId="3" borderId="3" xfId="0" applyFont="1" applyFill="1" applyBorder="1" applyAlignment="1">
      <alignment horizontal="center"/>
    </xf>
    <xf numFmtId="0" fontId="107" fillId="3" borderId="3" xfId="0" applyFont="1" applyFill="1" applyBorder="1" applyAlignment="1">
      <alignment horizontal="center"/>
    </xf>
    <xf numFmtId="0" fontId="108" fillId="3" borderId="3" xfId="0" applyFont="1" applyFill="1" applyBorder="1" applyAlignment="1">
      <alignment horizontal="center"/>
    </xf>
    <xf numFmtId="0" fontId="126" fillId="0" borderId="3" xfId="0" applyFont="1" applyBorder="1" applyAlignment="1">
      <alignment horizontal="center"/>
    </xf>
    <xf numFmtId="0" fontId="127" fillId="0" borderId="1" xfId="0" applyFont="1" applyBorder="1" applyAlignment="1">
      <alignment horizontal="center" wrapText="1"/>
    </xf>
    <xf numFmtId="0" fontId="107" fillId="3" borderId="1" xfId="0" applyFont="1" applyFill="1" applyBorder="1" applyAlignment="1">
      <alignment horizontal="center"/>
    </xf>
    <xf numFmtId="0" fontId="128" fillId="4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15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15" fontId="1" fillId="0" borderId="1" xfId="0" applyNumberFormat="1" applyFont="1" applyBorder="1" applyAlignment="1">
      <alignment horizontal="center" vertical="top"/>
    </xf>
    <xf numFmtId="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 vertical="center"/>
    </xf>
    <xf numFmtId="9" fontId="1" fillId="9" borderId="1" xfId="0" applyNumberFormat="1" applyFont="1" applyFill="1" applyBorder="1" applyAlignment="1">
      <alignment horizontal="center" vertical="center"/>
    </xf>
    <xf numFmtId="15" fontId="1" fillId="9" borderId="1" xfId="0" applyNumberFormat="1" applyFont="1" applyFill="1" applyBorder="1" applyAlignment="1">
      <alignment horizontal="center"/>
    </xf>
    <xf numFmtId="0" fontId="1" fillId="0" borderId="1" xfId="1" applyFont="1" applyFill="1" applyBorder="1" applyAlignment="1">
      <alignment horizontal="center"/>
    </xf>
    <xf numFmtId="0" fontId="1" fillId="9" borderId="1" xfId="1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1" xfId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19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[Hiring Master.xlsx]Sheet2!PivotTable2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'Position': </a:t>
            </a:r>
            <a:r>
              <a:rPr lang="en-US">
                <a:solidFill>
                  <a:srgbClr val="DD5A13"/>
                </a:solidFill>
              </a:rPr>
              <a:t>Windows system adminstrator</a:t>
            </a:r>
            <a:r>
              <a:rPr lang="en-US"/>
              <a:t> appears most often.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>
            <a:noFill/>
          </a:ln>
          <a:effectLst/>
        </c:spPr>
      </c:pivotFmt>
      <c:pivotFmt>
        <c:idx val="2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D733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0C1-9C4E-AC18-907E34355F1D}"/>
              </c:ext>
            </c:extLst>
          </c:dPt>
          <c:cat>
            <c:strRef>
              <c:f>Sheet2!$A$3:$A$28</c:f>
              <c:strCache>
                <c:ptCount val="25"/>
                <c:pt idx="0">
                  <c:v>Windows system adminstrator</c:v>
                </c:pt>
                <c:pt idx="1">
                  <c:v>Inside Sales Executive</c:v>
                </c:pt>
                <c:pt idx="2">
                  <c:v>Sales Head</c:v>
                </c:pt>
                <c:pt idx="3">
                  <c:v>Key Accounts Manager</c:v>
                </c:pt>
                <c:pt idx="4">
                  <c:v>Angular JS developer</c:v>
                </c:pt>
                <c:pt idx="5">
                  <c:v>Python Architect</c:v>
                </c:pt>
                <c:pt idx="6">
                  <c:v>Android BSP Developer</c:v>
                </c:pt>
                <c:pt idx="7">
                  <c:v>Graphic Designer</c:v>
                </c:pt>
                <c:pt idx="8">
                  <c:v>HR Recruiter</c:v>
                </c:pt>
                <c:pt idx="9">
                  <c:v>.Net Backend Developer</c:v>
                </c:pt>
                <c:pt idx="10">
                  <c:v>Lead Data Engineer</c:v>
                </c:pt>
                <c:pt idx="11">
                  <c:v>Business developement executive</c:v>
                </c:pt>
                <c:pt idx="12">
                  <c:v>Associate Sales</c:v>
                </c:pt>
                <c:pt idx="13">
                  <c:v>Data Delivery Manager</c:v>
                </c:pt>
                <c:pt idx="14">
                  <c:v>IAM Engineer Professionals</c:v>
                </c:pt>
                <c:pt idx="15">
                  <c:v>Field Sales Executive</c:v>
                </c:pt>
                <c:pt idx="16">
                  <c:v>Display driver</c:v>
                </c:pt>
                <c:pt idx="17">
                  <c:v>Founder office assoicate</c:v>
                </c:pt>
                <c:pt idx="18">
                  <c:v>Analog RF Designer</c:v>
                </c:pt>
                <c:pt idx="19">
                  <c:v>Technical Lead - Mobile Development</c:v>
                </c:pt>
                <c:pt idx="20">
                  <c:v>Blockchain Developer</c:v>
                </c:pt>
                <c:pt idx="21">
                  <c:v>Inside Sales</c:v>
                </c:pt>
                <c:pt idx="22">
                  <c:v>Lead IAM Management</c:v>
                </c:pt>
                <c:pt idx="23">
                  <c:v>Key Account Manager</c:v>
                </c:pt>
              </c:strCache>
            </c:strRef>
          </c:cat>
          <c:val>
            <c:numRef>
              <c:f>Sheet2!$B$3:$B$28</c:f>
              <c:numCache>
                <c:formatCode>General</c:formatCode>
                <c:ptCount val="25"/>
                <c:pt idx="0">
                  <c:v>55</c:v>
                </c:pt>
                <c:pt idx="1">
                  <c:v>31</c:v>
                </c:pt>
                <c:pt idx="2">
                  <c:v>25</c:v>
                </c:pt>
                <c:pt idx="3">
                  <c:v>21</c:v>
                </c:pt>
                <c:pt idx="4">
                  <c:v>20</c:v>
                </c:pt>
                <c:pt idx="5">
                  <c:v>20</c:v>
                </c:pt>
                <c:pt idx="6">
                  <c:v>18</c:v>
                </c:pt>
                <c:pt idx="7">
                  <c:v>17</c:v>
                </c:pt>
                <c:pt idx="8">
                  <c:v>16</c:v>
                </c:pt>
                <c:pt idx="9">
                  <c:v>14</c:v>
                </c:pt>
                <c:pt idx="10">
                  <c:v>13</c:v>
                </c:pt>
                <c:pt idx="11">
                  <c:v>12</c:v>
                </c:pt>
                <c:pt idx="12">
                  <c:v>8</c:v>
                </c:pt>
                <c:pt idx="13">
                  <c:v>5</c:v>
                </c:pt>
                <c:pt idx="14">
                  <c:v>4</c:v>
                </c:pt>
                <c:pt idx="15">
                  <c:v>4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C1-9C4E-AC18-907E34355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470461327"/>
        <c:axId val="1676224895"/>
      </c:barChart>
      <c:catAx>
        <c:axId val="1470461327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Position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224895"/>
        <c:crosses val="autoZero"/>
        <c:auto val="1"/>
        <c:lblAlgn val="ctr"/>
        <c:lblOffset val="100"/>
        <c:noMultiLvlLbl val="0"/>
      </c:catAx>
      <c:valAx>
        <c:axId val="1676224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Job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46132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[Hiring Master.xlsx]Sheet3!PivotTable3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'Client': </a:t>
            </a:r>
            <a:r>
              <a:rPr lang="en-US">
                <a:solidFill>
                  <a:srgbClr val="DD5A13"/>
                </a:solidFill>
              </a:rPr>
              <a:t>EMIDS</a:t>
            </a:r>
            <a:r>
              <a:rPr lang="en-US"/>
              <a:t> and </a:t>
            </a:r>
            <a:r>
              <a:rPr lang="en-US">
                <a:solidFill>
                  <a:srgbClr val="DD5A13"/>
                </a:solidFill>
              </a:rPr>
              <a:t>Avinashi Ads</a:t>
            </a:r>
            <a:r>
              <a:rPr lang="en-US"/>
              <a:t> appear most often.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>
            <a:noFill/>
          </a:ln>
          <a:effectLst/>
        </c:spPr>
      </c:pivotFmt>
      <c:pivotFmt>
        <c:idx val="2"/>
        <c:spPr>
          <a:solidFill>
            <a:srgbClr val="ED7331"/>
          </a:solidFill>
          <a:ln>
            <a:noFill/>
          </a:ln>
          <a:effectLst/>
        </c:spPr>
      </c:pivotFmt>
      <c:pivotFmt>
        <c:idx val="3"/>
        <c:spPr>
          <a:solidFill>
            <a:srgbClr val="D2D2D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ED7331"/>
          </a:solidFill>
          <a:ln>
            <a:noFill/>
          </a:ln>
          <a:effectLst/>
        </c:spPr>
      </c:pivotFmt>
      <c:pivotFmt>
        <c:idx val="5"/>
        <c:spPr>
          <a:solidFill>
            <a:srgbClr val="ED733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Sheet3!$B$2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DA0-464E-A033-42F8C71C1599}"/>
              </c:ext>
            </c:extLst>
          </c:dPt>
          <c:dPt>
            <c:idx val="1"/>
            <c:invertIfNegative val="0"/>
            <c:bubble3D val="0"/>
            <c:spPr>
              <a:solidFill>
                <a:srgbClr val="ED73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DA0-464E-A033-42F8C71C1599}"/>
              </c:ext>
            </c:extLst>
          </c:dPt>
          <c:cat>
            <c:strRef>
              <c:f>Sheet3!$A$3:$A$15</c:f>
              <c:strCache>
                <c:ptCount val="12"/>
                <c:pt idx="0">
                  <c:v>EMIDS</c:v>
                </c:pt>
                <c:pt idx="1">
                  <c:v>Avinashi Ads</c:v>
                </c:pt>
                <c:pt idx="2">
                  <c:v>Peritas</c:v>
                </c:pt>
                <c:pt idx="3">
                  <c:v>Thoughtfocus</c:v>
                </c:pt>
                <c:pt idx="4">
                  <c:v>KPIT</c:v>
                </c:pt>
                <c:pt idx="5">
                  <c:v>Semnox Solutions</c:v>
                </c:pt>
                <c:pt idx="6">
                  <c:v>Talme </c:v>
                </c:pt>
                <c:pt idx="7">
                  <c:v>Saralx</c:v>
                </c:pt>
                <c:pt idx="8">
                  <c:v>Sarelx</c:v>
                </c:pt>
                <c:pt idx="9">
                  <c:v>LeadSOC</c:v>
                </c:pt>
                <c:pt idx="10">
                  <c:v>GNA</c:v>
                </c:pt>
              </c:strCache>
            </c:strRef>
          </c:cat>
          <c:val>
            <c:numRef>
              <c:f>Sheet3!$B$3:$B$15</c:f>
              <c:numCache>
                <c:formatCode>General</c:formatCode>
                <c:ptCount val="12"/>
                <c:pt idx="0">
                  <c:v>95</c:v>
                </c:pt>
                <c:pt idx="1">
                  <c:v>72</c:v>
                </c:pt>
                <c:pt idx="2">
                  <c:v>36</c:v>
                </c:pt>
                <c:pt idx="3">
                  <c:v>23</c:v>
                </c:pt>
                <c:pt idx="4">
                  <c:v>20</c:v>
                </c:pt>
                <c:pt idx="5">
                  <c:v>16</c:v>
                </c:pt>
                <c:pt idx="6">
                  <c:v>16</c:v>
                </c:pt>
                <c:pt idx="7">
                  <c:v>8</c:v>
                </c:pt>
                <c:pt idx="8">
                  <c:v>6</c:v>
                </c:pt>
                <c:pt idx="9">
                  <c:v>2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A0-464E-A033-42F8C71C1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100"/>
        <c:axId val="1732747583"/>
        <c:axId val="1577213103"/>
      </c:barChart>
      <c:catAx>
        <c:axId val="1732747583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Client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213103"/>
        <c:crosses val="autoZero"/>
        <c:auto val="1"/>
        <c:lblAlgn val="ctr"/>
        <c:lblOffset val="100"/>
        <c:noMultiLvlLbl val="0"/>
      </c:catAx>
      <c:valAx>
        <c:axId val="1577213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Job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747583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444500</xdr:colOff>
      <xdr:row>15</xdr:row>
      <xdr:rowOff>76200</xdr:rowOff>
    </xdr:to>
    <xdr:graphicFrame macro="">
      <xdr:nvGraphicFramePr>
        <xdr:cNvPr id="20" name="Chart 1" descr="Chart type: Clustered Bar. 'Position': Windows system adminstrator appears most often.&#10;&#10;Description automatically generated">
          <a:extLst>
            <a:ext uri="{FF2B5EF4-FFF2-40B4-BE49-F238E27FC236}">
              <a16:creationId xmlns:a16="http://schemas.microsoft.com/office/drawing/2014/main" id="{375C145E-1D7B-7F99-60A5-F9F27A9752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444500</xdr:colOff>
      <xdr:row>15</xdr:row>
      <xdr:rowOff>76200</xdr:rowOff>
    </xdr:to>
    <xdr:graphicFrame macro="">
      <xdr:nvGraphicFramePr>
        <xdr:cNvPr id="21" name="Chart 1" descr="Chart type: Stacked Bar. 'Client': EMIDS and Avinashi Ads appear most often.&#10;&#10;Description automatically generated">
          <a:extLst>
            <a:ext uri="{FF2B5EF4-FFF2-40B4-BE49-F238E27FC236}">
              <a16:creationId xmlns:a16="http://schemas.microsoft.com/office/drawing/2014/main" id="{AFE0EF68-F281-F47D-C2FC-050DB0BB7D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228600</xdr:colOff>
      <xdr:row>22</xdr:row>
      <xdr:rowOff>95250</xdr:rowOff>
    </xdr:to>
    <xdr:pic>
      <xdr:nvPicPr>
        <xdr:cNvPr id="2" name="Picture 1" title="Pipeline breakdown">
          <a:extLst>
            <a:ext uri="{FF2B5EF4-FFF2-40B4-BE49-F238E27FC236}">
              <a16:creationId xmlns:a16="http://schemas.microsoft.com/office/drawing/2014/main" id="{29421A61-5430-A462-F544-4B8D35219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15000" cy="428625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48.031931018515" createdVersion="8" refreshedVersion="8" minRefreshableVersion="3" recordCount="319" xr:uid="{CF89A439-8B8B-7D40-B50F-468BDA81C2B0}">
  <cacheSource type="worksheet">
    <worksheetSource ref="A1:AS343" sheet="Candidate Master"/>
  </cacheSource>
  <cacheFields count="45">
    <cacheField name="Job Id" numFmtId="0">
      <sharedItems containsBlank="1"/>
    </cacheField>
    <cacheField name="Recruiter Id" numFmtId="0">
      <sharedItems containsBlank="1"/>
    </cacheField>
    <cacheField name="Recruiter Name" numFmtId="0">
      <sharedItems/>
    </cacheField>
    <cacheField name="Business Unit" numFmtId="0">
      <sharedItems/>
    </cacheField>
    <cacheField name="Domain" numFmtId="0">
      <sharedItems/>
    </cacheField>
    <cacheField name="Position" numFmtId="0">
      <sharedItems count="25">
        <s v="Android BSP Developer"/>
        <s v="Business developement executive"/>
        <s v="Founder office assoicate"/>
        <s v="Graphic Designer"/>
        <s v="Inside Sales Executive"/>
        <s v="Field Sales Executive"/>
        <s v="Python Architect"/>
        <s v="Windows system adminstrator"/>
        <s v="Data Delivery Manager"/>
        <s v="Inside Sales"/>
        <s v="HR Recruiter"/>
        <s v="Key Accounts Manager"/>
        <s v="Associate Sales"/>
        <s v="Key Account Manager"/>
        <s v="Lead Data Engineer"/>
        <s v="Display driver"/>
        <s v="Sales Head"/>
        <s v="Angular JS developer"/>
        <s v="IAM Engineer Professionals"/>
        <s v="Blockchain Developer"/>
        <s v=".Net Backend Developer"/>
        <s v="Analog RF Designer"/>
        <s v="Lead IAM Management"/>
        <s v="Technical Lead - Mobile Development"/>
        <s v=""/>
      </sharedItems>
    </cacheField>
    <cacheField name="Client" numFmtId="0">
      <sharedItems count="12">
        <s v="KPIT"/>
        <s v="Saralx"/>
        <s v="Avinashi Ads"/>
        <s v="Peritas"/>
        <s v="EMIDS"/>
        <s v="Thoughtfocus"/>
        <s v="Talme "/>
        <s v="GNA"/>
        <s v="Semnox Solutions"/>
        <s v="LeadSOC"/>
        <s v="Sarelx"/>
        <s v=""/>
      </sharedItems>
    </cacheField>
    <cacheField name="Candidate Name" numFmtId="0">
      <sharedItems containsBlank="1"/>
    </cacheField>
    <cacheField name="Notice Period" numFmtId="0">
      <sharedItems containsBlank="1" containsMixedTypes="1" containsNumber="1" containsInteger="1" minValue="7259667338" maxValue="9944897923"/>
    </cacheField>
    <cacheField name="Candidate Email" numFmtId="0">
      <sharedItems containsBlank="1"/>
    </cacheField>
    <cacheField name="Phone No." numFmtId="0">
      <sharedItems containsBlank="1" containsMixedTypes="1" containsNumber="1" containsInteger="1" minValue="6281643063" maxValue="9999625958"/>
    </cacheField>
    <cacheField name="Qualification" numFmtId="0">
      <sharedItems containsBlank="1"/>
    </cacheField>
    <cacheField name="Years of Exp" numFmtId="0">
      <sharedItems containsBlank="1" containsMixedTypes="1" containsNumber="1" minValue="5.1100000000000003" maxValue="12" count="109">
        <n v="5.1100000000000003"/>
        <m/>
        <n v="6.8"/>
        <n v="12"/>
        <n v="10.8"/>
        <s v=" "/>
        <s v="1.5 Years"/>
        <s v="4 Years"/>
        <s v="1.3 Years"/>
        <s v="2 Years"/>
        <s v="6 Months"/>
        <s v="4 Months"/>
        <s v="4 Years( Telesales)"/>
        <s v="2 Years ( Telesales)"/>
        <s v="3 Years ( Sales consltunt)"/>
        <s v="14 Years"/>
        <s v="10 Years"/>
        <s v="10.6 Years"/>
        <s v="8 Years"/>
        <s v="5.5 Years"/>
        <s v="6 Years"/>
        <s v="7 Years"/>
        <s v="5 Years"/>
        <s v="6.8 Years"/>
        <s v="5.3 Years"/>
        <s v="9 Years"/>
        <s v="5.2 Years"/>
        <s v="10 Year"/>
        <s v="15 Year"/>
        <s v="12 Year"/>
        <s v="10.3 Years"/>
        <s v="10.2 Years"/>
        <s v="12 Years"/>
        <s v="1 Year"/>
        <s v="1.6 Year"/>
        <s v=" 3 Year"/>
        <s v="6.4 Years"/>
        <s v="6.6 Years"/>
        <s v="11.5 Years"/>
        <s v="7.5 Years"/>
        <s v="1 Years"/>
        <s v="Fresher"/>
        <s v="6.10 Year"/>
        <s v="6.6 Year"/>
        <s v="8 Year"/>
        <s v=" 11 Year"/>
        <s v=" 6 Year"/>
        <s v="5 Year"/>
        <s v=" 5 Year"/>
        <s v="8  Years"/>
        <s v="5.9 Years"/>
        <s v="5.2  Years"/>
        <s v="6.5 Years"/>
        <s v=" 9 Year"/>
        <s v="10.5 Year"/>
        <s v=" 8 Year"/>
        <s v="6 Year"/>
        <s v="6.9 Years"/>
        <s v="7.3 Year"/>
        <s v=" 20 Year"/>
        <s v="5.10 Years"/>
        <s v="11 Years"/>
        <s v=" 15 Year"/>
        <s v="Infosys Limited"/>
        <s v=" 8.5 Year"/>
        <s v="8  Years"/>
        <s v=" 10 Year"/>
        <s v=" 7.5 Year"/>
        <s v=" 4 Year"/>
        <s v=" 6.5 Year"/>
        <s v=" 4.6 Year"/>
        <s v="4.5 Years"/>
        <s v="4.4 Years"/>
        <s v="4.7 Years"/>
        <s v=" Motion Graphics &amp; Print Design"/>
        <s v=" 1 Year"/>
        <s v=" 1.5 Year"/>
        <s v="4.6 Years"/>
        <s v="3.8 Years"/>
        <s v="3.7 Years"/>
        <s v="6 months "/>
        <s v="3 months"/>
        <s v="1.8 Year"/>
        <s v="3 .2 Years"/>
        <s v="9.5 Years"/>
        <s v="2.6 Years"/>
        <s v="4.3 Years"/>
        <s v="1.7 Year"/>
        <s v="2 Year"/>
        <s v="3.5 Years"/>
        <s v="6 Months( Internship)"/>
        <s v=" 2 Year"/>
        <s v="1.5 Year"/>
        <s v="10 Months"/>
        <s v="1.6 Years"/>
        <s v="1.4 Years"/>
        <s v="3 Years"/>
        <s v="5.11 Years"/>
        <s v="12.5 Years"/>
        <s v="12.6 Years"/>
        <s v=" 1 Year 6 Month"/>
        <s v="6 Month"/>
        <s v="1.2 Years"/>
        <s v="3 Month"/>
        <s v="5.6 Years"/>
        <s v="6.11 Years"/>
        <s v="11.6 Years"/>
        <s v="4+ Years"/>
        <s v="3.6 Years"/>
      </sharedItems>
    </cacheField>
    <cacheField name="Previous Company" numFmtId="0">
      <sharedItems containsBlank="1"/>
    </cacheField>
    <cacheField name="Previous CTC" numFmtId="0">
      <sharedItems containsBlank="1" containsMixedTypes="1" containsNumber="1" minValue="12" maxValue="26.7"/>
    </cacheField>
    <cacheField name="Location" numFmtId="0">
      <sharedItems containsBlank="1"/>
    </cacheField>
    <cacheField name="Prefered Location" numFmtId="0">
      <sharedItems containsBlank="1"/>
    </cacheField>
    <cacheField name="Expected CTC" numFmtId="0">
      <sharedItems containsBlank="1" containsMixedTypes="1" containsNumber="1" containsInteger="1" minValue="18" maxValue="100000"/>
    </cacheField>
    <cacheField name="Candidate Current Status" numFmtId="0">
      <sharedItems containsBlank="1"/>
    </cacheField>
    <cacheField name="Source" numFmtId="0">
      <sharedItems containsBlank="1"/>
    </cacheField>
    <cacheField name="Source Date" numFmtId="0">
      <sharedItems containsDate="1" containsBlank="1" containsMixedTypes="1" minDate="2026-01-05T00:00:00" maxDate="2026-12-02T00:00:00"/>
    </cacheField>
    <cacheField name="Screening Date" numFmtId="0">
      <sharedItems containsDate="1" containsBlank="1" containsMixedTypes="1" minDate="2026-01-05T00:00:00" maxDate="2026-12-02T00:00:00"/>
    </cacheField>
    <cacheField name="Screening Notes" numFmtId="0">
      <sharedItems containsBlank="1"/>
    </cacheField>
    <cacheField name="Tech 1 date" numFmtId="0">
      <sharedItems containsDate="1" containsBlank="1" containsMixedTypes="1" minDate="2026-01-08T00:00:00" maxDate="2026-01-23T00:00:00"/>
    </cacheField>
    <cacheField name="Tech 1 Status" numFmtId="0">
      <sharedItems containsBlank="1"/>
    </cacheField>
    <cacheField name="Tech 1 Remarks" numFmtId="0">
      <sharedItems containsNonDate="0" containsString="0" containsBlank="1"/>
    </cacheField>
    <cacheField name="Tech 1 Panel" numFmtId="0">
      <sharedItems containsNonDate="0" containsString="0" containsBlank="1"/>
    </cacheField>
    <cacheField name="Tech 2 date" numFmtId="0">
      <sharedItems containsBlank="1"/>
    </cacheField>
    <cacheField name="Tech 2 Status" numFmtId="0">
      <sharedItems containsBlank="1"/>
    </cacheField>
    <cacheField name="Tech 2 Remarks" numFmtId="0">
      <sharedItems containsNonDate="0" containsString="0" containsBlank="1"/>
    </cacheField>
    <cacheField name="Tech 2 Panel" numFmtId="0">
      <sharedItems containsNonDate="0" containsString="0" containsBlank="1"/>
    </cacheField>
    <cacheField name="Tech 3 date" numFmtId="0">
      <sharedItems containsBlank="1"/>
    </cacheField>
    <cacheField name="Tech 3 Status" numFmtId="0">
      <sharedItems containsNonDate="0" containsString="0" containsBlank="1"/>
    </cacheField>
    <cacheField name="Tech 3 Remarks" numFmtId="0">
      <sharedItems containsNonDate="0" containsString="0" containsBlank="1"/>
    </cacheField>
    <cacheField name="Tech 3 Panel" numFmtId="0">
      <sharedItems containsNonDate="0" containsString="0" containsBlank="1"/>
    </cacheField>
    <cacheField name="Offer Stage Input date" numFmtId="0">
      <sharedItems containsNonDate="0" containsString="0" containsBlank="1"/>
    </cacheField>
    <cacheField name="Date of Document Collection" numFmtId="0">
      <sharedItems containsNonDate="0" containsString="0" containsBlank="1"/>
    </cacheField>
    <cacheField name="Date of Approval" numFmtId="0">
      <sharedItems containsNonDate="0" containsString="0" containsBlank="1"/>
    </cacheField>
    <cacheField name="Offer Date" numFmtId="0">
      <sharedItems containsNonDate="0" containsString="0" containsBlank="1"/>
    </cacheField>
    <cacheField name="Offer Status" numFmtId="0">
      <sharedItems containsNonDate="0" containsString="0" containsBlank="1"/>
    </cacheField>
    <cacheField name="Date of Offer Accept/Reject" numFmtId="0">
      <sharedItems containsNonDate="0" containsString="0" containsBlank="1"/>
    </cacheField>
    <cacheField name="Offer Accept Status" numFmtId="0">
      <sharedItems containsNonDate="0" containsString="0" containsBlank="1"/>
    </cacheField>
    <cacheField name="Date Of Joining" numFmtId="0">
      <sharedItems containsNonDate="0" containsString="0" containsBlank="1"/>
    </cacheField>
    <cacheField name="Joining Status" numFmtId="0">
      <sharedItems containsNonDate="0" containsString="0" containsBlank="1"/>
    </cacheField>
    <cacheField name="CTC Offered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9">
  <r>
    <s v="B001"/>
    <s v="R004"/>
    <s v="Pooja "/>
    <s v="Talme"/>
    <s v="IT"/>
    <x v="0"/>
    <x v="0"/>
    <s v="DINESHKUMAR S"/>
    <m/>
    <m/>
    <n v="6383142221"/>
    <m/>
    <x v="0"/>
    <s v=" "/>
    <n v="12"/>
    <m/>
    <m/>
    <n v="18"/>
    <s v="Screening Reject"/>
    <s v="Portal-Naukri"/>
    <d v="2026-01-06T00:00:00"/>
    <d v="2026-01-06T00:00:00"/>
    <m/>
    <m/>
    <m/>
    <m/>
    <m/>
    <m/>
    <m/>
    <m/>
    <m/>
    <m/>
    <m/>
    <m/>
    <m/>
    <m/>
    <m/>
    <m/>
    <m/>
    <m/>
    <m/>
    <m/>
    <m/>
    <m/>
    <m/>
  </r>
  <r>
    <s v="B001"/>
    <s v="R004"/>
    <s v="Pooja "/>
    <s v="Talme"/>
    <s v="IT"/>
    <x v="0"/>
    <x v="0"/>
    <s v="Siva Raj Mahendrakar"/>
    <m/>
    <m/>
    <n v="9985736277"/>
    <m/>
    <x v="1"/>
    <m/>
    <m/>
    <m/>
    <m/>
    <m/>
    <s v="Screening Reject"/>
    <s v="Portal-Naukri"/>
    <d v="2026-01-06T00:00:00"/>
    <d v="2026-01-06T00:00:00"/>
    <m/>
    <m/>
    <m/>
    <m/>
    <m/>
    <m/>
    <m/>
    <m/>
    <m/>
    <m/>
    <m/>
    <m/>
    <m/>
    <m/>
    <m/>
    <m/>
    <m/>
    <m/>
    <m/>
    <m/>
    <m/>
    <m/>
    <m/>
  </r>
  <r>
    <s v="B001"/>
    <s v="R004"/>
    <s v="Pooja "/>
    <s v="Talme"/>
    <s v="IT"/>
    <x v="0"/>
    <x v="0"/>
    <s v="K Mallikarjuna Rao"/>
    <m/>
    <s v="malli.k1117@gmail.com"/>
    <n v="9642601689"/>
    <m/>
    <x v="2"/>
    <m/>
    <n v="23"/>
    <m/>
    <m/>
    <s v="30% Hike"/>
    <s v="Screening Reject"/>
    <s v="Portal-Naukri"/>
    <d v="2026-01-06T00:00:00"/>
    <d v="2026-01-06T00:00:00"/>
    <m/>
    <m/>
    <m/>
    <m/>
    <m/>
    <m/>
    <m/>
    <m/>
    <m/>
    <m/>
    <m/>
    <m/>
    <m/>
    <m/>
    <m/>
    <m/>
    <m/>
    <m/>
    <m/>
    <m/>
    <m/>
    <m/>
    <m/>
  </r>
  <r>
    <s v="B001"/>
    <s v="R004"/>
    <s v="Pooja "/>
    <s v="Talme"/>
    <s v="IT"/>
    <x v="0"/>
    <x v="0"/>
    <s v="Gopi Vagga"/>
    <m/>
    <m/>
    <n v="9845892797"/>
    <m/>
    <x v="3"/>
    <s v=" "/>
    <n v="18.5"/>
    <m/>
    <m/>
    <n v="25"/>
    <s v="Screening Reject"/>
    <s v="Portal-Naukri"/>
    <d v="2026-01-06T00:00:00"/>
    <d v="2026-01-06T00:00:00"/>
    <m/>
    <m/>
    <m/>
    <m/>
    <m/>
    <m/>
    <m/>
    <m/>
    <m/>
    <m/>
    <m/>
    <m/>
    <m/>
    <m/>
    <m/>
    <m/>
    <m/>
    <m/>
    <m/>
    <m/>
    <m/>
    <m/>
    <m/>
  </r>
  <r>
    <s v="B001"/>
    <s v="R004"/>
    <s v="Pooja "/>
    <s v="Talme"/>
    <s v="IT"/>
    <x v="0"/>
    <x v="0"/>
    <s v="Priyankka K"/>
    <m/>
    <s v=" "/>
    <n v="9618943124"/>
    <m/>
    <x v="4"/>
    <s v=" "/>
    <n v="22.5"/>
    <m/>
    <m/>
    <n v="32"/>
    <s v="Screening Reject"/>
    <s v="Portal-Naukri"/>
    <d v="2026-01-06T00:00:00"/>
    <d v="2026-01-06T00:00:00"/>
    <m/>
    <m/>
    <m/>
    <m/>
    <m/>
    <m/>
    <m/>
    <m/>
    <m/>
    <m/>
    <m/>
    <m/>
    <m/>
    <m/>
    <m/>
    <m/>
    <m/>
    <m/>
    <m/>
    <m/>
    <m/>
    <m/>
    <m/>
  </r>
  <r>
    <s v="B001"/>
    <s v="R004"/>
    <s v="Pooja "/>
    <s v="Talme"/>
    <s v="IT"/>
    <x v="0"/>
    <x v="0"/>
    <s v="Tanmay Desai"/>
    <m/>
    <s v=" "/>
    <n v="7567041466"/>
    <m/>
    <x v="1"/>
    <m/>
    <m/>
    <m/>
    <m/>
    <m/>
    <s v="Screening Reject"/>
    <s v="Portal-Naukri"/>
    <d v="2026-01-06T00:00:00"/>
    <d v="2026-01-06T00:00:00"/>
    <m/>
    <m/>
    <m/>
    <m/>
    <m/>
    <m/>
    <m/>
    <m/>
    <m/>
    <m/>
    <m/>
    <m/>
    <m/>
    <m/>
    <m/>
    <m/>
    <m/>
    <m/>
    <m/>
    <m/>
    <m/>
    <m/>
    <m/>
  </r>
  <r>
    <s v="B001"/>
    <s v="R004"/>
    <s v="Pooja"/>
    <s v="Talme"/>
    <s v="IT"/>
    <x v="0"/>
    <x v="0"/>
    <s v="Mohamed musthafa AV"/>
    <m/>
    <s v=" "/>
    <n v="9895080216"/>
    <m/>
    <x v="1"/>
    <m/>
    <m/>
    <m/>
    <m/>
    <m/>
    <s v="Screening Reject"/>
    <s v="Portal-Naukri"/>
    <d v="2026-01-07T00:00:00"/>
    <d v="2026-01-07T00:00:00"/>
    <m/>
    <m/>
    <m/>
    <m/>
    <m/>
    <m/>
    <m/>
    <m/>
    <m/>
    <m/>
    <m/>
    <m/>
    <m/>
    <m/>
    <m/>
    <m/>
    <m/>
    <m/>
    <m/>
    <m/>
    <m/>
    <m/>
    <m/>
  </r>
  <r>
    <s v="B001"/>
    <s v="R004"/>
    <s v="Pooja"/>
    <s v="Talme"/>
    <s v="IT"/>
    <x v="0"/>
    <x v="0"/>
    <s v="Manikandan R"/>
    <m/>
    <s v=" "/>
    <n v="9500383529"/>
    <m/>
    <x v="1"/>
    <m/>
    <m/>
    <m/>
    <m/>
    <m/>
    <s v="Screening Reject"/>
    <s v="Portal-Naukri"/>
    <d v="2026-01-07T00:00:00"/>
    <d v="2026-01-07T00:00:00"/>
    <m/>
    <m/>
    <m/>
    <m/>
    <m/>
    <m/>
    <m/>
    <m/>
    <m/>
    <m/>
    <m/>
    <m/>
    <m/>
    <m/>
    <m/>
    <m/>
    <m/>
    <m/>
    <m/>
    <m/>
    <m/>
    <m/>
    <m/>
  </r>
  <r>
    <s v="B001"/>
    <s v="R004"/>
    <s v="Pooja"/>
    <s v="Talme"/>
    <s v="IT"/>
    <x v="0"/>
    <x v="0"/>
    <s v="Lavhate Pranav Pralhad"/>
    <m/>
    <m/>
    <n v="9021483838"/>
    <m/>
    <x v="5"/>
    <m/>
    <m/>
    <m/>
    <m/>
    <m/>
    <s v="Screening Reject"/>
    <s v="Portal-Naukri"/>
    <d v="2026-01-07T00:00:00"/>
    <d v="2026-01-07T00:00:00"/>
    <m/>
    <m/>
    <m/>
    <m/>
    <m/>
    <m/>
    <m/>
    <m/>
    <m/>
    <m/>
    <m/>
    <m/>
    <m/>
    <m/>
    <m/>
    <m/>
    <m/>
    <m/>
    <m/>
    <m/>
    <m/>
    <m/>
    <m/>
  </r>
  <r>
    <s v="B001"/>
    <s v="R004"/>
    <s v="Pooja"/>
    <s v="Talme"/>
    <s v="IT"/>
    <x v="0"/>
    <x v="0"/>
    <s v="Mayur Barapatre"/>
    <m/>
    <s v="mayur04barapatre@gmail.com"/>
    <n v="6281643063"/>
    <m/>
    <x v="1"/>
    <m/>
    <n v="20"/>
    <m/>
    <m/>
    <n v="28"/>
    <s v="Screening Reject"/>
    <s v="Portal-Naukri"/>
    <d v="2026-01-07T00:00:00"/>
    <d v="2026-01-07T00:00:00"/>
    <m/>
    <m/>
    <m/>
    <m/>
    <m/>
    <m/>
    <m/>
    <m/>
    <m/>
    <m/>
    <m/>
    <m/>
    <m/>
    <m/>
    <m/>
    <m/>
    <m/>
    <m/>
    <m/>
    <m/>
    <m/>
    <m/>
    <m/>
  </r>
  <r>
    <s v="B001"/>
    <s v="R004"/>
    <s v="Pooja"/>
    <s v="Talme"/>
    <s v="IT"/>
    <x v="0"/>
    <x v="0"/>
    <s v="Naveen kumar"/>
    <m/>
    <s v=" "/>
    <n v="7981241891"/>
    <m/>
    <x v="5"/>
    <m/>
    <m/>
    <m/>
    <m/>
    <m/>
    <s v="Screening Reject"/>
    <s v="Portal-Naukri"/>
    <d v="2026-01-07T00:00:00"/>
    <d v="2026-01-07T00:00:00"/>
    <m/>
    <m/>
    <m/>
    <m/>
    <m/>
    <m/>
    <m/>
    <m/>
    <m/>
    <m/>
    <m/>
    <m/>
    <m/>
    <m/>
    <m/>
    <m/>
    <m/>
    <m/>
    <m/>
    <m/>
    <m/>
    <m/>
    <m/>
  </r>
  <r>
    <s v="B001"/>
    <s v="R004"/>
    <s v="Pooja"/>
    <s v="Talme"/>
    <s v="IT"/>
    <x v="0"/>
    <x v="0"/>
    <s v="Naveen Raj"/>
    <m/>
    <s v="naveenraj5341@gmail.com"/>
    <n v="9400603341"/>
    <m/>
    <x v="5"/>
    <m/>
    <n v="26.7"/>
    <m/>
    <m/>
    <n v="36"/>
    <s v="Screening Reject"/>
    <s v="Portal-Naukri"/>
    <d v="2026-01-07T00:00:00"/>
    <d v="2026-01-07T00:00:00"/>
    <m/>
    <m/>
    <m/>
    <m/>
    <m/>
    <m/>
    <m/>
    <m/>
    <m/>
    <m/>
    <m/>
    <m/>
    <m/>
    <m/>
    <m/>
    <m/>
    <m/>
    <m/>
    <m/>
    <m/>
    <m/>
    <m/>
    <m/>
  </r>
  <r>
    <s v="B001"/>
    <s v="R004"/>
    <s v="Pooja"/>
    <s v="Talme"/>
    <s v="IT"/>
    <x v="0"/>
    <x v="0"/>
    <s v="Vrushabh Rangraoji Motghare"/>
    <m/>
    <s v=" "/>
    <n v="9689959406"/>
    <m/>
    <x v="1"/>
    <m/>
    <m/>
    <m/>
    <m/>
    <m/>
    <s v="Screening Reject"/>
    <s v="Portal-Naukri"/>
    <d v="2026-01-07T00:00:00"/>
    <d v="2026-01-07T00:00:00"/>
    <m/>
    <m/>
    <m/>
    <m/>
    <m/>
    <m/>
    <m/>
    <m/>
    <m/>
    <m/>
    <m/>
    <m/>
    <m/>
    <m/>
    <m/>
    <m/>
    <m/>
    <m/>
    <m/>
    <m/>
    <m/>
    <m/>
    <m/>
  </r>
  <r>
    <s v="B001"/>
    <s v="R004"/>
    <s v="Pooja"/>
    <s v="Talme"/>
    <s v="IT"/>
    <x v="0"/>
    <x v="0"/>
    <s v="Mosin Inamadar"/>
    <m/>
    <s v=" "/>
    <n v="9767204706"/>
    <m/>
    <x v="1"/>
    <m/>
    <m/>
    <m/>
    <m/>
    <m/>
    <s v="Screening Reject"/>
    <s v="Portal-Naukri"/>
    <d v="2026-01-07T00:00:00"/>
    <d v="2026-01-07T00:00:00"/>
    <m/>
    <m/>
    <m/>
    <m/>
    <m/>
    <m/>
    <m/>
    <m/>
    <m/>
    <m/>
    <m/>
    <m/>
    <m/>
    <m/>
    <m/>
    <m/>
    <m/>
    <m/>
    <m/>
    <m/>
    <m/>
    <m/>
    <m/>
  </r>
  <r>
    <s v="H001"/>
    <s v="R003"/>
    <s v="Bhoomika"/>
    <s v="Talme"/>
    <s v="Non - IT"/>
    <x v="1"/>
    <x v="1"/>
    <s v="Alefiyah Naib"/>
    <s v="30 Days"/>
    <s v="alefiyahnaib515253@gmail.com"/>
    <n v="9179265452"/>
    <s v="B.ED"/>
    <x v="6"/>
    <s v="GIT Academy, Bengaluru"/>
    <s v="2.9 LPA"/>
    <s v="Bengaluru"/>
    <s v="Bengaluru"/>
    <s v="3.9 LPA"/>
    <s v="Tech 1 to be Scheduled"/>
    <s v="Portal-LinkedIN"/>
    <d v="2026-01-07T00:00:00"/>
    <d v="2026-07-01T00:00:00"/>
    <s v="Tech 1 rejected"/>
    <m/>
    <m/>
    <m/>
    <m/>
    <m/>
    <m/>
    <m/>
    <m/>
    <m/>
    <m/>
    <m/>
    <m/>
    <m/>
    <m/>
    <m/>
    <m/>
    <m/>
    <m/>
    <m/>
    <m/>
    <m/>
    <m/>
  </r>
  <r>
    <s v="H001"/>
    <s v="R003"/>
    <s v="Bhoomika"/>
    <s v="Talme"/>
    <s v="Non - IT"/>
    <x v="1"/>
    <x v="1"/>
    <s v="Ranjitha N"/>
    <m/>
    <m/>
    <n v="9535544283"/>
    <m/>
    <x v="1"/>
    <m/>
    <m/>
    <m/>
    <m/>
    <m/>
    <s v="Screening Reject"/>
    <s v="Portal-LinkedIN"/>
    <d v="2026-01-06T00:00:00"/>
    <d v="2026-01-06T00:00:00"/>
    <m/>
    <m/>
    <m/>
    <m/>
    <m/>
    <m/>
    <m/>
    <m/>
    <m/>
    <m/>
    <m/>
    <m/>
    <m/>
    <m/>
    <m/>
    <m/>
    <m/>
    <m/>
    <m/>
    <m/>
    <m/>
    <m/>
    <m/>
  </r>
  <r>
    <s v="H001"/>
    <s v="R003"/>
    <s v="Bhoomika"/>
    <s v="Talme"/>
    <s v="Non - IT"/>
    <x v="1"/>
    <x v="1"/>
    <s v="Dimpu B"/>
    <m/>
    <m/>
    <n v="9535735939"/>
    <m/>
    <x v="1"/>
    <m/>
    <m/>
    <m/>
    <m/>
    <m/>
    <s v="Screening Reject"/>
    <s v="Portal-LinkedIN"/>
    <d v="2026-01-06T00:00:00"/>
    <d v="2026-01-06T00:00:00"/>
    <m/>
    <m/>
    <m/>
    <m/>
    <m/>
    <m/>
    <m/>
    <m/>
    <m/>
    <m/>
    <m/>
    <m/>
    <m/>
    <m/>
    <m/>
    <m/>
    <m/>
    <m/>
    <m/>
    <m/>
    <m/>
    <m/>
    <m/>
  </r>
  <r>
    <s v="H001"/>
    <s v="R003"/>
    <s v="Bhoomika"/>
    <s v="Talme"/>
    <s v="Non - IT"/>
    <x v="1"/>
    <x v="1"/>
    <s v="Niveditha S"/>
    <m/>
    <m/>
    <n v="7760182939"/>
    <m/>
    <x v="1"/>
    <m/>
    <m/>
    <m/>
    <m/>
    <m/>
    <s v="Screening Reject"/>
    <s v="Portal-LinkedIN"/>
    <d v="2026-01-06T00:00:00"/>
    <d v="2026-01-06T00:00:00"/>
    <m/>
    <m/>
    <m/>
    <m/>
    <m/>
    <m/>
    <m/>
    <m/>
    <m/>
    <m/>
    <m/>
    <m/>
    <m/>
    <m/>
    <m/>
    <m/>
    <m/>
    <m/>
    <m/>
    <m/>
    <m/>
    <m/>
    <m/>
  </r>
  <r>
    <s v="H001"/>
    <s v="R003"/>
    <s v="Bhoomika"/>
    <s v="Talme"/>
    <s v="Non - IT"/>
    <x v="1"/>
    <x v="1"/>
    <s v="Dileep Kumar R"/>
    <m/>
    <m/>
    <n v="6364919558"/>
    <m/>
    <x v="1"/>
    <m/>
    <m/>
    <m/>
    <m/>
    <m/>
    <s v="Screening Reject"/>
    <s v="Portal-LinkedIN"/>
    <d v="2026-01-06T00:00:00"/>
    <d v="2026-01-06T00:00:00"/>
    <m/>
    <m/>
    <m/>
    <m/>
    <m/>
    <m/>
    <m/>
    <m/>
    <m/>
    <m/>
    <m/>
    <m/>
    <m/>
    <m/>
    <m/>
    <m/>
    <m/>
    <m/>
    <m/>
    <m/>
    <m/>
    <m/>
    <m/>
  </r>
  <r>
    <s v="H001"/>
    <s v="R003"/>
    <s v="Bhoomika"/>
    <s v="Talme"/>
    <s v="Non - IT"/>
    <x v="1"/>
    <x v="1"/>
    <s v="Harshita Khanna"/>
    <m/>
    <m/>
    <n v="8860765049"/>
    <m/>
    <x v="1"/>
    <m/>
    <m/>
    <m/>
    <m/>
    <m/>
    <s v="Screening Reject"/>
    <s v="Portal-LinkedIN"/>
    <d v="2026-01-06T00:00:00"/>
    <d v="2026-01-06T00:00:00"/>
    <m/>
    <m/>
    <m/>
    <m/>
    <m/>
    <m/>
    <m/>
    <m/>
    <m/>
    <m/>
    <m/>
    <m/>
    <m/>
    <m/>
    <m/>
    <m/>
    <m/>
    <m/>
    <m/>
    <m/>
    <m/>
    <m/>
    <m/>
  </r>
  <r>
    <s v="H001"/>
    <s v="R003"/>
    <s v="Bhoomika"/>
    <s v="Talme"/>
    <s v="Non - IT"/>
    <x v="1"/>
    <x v="1"/>
    <s v="Nitish Kumar"/>
    <m/>
    <m/>
    <n v="6362554577"/>
    <m/>
    <x v="1"/>
    <m/>
    <m/>
    <m/>
    <m/>
    <m/>
    <s v="Screening Reject"/>
    <s v="Portal-LinkedIN"/>
    <d v="2026-01-06T00:00:00"/>
    <d v="2026-01-06T00:00:00"/>
    <m/>
    <m/>
    <m/>
    <m/>
    <m/>
    <m/>
    <m/>
    <m/>
    <m/>
    <m/>
    <m/>
    <m/>
    <m/>
    <m/>
    <m/>
    <m/>
    <m/>
    <m/>
    <m/>
    <m/>
    <m/>
    <m/>
    <m/>
  </r>
  <r>
    <s v="H002"/>
    <s v="R003"/>
    <s v="Bhoomika"/>
    <s v="Talme"/>
    <s v="Non - IT"/>
    <x v="2"/>
    <x v="1"/>
    <s v="Shivam Asthana"/>
    <m/>
    <m/>
    <n v="6387986418"/>
    <m/>
    <x v="7"/>
    <m/>
    <s v="6.24 LPA"/>
    <m/>
    <m/>
    <s v="8 lpa"/>
    <s v="Screening Reject"/>
    <s v="Portal-LinkedIN"/>
    <d v="2026-01-05T00:00:00"/>
    <d v="2026-01-05T00:00:00"/>
    <m/>
    <m/>
    <m/>
    <m/>
    <m/>
    <m/>
    <m/>
    <m/>
    <m/>
    <m/>
    <m/>
    <m/>
    <m/>
    <m/>
    <m/>
    <m/>
    <m/>
    <m/>
    <m/>
    <m/>
    <m/>
    <m/>
    <m/>
  </r>
  <r>
    <s v="E001"/>
    <s v="R004"/>
    <s v="Pooja"/>
    <s v="Talme"/>
    <s v="Non - IT"/>
    <x v="3"/>
    <x v="2"/>
    <s v="HARINI YEJJU"/>
    <m/>
    <s v="yejjuharini42@gmail.com"/>
    <n v="9392779274"/>
    <m/>
    <x v="1"/>
    <m/>
    <m/>
    <m/>
    <m/>
    <m/>
    <s v="Screening Reject"/>
    <s v="Portal-LinkedIN"/>
    <d v="2026-01-08T00:00:00"/>
    <d v="2026-01-08T00:00:00"/>
    <m/>
    <m/>
    <m/>
    <m/>
    <m/>
    <m/>
    <m/>
    <m/>
    <m/>
    <m/>
    <m/>
    <m/>
    <m/>
    <m/>
    <m/>
    <m/>
    <m/>
    <m/>
    <m/>
    <m/>
    <m/>
    <m/>
    <m/>
  </r>
  <r>
    <s v="E001"/>
    <s v="R004"/>
    <s v="Pooja"/>
    <s v="Talme"/>
    <s v="Non - IT"/>
    <x v="3"/>
    <x v="2"/>
    <s v="SHRUTI RAI"/>
    <m/>
    <s v="shrutirai.770@gmail.com"/>
    <n v="7704078279"/>
    <m/>
    <x v="1"/>
    <m/>
    <m/>
    <m/>
    <m/>
    <m/>
    <s v="Screening Reject"/>
    <s v="Portal-LinkedIN"/>
    <d v="2026-01-08T00:00:00"/>
    <d v="2026-01-08T00:00:00"/>
    <m/>
    <m/>
    <m/>
    <m/>
    <m/>
    <m/>
    <m/>
    <m/>
    <m/>
    <m/>
    <m/>
    <m/>
    <m/>
    <m/>
    <m/>
    <m/>
    <m/>
    <m/>
    <m/>
    <m/>
    <m/>
    <m/>
    <m/>
  </r>
  <r>
    <s v="E001"/>
    <s v="R004"/>
    <s v="Pooja"/>
    <s v="Talme"/>
    <s v="Non - IT"/>
    <x v="3"/>
    <x v="2"/>
    <s v="Pranathi M.G"/>
    <m/>
    <s v="pranathigopal00@gmail.com"/>
    <n v="8660746114"/>
    <m/>
    <x v="1"/>
    <m/>
    <m/>
    <m/>
    <m/>
    <m/>
    <s v="Screening Reject"/>
    <s v="Portal-LinkedIN"/>
    <d v="2026-01-08T00:00:00"/>
    <d v="2026-01-08T00:00:00"/>
    <m/>
    <m/>
    <m/>
    <m/>
    <m/>
    <m/>
    <m/>
    <m/>
    <m/>
    <m/>
    <m/>
    <m/>
    <m/>
    <m/>
    <m/>
    <m/>
    <m/>
    <m/>
    <m/>
    <m/>
    <m/>
    <m/>
    <m/>
  </r>
  <r>
    <s v="D001"/>
    <s v="R003"/>
    <s v="Bhoomika"/>
    <s v="Talme"/>
    <s v="Non - IT"/>
    <x v="4"/>
    <x v="3"/>
    <s v="Saloni Sing"/>
    <s v="30 Days"/>
    <s v="salonisingh0877@gmail.com"/>
    <n v="6377429482"/>
    <s v="MBA"/>
    <x v="8"/>
    <s v="Panchami Global Project Pvt Ltd"/>
    <s v="2.8 LPA"/>
    <s v="Bengaluru_x0009_"/>
    <s v="Bengaluru_x0009_"/>
    <s v="3.5 LPA"/>
    <s v="Tech 1 to be Scheduled"/>
    <s v="Portal-Naukri"/>
    <d v="2026-01-07T00:00:00"/>
    <d v="2026-01-07T00:00:00"/>
    <s v="Tech 1 rejected"/>
    <m/>
    <m/>
    <m/>
    <m/>
    <m/>
    <m/>
    <m/>
    <m/>
    <m/>
    <m/>
    <m/>
    <m/>
    <m/>
    <m/>
    <m/>
    <m/>
    <m/>
    <m/>
    <m/>
    <m/>
    <m/>
    <m/>
  </r>
  <r>
    <s v="D001"/>
    <s v="R003"/>
    <s v="Bhoomika"/>
    <s v="Talme"/>
    <s v="Non - IT"/>
    <x v="4"/>
    <x v="3"/>
    <s v="Ashwin N R"/>
    <s v="7 Days"/>
    <s v="dhanyahari878@gmail.com"/>
    <n v="7483352201"/>
    <s v="P.G.D.C.A "/>
    <x v="6"/>
    <s v="Mobility Motors"/>
    <s v="2.8 LPA"/>
    <s v="Bengaluru_x0009_"/>
    <s v="Bengaluru_x0009_"/>
    <s v="3.2 LPA"/>
    <s v="Tech 1 to be Scheduled"/>
    <s v="Portal-Naukri"/>
    <d v="2026-01-07T00:00:00"/>
    <d v="2026-01-07T00:00:00"/>
    <s v="Tech 1 rejected"/>
    <m/>
    <m/>
    <m/>
    <m/>
    <m/>
    <m/>
    <m/>
    <m/>
    <m/>
    <m/>
    <m/>
    <m/>
    <m/>
    <m/>
    <m/>
    <m/>
    <m/>
    <m/>
    <m/>
    <m/>
    <m/>
    <m/>
  </r>
  <r>
    <s v="D001"/>
    <s v="R003"/>
    <s v="Bhoomika"/>
    <s v="Talme"/>
    <s v="Non - IT"/>
    <x v="4"/>
    <x v="3"/>
    <s v="Parul Vishwakarma"/>
    <s v="10 Days"/>
    <s v="parulvishwakarma2020@gmail.com"/>
    <n v="8918605535"/>
    <s v="B.Tech"/>
    <x v="9"/>
    <s v="Inosystek Solutions Pvt. Ltd"/>
    <s v="3.9 LPA"/>
    <s v="Bengaluru_x0009_"/>
    <s v="Bengaluru_x0009_"/>
    <s v="30% Hike"/>
    <s v="Tech 1 to be Scheduled"/>
    <s v="Portal-Naukri"/>
    <d v="2026-01-07T00:00:00"/>
    <d v="2026-01-07T00:00:00"/>
    <s v="Tech 1 rejected"/>
    <m/>
    <m/>
    <m/>
    <m/>
    <m/>
    <m/>
    <m/>
    <m/>
    <m/>
    <m/>
    <m/>
    <m/>
    <m/>
    <m/>
    <m/>
    <m/>
    <m/>
    <m/>
    <m/>
    <m/>
    <m/>
    <m/>
  </r>
  <r>
    <s v="D001"/>
    <s v="R003"/>
    <s v="Bhoomika"/>
    <s v="Talme"/>
    <s v="Non - IT"/>
    <x v="4"/>
    <x v="3"/>
    <s v="Vidhya M Sank"/>
    <s v="7 Days"/>
    <s v="vidyasank2003@gmail.com"/>
    <n v="9535796270"/>
    <s v="B.E"/>
    <x v="10"/>
    <s v="Simpliaxis Solutions Private Ltd"/>
    <s v="2.5 LPA"/>
    <s v="Bengaluru_x0009_"/>
    <s v="Bengaluru_x0009_"/>
    <s v="3.5 LPA"/>
    <s v="Tech 1 to be Scheduled"/>
    <s v="Portal-Naukri"/>
    <d v="2026-01-07T00:00:00"/>
    <d v="2026-01-07T00:00:00"/>
    <s v="Tech 1 rejected"/>
    <m/>
    <m/>
    <m/>
    <m/>
    <m/>
    <m/>
    <m/>
    <m/>
    <m/>
    <m/>
    <m/>
    <m/>
    <m/>
    <m/>
    <m/>
    <m/>
    <m/>
    <m/>
    <m/>
    <m/>
    <m/>
    <m/>
  </r>
  <r>
    <s v="D001"/>
    <s v="R003"/>
    <s v="Bhoomika"/>
    <s v="Talme"/>
    <s v="Non - IT"/>
    <x v="4"/>
    <x v="3"/>
    <s v="Madiha Yasmeen"/>
    <s v="Immediately"/>
    <s v="yasmeenmadiha524@gmail.com"/>
    <n v="9880711626"/>
    <s v="PUC"/>
    <x v="11"/>
    <s v="Info technology company"/>
    <s v="2 LPA"/>
    <s v="Bengaluru_x0009_"/>
    <s v="Bengaluru_x0009_"/>
    <s v="3.5 LPA"/>
    <s v="Tech 1 to be Scheduled"/>
    <s v="Portal-Naukri"/>
    <d v="2026-01-08T00:00:00"/>
    <d v="2026-01-08T00:00:00"/>
    <s v="Tech 1 rejected"/>
    <m/>
    <m/>
    <m/>
    <m/>
    <m/>
    <m/>
    <m/>
    <m/>
    <m/>
    <m/>
    <m/>
    <m/>
    <m/>
    <m/>
    <m/>
    <m/>
    <m/>
    <m/>
    <m/>
    <m/>
    <m/>
    <m/>
  </r>
  <r>
    <s v="D001"/>
    <s v="R003"/>
    <s v="Bhoomika"/>
    <s v="Talme"/>
    <s v="Non - IT"/>
    <x v="4"/>
    <x v="3"/>
    <s v="Farha Anjum"/>
    <s v="Immediately"/>
    <s v="ammuanjum136@gmail.com"/>
    <n v="9380875136"/>
    <s v="PUC"/>
    <x v="12"/>
    <s v="Blackbuck"/>
    <s v="2.5 LPA"/>
    <s v="Chikkabanavara"/>
    <s v="Bengaluru_x0009_"/>
    <s v="3 LPA"/>
    <s v="Tech 1 to be Scheduled"/>
    <s v="Portal-LinkedIN"/>
    <d v="2026-01-08T00:00:00"/>
    <d v="2026-01-08T00:00:00"/>
    <s v="Tech 1 rejected"/>
    <m/>
    <m/>
    <m/>
    <m/>
    <m/>
    <m/>
    <m/>
    <m/>
    <m/>
    <m/>
    <m/>
    <m/>
    <m/>
    <m/>
    <m/>
    <m/>
    <m/>
    <m/>
    <m/>
    <m/>
    <m/>
    <m/>
  </r>
  <r>
    <s v="D002"/>
    <s v="R003"/>
    <s v="Bhoomika"/>
    <s v="Talme"/>
    <s v="Non - IT"/>
    <x v="5"/>
    <x v="3"/>
    <s v="Girish"/>
    <s v="Immediately"/>
    <s v="girishdivakar04@gmail.com"/>
    <n v="9740531518"/>
    <s v="B.Com"/>
    <x v="13"/>
    <s v="Innovative System Pvt Ltd"/>
    <s v="2.7 LPA"/>
    <s v="Bengaluru_x0009_"/>
    <s v="Bengaluru_x0009_"/>
    <s v="3 LPA"/>
    <s v="Tech 1 to be Scheduled"/>
    <s v="Portal-LinkedIN"/>
    <d v="2026-01-08T00:00:00"/>
    <d v="2026-01-08T00:00:00"/>
    <s v="Tech 1 rejected"/>
    <m/>
    <m/>
    <m/>
    <m/>
    <m/>
    <m/>
    <m/>
    <m/>
    <m/>
    <m/>
    <m/>
    <m/>
    <m/>
    <m/>
    <m/>
    <m/>
    <m/>
    <m/>
    <m/>
    <m/>
    <m/>
    <m/>
  </r>
  <r>
    <s v="D002"/>
    <s v="R003"/>
    <s v="Bhoomika"/>
    <s v="Talme"/>
    <s v="Non - IT"/>
    <x v="5"/>
    <x v="3"/>
    <s v="Jagannath G"/>
    <s v="Immediately"/>
    <s v="mailsforjagan44@gmail.com"/>
    <s v="90719 53498"/>
    <s v="PUC"/>
    <x v="14"/>
    <s v="Magic bricks"/>
    <s v="3.2 LPA"/>
    <s v="Bengaluru_x0009_"/>
    <s v="Bengaluru_x0009_"/>
    <s v="  As per company standards"/>
    <s v="Tech 1 to be Scheduled"/>
    <s v="Portal-LinkedIN"/>
    <d v="2026-01-08T00:00:00"/>
    <d v="2026-01-08T00:00:00"/>
    <s v="Tech 1 rejected"/>
    <m/>
    <m/>
    <m/>
    <m/>
    <m/>
    <m/>
    <m/>
    <m/>
    <m/>
    <m/>
    <m/>
    <m/>
    <m/>
    <m/>
    <m/>
    <m/>
    <m/>
    <m/>
    <m/>
    <m/>
    <m/>
    <m/>
  </r>
  <r>
    <s v="A003"/>
    <s v="R002"/>
    <s v="Harshitha"/>
    <s v="Talme"/>
    <s v="IT"/>
    <x v="6"/>
    <x v="4"/>
    <s v="Sandeep Kumar"/>
    <s v="Immediately"/>
    <s v="sandy20mjn@gmail.com"/>
    <n v="9456903676"/>
    <s v="B.Tech"/>
    <x v="15"/>
    <s v="Bitwise Solutions"/>
    <s v="40 LPA"/>
    <m/>
    <m/>
    <s v="48 LPA"/>
    <s v="Screening Reject by Client"/>
    <s v="Portal-Naukri"/>
    <d v="2026-01-08T00:00:00"/>
    <d v="2026-01-08T00:00:00"/>
    <s v="Rejected by panel"/>
    <m/>
    <m/>
    <m/>
    <m/>
    <m/>
    <m/>
    <m/>
    <m/>
    <m/>
    <m/>
    <m/>
    <m/>
    <m/>
    <m/>
    <m/>
    <m/>
    <m/>
    <m/>
    <m/>
    <m/>
    <m/>
    <m/>
  </r>
  <r>
    <s v="A003"/>
    <s v="R002"/>
    <s v="Harshitha"/>
    <s v="Talme"/>
    <s v="IT"/>
    <x v="6"/>
    <x v="4"/>
    <s v="rajesh kumar"/>
    <m/>
    <s v="rajesh7733@gmail.com"/>
    <n v="9900297636"/>
    <s v="M.Tech"/>
    <x v="16"/>
    <s v="Continental Automotive"/>
    <s v="30 LPA"/>
    <m/>
    <m/>
    <s v="40 LPA"/>
    <s v="Screening Reject by Client"/>
    <s v="Portal-Naukri"/>
    <d v="2026-01-08T00:00:00"/>
    <d v="2026-01-08T00:00:00"/>
    <s v="Rejected by panel"/>
    <m/>
    <m/>
    <m/>
    <m/>
    <m/>
    <m/>
    <m/>
    <m/>
    <m/>
    <m/>
    <m/>
    <m/>
    <m/>
    <m/>
    <m/>
    <m/>
    <m/>
    <m/>
    <m/>
    <m/>
    <m/>
    <m/>
  </r>
  <r>
    <s v="A003"/>
    <s v="R002"/>
    <s v="Harshitha"/>
    <s v="Talme"/>
    <s v="IT"/>
    <x v="6"/>
    <x v="4"/>
    <s v="JOY MUKHERJEE BHUMANA"/>
    <m/>
    <s v="joycloud77@gmail.com"/>
    <n v="8639873718"/>
    <s v="B.Tech"/>
    <x v="17"/>
    <s v="GENPACT"/>
    <s v="29 LPA"/>
    <m/>
    <m/>
    <s v="39 LPA"/>
    <s v="Tech 1 Reject"/>
    <s v="Portal-Naukri"/>
    <d v="2026-01-08T00:00:00"/>
    <d v="2026-01-08T00:00:00"/>
    <s v="L1 scheduled"/>
    <d v="2026-01-15T00:00:00"/>
    <s v="Reject"/>
    <m/>
    <m/>
    <m/>
    <m/>
    <m/>
    <m/>
    <m/>
    <m/>
    <m/>
    <m/>
    <m/>
    <m/>
    <m/>
    <m/>
    <m/>
    <m/>
    <m/>
    <m/>
    <m/>
    <m/>
  </r>
  <r>
    <s v="A004"/>
    <s v="R002"/>
    <s v="Harshitha"/>
    <s v="Talme"/>
    <s v="IT"/>
    <x v="7"/>
    <x v="4"/>
    <s v="Rakesh Kumar Mohapatra"/>
    <m/>
    <s v="aapkarakesh46@gmail.com"/>
    <n v="7683937847"/>
    <s v="B.Tech"/>
    <x v="18"/>
    <s v=" Skylink Communications"/>
    <s v="5 LPA"/>
    <m/>
    <m/>
    <s v="8 lpa"/>
    <s v="Screening Reject"/>
    <s v="Portal-Naukri"/>
    <d v="2026-01-08T00:00:00"/>
    <d v="2026-01-08T00:00:00"/>
    <m/>
    <m/>
    <m/>
    <m/>
    <m/>
    <m/>
    <m/>
    <m/>
    <m/>
    <m/>
    <m/>
    <m/>
    <m/>
    <m/>
    <m/>
    <m/>
    <m/>
    <m/>
    <m/>
    <m/>
    <m/>
    <m/>
    <m/>
  </r>
  <r>
    <s v="A004"/>
    <s v="R002"/>
    <s v="Harshitha"/>
    <s v="Talme"/>
    <s v="IT"/>
    <x v="7"/>
    <x v="4"/>
    <s v="Saikumar"/>
    <m/>
    <s v="saikumarsingathi31@gmail.com"/>
    <n v="9550345310"/>
    <s v="B.Tech"/>
    <x v="19"/>
    <s v="SMS TECHSOFT INDIA LIMITED"/>
    <s v="7.5 LPA"/>
    <m/>
    <m/>
    <s v="10 LPA"/>
    <s v="Tech 1 to be Scheduled"/>
    <s v="Portal-Naukri"/>
    <d v="2026-01-08T00:00:00"/>
    <d v="2026-01-08T00:00:00"/>
    <m/>
    <m/>
    <m/>
    <m/>
    <m/>
    <m/>
    <m/>
    <m/>
    <m/>
    <m/>
    <m/>
    <m/>
    <m/>
    <m/>
    <m/>
    <m/>
    <m/>
    <m/>
    <m/>
    <m/>
    <m/>
    <m/>
    <m/>
  </r>
  <r>
    <s v="A004"/>
    <s v="R002"/>
    <s v="Harshitha"/>
    <s v="Talme"/>
    <s v="IT"/>
    <x v="7"/>
    <x v="4"/>
    <s v="Pushpendra singh"/>
    <m/>
    <s v="pushpendrsingh41@gmail.com"/>
    <n v="7017152771"/>
    <s v="MCA"/>
    <x v="20"/>
    <s v="HCLTech "/>
    <s v="5.5 LPA"/>
    <m/>
    <m/>
    <s v="8.5 LPA"/>
    <s v="Screening Reject"/>
    <s v="Screening Reject"/>
    <d v="2026-01-08T00:00:00"/>
    <d v="2026-01-08T00:00:00"/>
    <m/>
    <m/>
    <m/>
    <m/>
    <m/>
    <m/>
    <m/>
    <m/>
    <m/>
    <m/>
    <m/>
    <m/>
    <m/>
    <m/>
    <m/>
    <m/>
    <m/>
    <m/>
    <m/>
    <m/>
    <m/>
    <m/>
    <m/>
  </r>
  <r>
    <s v="A004"/>
    <s v="R002"/>
    <s v="Harshitha"/>
    <s v="Talme"/>
    <s v="IT"/>
    <x v="7"/>
    <x v="4"/>
    <s v="Raju Gurjar"/>
    <m/>
    <s v="rajugurjar8072@gmail.com"/>
    <n v="9699738072"/>
    <s v="B.Tech"/>
    <x v="19"/>
    <s v="Quadlabs Technologies"/>
    <s v="5.5 LPA"/>
    <m/>
    <m/>
    <s v="9 LPA"/>
    <s v="Screening Reject"/>
    <s v="Portal-Naukri"/>
    <d v="2026-01-08T00:00:00"/>
    <d v="2026-01-08T00:00:00"/>
    <m/>
    <m/>
    <m/>
    <m/>
    <m/>
    <m/>
    <m/>
    <m/>
    <m/>
    <m/>
    <m/>
    <m/>
    <m/>
    <m/>
    <m/>
    <m/>
    <m/>
    <m/>
    <m/>
    <m/>
    <m/>
    <m/>
    <m/>
  </r>
  <r>
    <s v="A004"/>
    <s v="R002"/>
    <s v="Harshitha"/>
    <s v="Talme"/>
    <s v="IT"/>
    <x v="7"/>
    <x v="4"/>
    <s v="Mohd Abdul Saud"/>
    <m/>
    <s v="sohailsohail1993@gmail.com"/>
    <n v="7799560844"/>
    <s v="M.Com"/>
    <x v="21"/>
    <s v="FHPL"/>
    <s v="6.2 LPA"/>
    <m/>
    <m/>
    <s v="9 LPA"/>
    <s v="Screening Reject"/>
    <s v="Portal-Naukri"/>
    <d v="2026-01-08T00:00:00"/>
    <d v="2026-01-08T00:00:00"/>
    <m/>
    <m/>
    <m/>
    <m/>
    <m/>
    <m/>
    <m/>
    <m/>
    <m/>
    <m/>
    <m/>
    <m/>
    <m/>
    <m/>
    <m/>
    <m/>
    <m/>
    <m/>
    <m/>
    <m/>
    <m/>
    <m/>
    <m/>
  </r>
  <r>
    <s v="A004"/>
    <s v="R002"/>
    <s v="Harshitha"/>
    <s v="Talme"/>
    <s v="IT"/>
    <x v="7"/>
    <x v="4"/>
    <s v="Santosh Shanbhag"/>
    <m/>
    <s v="santoshs23.work@gmail.com"/>
    <n v="7975905615"/>
    <s v="B.Tech"/>
    <x v="22"/>
    <s v="Deel Payroll India Pvt. Ltd"/>
    <s v="8.5 LPA"/>
    <m/>
    <m/>
    <s v="10 LPA"/>
    <s v="Tech 1 Reject"/>
    <s v="Portal-Naukri"/>
    <d v="2026-01-07T00:00:00"/>
    <d v="2026-01-07T00:00:00"/>
    <s v="L1 scheduled"/>
    <d v="2026-01-09T00:00:00"/>
    <m/>
    <m/>
    <m/>
    <m/>
    <m/>
    <m/>
    <m/>
    <m/>
    <m/>
    <m/>
    <m/>
    <m/>
    <m/>
    <m/>
    <m/>
    <m/>
    <m/>
    <m/>
    <m/>
    <m/>
    <m/>
  </r>
  <r>
    <s v="A004"/>
    <s v="R002"/>
    <s v="Harshitha"/>
    <s v="Talme"/>
    <s v="IT"/>
    <x v="7"/>
    <x v="4"/>
    <s v="Shivaprasad. M"/>
    <m/>
    <s v="msprasad548@gmail.com"/>
    <n v="9381023541"/>
    <s v="M.Tech"/>
    <x v="23"/>
    <s v="Infosys"/>
    <s v="4.86 LPA"/>
    <m/>
    <m/>
    <s v="9 LPA"/>
    <s v="Screening Reject"/>
    <s v="Portal-Naukri"/>
    <d v="2026-01-07T00:00:00"/>
    <d v="2026-01-07T00:00:00"/>
    <s v="Rejected by panel"/>
    <m/>
    <m/>
    <m/>
    <m/>
    <m/>
    <m/>
    <m/>
    <m/>
    <m/>
    <m/>
    <m/>
    <m/>
    <m/>
    <m/>
    <m/>
    <m/>
    <m/>
    <m/>
    <m/>
    <m/>
    <m/>
    <m/>
  </r>
  <r>
    <s v="A004"/>
    <s v="R002"/>
    <s v="Harshitha"/>
    <s v="Talme"/>
    <s v="IT"/>
    <x v="7"/>
    <x v="4"/>
    <s v="MD DANISH HUSSAIN"/>
    <m/>
    <s v="dinuhussain13@outlook.co"/>
    <n v="9546892142"/>
    <s v="B.Sc"/>
    <x v="24"/>
    <s v="3i Infotech"/>
    <s v="5.5 LPA"/>
    <m/>
    <m/>
    <s v="7 LPA"/>
    <s v="Tech 1 Reject"/>
    <s v="Portal-Naukri"/>
    <d v="2026-01-07T00:00:00"/>
    <d v="2026-01-07T00:00:00"/>
    <s v="L1 scheduled"/>
    <d v="2026-01-08T00:00:00"/>
    <m/>
    <m/>
    <m/>
    <m/>
    <m/>
    <m/>
    <m/>
    <m/>
    <m/>
    <m/>
    <m/>
    <m/>
    <m/>
    <m/>
    <m/>
    <m/>
    <m/>
    <m/>
    <m/>
    <m/>
    <m/>
  </r>
  <r>
    <s v="A004"/>
    <s v="R002"/>
    <s v="Harshitha"/>
    <s v="Talme"/>
    <s v="IT"/>
    <x v="7"/>
    <x v="4"/>
    <s v="H J Nagesh"/>
    <m/>
    <s v="nagesh2go@gmail.com"/>
    <n v="9008654476"/>
    <s v="B.Tech"/>
    <x v="20"/>
    <s v="Toyota Boshoku"/>
    <s v="7.97 LPA"/>
    <m/>
    <m/>
    <s v="9 LPA"/>
    <s v="Screening Reject"/>
    <s v="Portal-Naukri"/>
    <d v="2026-01-07T00:00:00"/>
    <d v="2026-01-07T00:00:00"/>
    <s v="Rejected by panel"/>
    <m/>
    <m/>
    <m/>
    <m/>
    <m/>
    <m/>
    <m/>
    <m/>
    <m/>
    <m/>
    <m/>
    <m/>
    <m/>
    <m/>
    <m/>
    <m/>
    <m/>
    <m/>
    <m/>
    <m/>
    <m/>
    <m/>
  </r>
  <r>
    <s v="A004"/>
    <s v="R002"/>
    <s v="Harshitha"/>
    <s v="Talme"/>
    <s v="IT"/>
    <x v="7"/>
    <x v="4"/>
    <s v="Abhinay Singh"/>
    <m/>
    <s v="kushwah.abhinay@gmail.com"/>
    <n v="8445865760"/>
    <s v="B.Com"/>
    <x v="25"/>
    <s v="Wipro"/>
    <s v="5.5 LPA"/>
    <m/>
    <m/>
    <s v="9 LPA ( Offer in hand- 7.5 LPA )"/>
    <s v="Screening Reject"/>
    <s v="Portal-Naukri"/>
    <d v="2026-01-07T00:00:00"/>
    <d v="2026-01-07T00:00:00"/>
    <s v="Rejected by panel"/>
    <m/>
    <m/>
    <m/>
    <m/>
    <m/>
    <m/>
    <m/>
    <m/>
    <m/>
    <m/>
    <m/>
    <m/>
    <m/>
    <m/>
    <m/>
    <m/>
    <m/>
    <m/>
    <m/>
    <m/>
    <m/>
    <m/>
  </r>
  <r>
    <s v="A004"/>
    <s v="R002"/>
    <s v="Harshitha"/>
    <s v="Talme"/>
    <s v="IT"/>
    <x v="7"/>
    <x v="4"/>
    <s v="Manikanta Chemaladinne"/>
    <m/>
    <s v="manikantachemaladinne9@gmail.com"/>
    <n v="6362987622"/>
    <s v="B.Tech"/>
    <x v="22"/>
    <s v="Wipro"/>
    <s v="5 LPA"/>
    <m/>
    <m/>
    <s v="8 lpa"/>
    <s v="Screening Reject"/>
    <s v="Portal-Naukri"/>
    <d v="2026-01-07T00:00:00"/>
    <d v="2026-01-07T00:00:00"/>
    <s v="Rejected by panel"/>
    <m/>
    <m/>
    <m/>
    <m/>
    <m/>
    <m/>
    <m/>
    <m/>
    <m/>
    <m/>
    <m/>
    <m/>
    <m/>
    <m/>
    <m/>
    <m/>
    <m/>
    <m/>
    <m/>
    <m/>
    <m/>
    <m/>
  </r>
  <r>
    <s v="A004"/>
    <s v="R002"/>
    <s v="Harshitha"/>
    <s v="Talme"/>
    <s v="IT"/>
    <x v="7"/>
    <x v="4"/>
    <s v="Shubham Patel"/>
    <m/>
    <s v="sp.shubham.patel07@gmail.com"/>
    <n v="7289872757"/>
    <s v="BCA"/>
    <x v="22"/>
    <s v="Progressive Infotech"/>
    <s v="7.8 LPA"/>
    <m/>
    <m/>
    <s v="9.5 LPA"/>
    <s v="Screening Reject"/>
    <s v="Portal-Naukri"/>
    <d v="2026-01-07T00:00:00"/>
    <d v="2026-01-07T00:00:00"/>
    <s v="Rejected by panel"/>
    <m/>
    <m/>
    <m/>
    <m/>
    <m/>
    <m/>
    <m/>
    <m/>
    <m/>
    <m/>
    <m/>
    <m/>
    <m/>
    <m/>
    <m/>
    <m/>
    <m/>
    <m/>
    <m/>
    <m/>
    <m/>
    <m/>
  </r>
  <r>
    <s v="A004"/>
    <s v="R002"/>
    <s v="Harshitha"/>
    <s v="Talme"/>
    <s v="IT"/>
    <x v="7"/>
    <x v="4"/>
    <s v="Nitin Gupta"/>
    <m/>
    <s v="gbeenu@gmail.com"/>
    <n v="8586086798"/>
    <s v="B.A"/>
    <x v="20"/>
    <s v="Pacific Development"/>
    <s v="6 LPA"/>
    <m/>
    <m/>
    <s v="9 LPA"/>
    <s v="Screening Reject"/>
    <s v="Portal-Naukri"/>
    <d v="2026-01-07T00:00:00"/>
    <d v="2026-01-07T00:00:00"/>
    <s v="Rejected by panel"/>
    <m/>
    <m/>
    <m/>
    <m/>
    <m/>
    <m/>
    <m/>
    <m/>
    <m/>
    <m/>
    <m/>
    <m/>
    <m/>
    <m/>
    <m/>
    <m/>
    <m/>
    <m/>
    <m/>
    <m/>
    <m/>
    <m/>
  </r>
  <r>
    <s v="A004"/>
    <s v="R002"/>
    <s v="Harshitha"/>
    <s v="Talme"/>
    <s v="IT"/>
    <x v="7"/>
    <x v="4"/>
    <s v="Ajeet Yadav"/>
    <m/>
    <s v="yadav.ajeet2872@gmail.com"/>
    <n v="9598212872"/>
    <s v="MGKVP university"/>
    <x v="22"/>
    <s v="Tech Mahindra"/>
    <s v="4.5 LPA"/>
    <m/>
    <m/>
    <s v="7 LPA"/>
    <s v="Screening Reject"/>
    <s v="Portal-Naukri"/>
    <d v="2026-01-07T00:00:00"/>
    <d v="2026-01-07T00:00:00"/>
    <s v="Rejected by panel"/>
    <m/>
    <m/>
    <m/>
    <m/>
    <m/>
    <m/>
    <m/>
    <m/>
    <m/>
    <m/>
    <m/>
    <m/>
    <m/>
    <m/>
    <m/>
    <m/>
    <m/>
    <m/>
    <m/>
    <m/>
    <m/>
    <m/>
  </r>
  <r>
    <s v="A004"/>
    <s v="R002"/>
    <s v="Harshitha"/>
    <s v="Talme"/>
    <s v="IT"/>
    <x v="7"/>
    <x v="4"/>
    <s v="Rasala Chandu Yadav"/>
    <m/>
    <s v="chandurasala253@gmail.com"/>
    <n v="8096286100"/>
    <s v="B.Tech"/>
    <x v="26"/>
    <s v="IBM"/>
    <s v="8 LPA"/>
    <m/>
    <m/>
    <s v="10.5 LPA"/>
    <s v="Tech 1 to be Scheduled"/>
    <s v="Portal-LinkedIN"/>
    <d v="2026-01-07T00:00:00"/>
    <d v="2026-01-07T00:00:00"/>
    <s v="L1 scheduled"/>
    <m/>
    <m/>
    <m/>
    <m/>
    <m/>
    <m/>
    <m/>
    <m/>
    <m/>
    <m/>
    <m/>
    <m/>
    <m/>
    <m/>
    <m/>
    <m/>
    <m/>
    <m/>
    <m/>
    <m/>
    <m/>
    <m/>
  </r>
  <r>
    <s v="A003"/>
    <s v="R004"/>
    <s v="Pooja"/>
    <s v="Talme"/>
    <s v="IT"/>
    <x v="6"/>
    <x v="4"/>
    <s v="Abhinav Saxena"/>
    <m/>
    <s v="abhinavsaxenanit@gmail.com"/>
    <n v="7068120242"/>
    <s v="M.Tech"/>
    <x v="27"/>
    <s v="iLink Digital "/>
    <s v="34 LPA"/>
    <m/>
    <m/>
    <s v="50 LPA"/>
    <s v="Tech 1 Reject"/>
    <s v="Portal-Naukri"/>
    <d v="2026-01-09T00:00:00"/>
    <d v="2026-01-09T00:00:00"/>
    <m/>
    <d v="2026-01-17T00:00:00"/>
    <m/>
    <m/>
    <m/>
    <m/>
    <m/>
    <m/>
    <m/>
    <m/>
    <m/>
    <m/>
    <m/>
    <m/>
    <m/>
    <m/>
    <m/>
    <m/>
    <m/>
    <m/>
    <m/>
    <m/>
    <m/>
  </r>
  <r>
    <s v="A003"/>
    <s v="R004"/>
    <s v="Pooja"/>
    <s v="Talme"/>
    <s v="IT"/>
    <x v="6"/>
    <x v="4"/>
    <s v="Kumar Gautam"/>
    <m/>
    <s v="gautamjamshedpur@gmail.com"/>
    <n v="8050641316"/>
    <s v="MCA"/>
    <x v="28"/>
    <s v="Harman"/>
    <s v="28 LPA"/>
    <m/>
    <m/>
    <s v="40 LPA"/>
    <s v="Tech 1 Reject"/>
    <s v="Portal-Naukri"/>
    <d v="2026-01-09T00:00:00"/>
    <d v="2026-01-09T00:00:00"/>
    <m/>
    <d v="2026-01-19T00:00:00"/>
    <m/>
    <m/>
    <m/>
    <m/>
    <m/>
    <m/>
    <m/>
    <m/>
    <m/>
    <m/>
    <m/>
    <m/>
    <m/>
    <m/>
    <m/>
    <m/>
    <m/>
    <m/>
    <m/>
    <m/>
    <m/>
  </r>
  <r>
    <s v="A003"/>
    <s v="R004"/>
    <s v="Pooja"/>
    <s v="Talme"/>
    <s v="IT"/>
    <x v="6"/>
    <x v="4"/>
    <s v="Siva Singh"/>
    <m/>
    <s v="thakurshiva89@gmail.com"/>
    <n v="9045737395"/>
    <s v="MCA"/>
    <x v="29"/>
    <s v="Cloud Science Labs"/>
    <s v="30 LPA"/>
    <m/>
    <m/>
    <s v="35 LPA"/>
    <s v="Tech 1 Reject"/>
    <s v="Portal-Naukri"/>
    <d v="2026-01-09T00:00:00"/>
    <d v="2026-01-09T00:00:00"/>
    <m/>
    <s v="17/01/2026"/>
    <m/>
    <m/>
    <m/>
    <m/>
    <m/>
    <m/>
    <m/>
    <m/>
    <m/>
    <m/>
    <m/>
    <m/>
    <m/>
    <m/>
    <m/>
    <m/>
    <m/>
    <m/>
    <m/>
    <m/>
    <m/>
  </r>
  <r>
    <s v="A004"/>
    <s v="R002"/>
    <s v="Harshitha"/>
    <s v="Talme"/>
    <s v="IT"/>
    <x v="7"/>
    <x v="4"/>
    <s v="Shubham Sharma"/>
    <m/>
    <s v="mrshubh04@gmail.com"/>
    <n v="8171446365"/>
    <s v="MA"/>
    <x v="20"/>
    <s v="3i Infotech"/>
    <s v="5 LPA"/>
    <m/>
    <m/>
    <s v="9 LPA"/>
    <s v="Tech 1 to be Scheduled"/>
    <s v="Portal-Naukri"/>
    <d v="2026-01-09T00:00:00"/>
    <d v="2026-01-09T00:00:00"/>
    <s v="L1 scheduled"/>
    <d v="2026-01-12T00:00:00"/>
    <m/>
    <m/>
    <m/>
    <m/>
    <m/>
    <m/>
    <m/>
    <m/>
    <m/>
    <m/>
    <m/>
    <m/>
    <m/>
    <m/>
    <m/>
    <m/>
    <m/>
    <m/>
    <m/>
    <m/>
    <m/>
  </r>
  <r>
    <s v="A004"/>
    <s v="R002"/>
    <s v="Harshitha"/>
    <s v="Talme"/>
    <s v="IT"/>
    <x v="7"/>
    <x v="4"/>
    <s v="Mithun Jadhao"/>
    <m/>
    <s v="mithun.jadhao67@gmail.com"/>
    <n v="9607049916"/>
    <s v="B.Tech"/>
    <x v="22"/>
    <s v="Quantum link Communication Pvt Ltd"/>
    <s v="5 LPA"/>
    <m/>
    <m/>
    <s v="7 LPA"/>
    <s v="Tech 1 to be Scheduled"/>
    <s v="Portal-Naukri"/>
    <d v="2026-01-09T00:00:00"/>
    <d v="2026-01-09T00:00:00"/>
    <s v="L1 scheduled"/>
    <d v="2026-01-12T00:00:00"/>
    <m/>
    <m/>
    <m/>
    <m/>
    <m/>
    <m/>
    <m/>
    <m/>
    <m/>
    <m/>
    <m/>
    <m/>
    <m/>
    <m/>
    <m/>
    <m/>
    <m/>
    <m/>
    <m/>
    <m/>
    <m/>
  </r>
  <r>
    <s v="A004"/>
    <s v="R002"/>
    <s v="Harshitha"/>
    <s v="Talme"/>
    <s v="IT"/>
    <x v="7"/>
    <x v="4"/>
    <s v="kovuru amreesh kumar"/>
    <m/>
    <s v="amreeshhardith11@gmail.com"/>
    <n v="8121182073"/>
    <s v="B.Tech"/>
    <x v="22"/>
    <s v="Genpact"/>
    <s v="9 LPA"/>
    <m/>
    <m/>
    <s v="10 LPA"/>
    <s v="Tech 1 to be Scheduled"/>
    <s v="Portal-Naukri"/>
    <d v="2026-01-09T00:00:00"/>
    <d v="2026-01-09T00:00:00"/>
    <s v="L1 scheduled"/>
    <d v="2026-01-12T00:00:00"/>
    <m/>
    <m/>
    <m/>
    <m/>
    <m/>
    <m/>
    <m/>
    <m/>
    <m/>
    <m/>
    <m/>
    <m/>
    <m/>
    <m/>
    <m/>
    <m/>
    <m/>
    <m/>
    <m/>
    <m/>
    <m/>
  </r>
  <r>
    <s v="C001"/>
    <s v="R002"/>
    <s v="Harshitha"/>
    <s v="Talme"/>
    <s v="IT"/>
    <x v="8"/>
    <x v="5"/>
    <s v="Rakesh Rao MG"/>
    <m/>
    <s v="rakey0014@gmail.com"/>
    <n v="9663289898"/>
    <s v="B.E"/>
    <x v="15"/>
    <s v="Chargepoint Technologies"/>
    <s v="37 LPA"/>
    <m/>
    <m/>
    <s v="45 LPA"/>
    <s v="Sourced"/>
    <s v="Portal-Naukri"/>
    <d v="2026-01-09T00:00:00"/>
    <d v="2026-01-09T00:00:00"/>
    <m/>
    <m/>
    <m/>
    <m/>
    <m/>
    <m/>
    <m/>
    <m/>
    <m/>
    <m/>
    <m/>
    <m/>
    <m/>
    <m/>
    <m/>
    <m/>
    <m/>
    <m/>
    <m/>
    <m/>
    <m/>
    <m/>
    <m/>
  </r>
  <r>
    <s v="C001"/>
    <s v="R002"/>
    <s v="Harshitha"/>
    <s v="Talme"/>
    <s v="IT"/>
    <x v="8"/>
    <x v="5"/>
    <s v="Dilip Kumar"/>
    <m/>
    <s v="dilip.mishra47@yahoo.com"/>
    <n v="8010464869"/>
    <s v="MCA"/>
    <x v="15"/>
    <s v="Tooliqa"/>
    <s v="26 LPA"/>
    <m/>
    <m/>
    <s v="36 LPA"/>
    <s v="Sourced"/>
    <s v="Portal-Naukri"/>
    <d v="2026-01-09T00:00:00"/>
    <d v="2026-01-09T00:00:00"/>
    <m/>
    <m/>
    <m/>
    <m/>
    <m/>
    <m/>
    <m/>
    <m/>
    <m/>
    <m/>
    <m/>
    <m/>
    <m/>
    <m/>
    <m/>
    <m/>
    <m/>
    <m/>
    <m/>
    <m/>
    <m/>
    <m/>
    <m/>
  </r>
  <r>
    <s v="C001"/>
    <s v="R002"/>
    <s v="Harshitha"/>
    <s v="Talme"/>
    <s v="IT"/>
    <x v="8"/>
    <x v="5"/>
    <s v="shashank"/>
    <m/>
    <s v="tathagathashashank@gmail.com"/>
    <n v="8951736588"/>
    <s v="B.E"/>
    <x v="30"/>
    <s v="EPAM Systems"/>
    <s v="36 LPA"/>
    <m/>
    <m/>
    <s v="54 LPA ( Negotiable )"/>
    <s v="Sourced"/>
    <s v="Portal-Naukri"/>
    <d v="2026-01-09T00:00:00"/>
    <d v="2026-01-09T00:00:00"/>
    <m/>
    <m/>
    <m/>
    <m/>
    <m/>
    <m/>
    <m/>
    <m/>
    <m/>
    <m/>
    <m/>
    <m/>
    <m/>
    <m/>
    <m/>
    <m/>
    <m/>
    <m/>
    <m/>
    <m/>
    <m/>
    <m/>
    <m/>
  </r>
  <r>
    <s v="C001"/>
    <s v="R002"/>
    <s v="Harshitha"/>
    <s v="Talme"/>
    <s v="IT"/>
    <x v="8"/>
    <x v="5"/>
    <s v="Nanda Gopal"/>
    <m/>
    <s v="text2nandha@gmail.com"/>
    <n v="8754994013"/>
    <s v="BCA"/>
    <x v="31"/>
    <s v="Mphasis"/>
    <s v="28 LPA"/>
    <m/>
    <m/>
    <s v="35 LPA"/>
    <s v="Sourced"/>
    <s v="Portal-Naukri"/>
    <d v="2026-01-09T00:00:00"/>
    <d v="2026-01-09T00:00:00"/>
    <m/>
    <m/>
    <m/>
    <m/>
    <m/>
    <m/>
    <m/>
    <m/>
    <m/>
    <m/>
    <m/>
    <m/>
    <m/>
    <m/>
    <m/>
    <m/>
    <m/>
    <m/>
    <m/>
    <m/>
    <m/>
    <m/>
    <m/>
  </r>
  <r>
    <s v="C001"/>
    <s v="R002"/>
    <s v="Harshitha"/>
    <s v="Talme"/>
    <s v="IT"/>
    <x v="8"/>
    <x v="5"/>
    <s v="Prathyusha"/>
    <m/>
    <s v="rprathyushar@gmail.com"/>
    <n v="8939715912"/>
    <s v="B.E"/>
    <x v="32"/>
    <s v="Neudesic Technologies"/>
    <s v="33 LPA"/>
    <m/>
    <m/>
    <s v="40 LPA ( Offer in hand-38 LPA )"/>
    <s v="Sourced"/>
    <s v="Portal-Naukri"/>
    <d v="2026-01-09T00:00:00"/>
    <d v="2026-01-09T00:00:00"/>
    <m/>
    <m/>
    <m/>
    <m/>
    <m/>
    <m/>
    <m/>
    <m/>
    <m/>
    <m/>
    <m/>
    <m/>
    <m/>
    <m/>
    <m/>
    <m/>
    <m/>
    <m/>
    <m/>
    <m/>
    <m/>
    <m/>
    <m/>
  </r>
  <r>
    <s v="E001"/>
    <s v="R003"/>
    <s v="Bhoomika"/>
    <s v="Talme"/>
    <s v="Non - IT"/>
    <x v="3"/>
    <x v="2"/>
    <s v="PRAKASH"/>
    <m/>
    <m/>
    <n v="9025937640"/>
    <m/>
    <x v="1"/>
    <m/>
    <m/>
    <m/>
    <m/>
    <m/>
    <s v="Screening Reject"/>
    <s v="Portal-LinkedIN"/>
    <s v="24/12/2026"/>
    <s v="24/12/2026"/>
    <m/>
    <m/>
    <m/>
    <m/>
    <m/>
    <m/>
    <m/>
    <m/>
    <m/>
    <m/>
    <m/>
    <m/>
    <m/>
    <m/>
    <m/>
    <m/>
    <m/>
    <m/>
    <m/>
    <m/>
    <m/>
    <m/>
    <m/>
  </r>
  <r>
    <s v="E001"/>
    <s v="R003"/>
    <s v="Bhoomika"/>
    <s v="Talme"/>
    <s v="Non - IT"/>
    <x v="3"/>
    <x v="2"/>
    <s v="Arjun Kumar"/>
    <m/>
    <m/>
    <n v="9716790203"/>
    <m/>
    <x v="1"/>
    <m/>
    <m/>
    <m/>
    <m/>
    <m/>
    <s v="Screening Reject"/>
    <s v="Portal-LinkedIN"/>
    <s v="24/12/2026"/>
    <s v="24/12/2026"/>
    <m/>
    <m/>
    <m/>
    <m/>
    <m/>
    <m/>
    <m/>
    <m/>
    <m/>
    <m/>
    <m/>
    <m/>
    <m/>
    <m/>
    <m/>
    <m/>
    <m/>
    <m/>
    <m/>
    <m/>
    <m/>
    <m/>
    <m/>
  </r>
  <r>
    <s v="E001"/>
    <s v="R003"/>
    <s v="Bhoomika"/>
    <s v="Talme"/>
    <s v="Non - IT"/>
    <x v="3"/>
    <x v="2"/>
    <s v="Saikiran Jennay"/>
    <m/>
    <m/>
    <n v="6300030330"/>
    <m/>
    <x v="1"/>
    <m/>
    <m/>
    <m/>
    <m/>
    <m/>
    <s v="Screening Reject"/>
    <s v="Portal-LinkedIN"/>
    <s v="24/12/2026"/>
    <s v="24/12/2026"/>
    <m/>
    <m/>
    <m/>
    <m/>
    <m/>
    <m/>
    <m/>
    <m/>
    <m/>
    <m/>
    <m/>
    <m/>
    <m/>
    <m/>
    <m/>
    <m/>
    <m/>
    <m/>
    <m/>
    <m/>
    <m/>
    <m/>
    <m/>
  </r>
  <r>
    <s v="E001"/>
    <s v="R003"/>
    <s v="Bhoomika"/>
    <s v="Talme"/>
    <s v="Non - IT"/>
    <x v="3"/>
    <x v="2"/>
    <s v="VINAYAK ACHARYA"/>
    <m/>
    <m/>
    <n v="6363447926"/>
    <m/>
    <x v="1"/>
    <m/>
    <m/>
    <m/>
    <m/>
    <m/>
    <s v="Screening Reject"/>
    <s v="Portal-LinkedIN"/>
    <s v="24/12/2026"/>
    <s v="24/12/2026"/>
    <m/>
    <m/>
    <m/>
    <m/>
    <m/>
    <m/>
    <m/>
    <m/>
    <m/>
    <m/>
    <m/>
    <m/>
    <m/>
    <m/>
    <m/>
    <m/>
    <m/>
    <m/>
    <m/>
    <m/>
    <m/>
    <m/>
    <m/>
  </r>
  <r>
    <s v="E001"/>
    <s v="R003"/>
    <s v="Bhoomika"/>
    <s v="Talme"/>
    <s v="Non - IT"/>
    <x v="3"/>
    <x v="2"/>
    <s v="ZABIULLA"/>
    <m/>
    <m/>
    <n v="6303733025"/>
    <m/>
    <x v="1"/>
    <m/>
    <m/>
    <m/>
    <m/>
    <m/>
    <s v="Screening Reject"/>
    <s v="Portal-LinkedIN"/>
    <s v="24/12/2026"/>
    <s v="24/12/2026"/>
    <m/>
    <m/>
    <m/>
    <m/>
    <m/>
    <m/>
    <m/>
    <m/>
    <m/>
    <m/>
    <m/>
    <m/>
    <m/>
    <m/>
    <m/>
    <m/>
    <m/>
    <m/>
    <m/>
    <m/>
    <m/>
    <m/>
    <m/>
  </r>
  <r>
    <s v="E001"/>
    <s v="R003"/>
    <s v="Bhoomika"/>
    <s v="Talme"/>
    <s v="Non - IT"/>
    <x v="3"/>
    <x v="2"/>
    <s v="MAHESH HM"/>
    <s v="15 Days"/>
    <s v="mahimaheshhm2001@gmail.com"/>
    <n v="9972367632"/>
    <s v="B.E"/>
    <x v="33"/>
    <s v="Sahara Group of Industries"/>
    <s v="2.7 lpa"/>
    <s v="Bengaluru_x0009_"/>
    <s v="Bengaluru_x0009_"/>
    <s v="3.7 lpa"/>
    <s v="Tech 1 to be Scheduled"/>
    <s v="Portal-LinkedIN"/>
    <s v="24/12/2026"/>
    <s v="24/12/2026"/>
    <s v="Tech 1 Reject"/>
    <m/>
    <m/>
    <m/>
    <m/>
    <m/>
    <m/>
    <m/>
    <m/>
    <m/>
    <m/>
    <m/>
    <m/>
    <m/>
    <m/>
    <m/>
    <m/>
    <m/>
    <m/>
    <m/>
    <m/>
    <m/>
    <m/>
  </r>
  <r>
    <s v="E001"/>
    <s v="R003"/>
    <s v="Bhoomika"/>
    <s v="Talme"/>
    <s v="Non - IT"/>
    <x v="3"/>
    <x v="2"/>
    <s v="CHINTHATEJASWINI"/>
    <s v="30 Days"/>
    <s v="tejuchintha99@gmail.com"/>
    <n v="6363447926"/>
    <s v="BSC"/>
    <x v="34"/>
    <s v="Iyla Silk Pvt Ltd"/>
    <s v="2.8 lpa"/>
    <s v="Bengaluru_x0009_"/>
    <s v="Bengaluru_x0009_"/>
    <s v="3.5 LPA"/>
    <s v="Tech 1 to be Scheduled"/>
    <s v="Portal-LinkedIN"/>
    <s v="24/12/2026"/>
    <s v="24/12/2026"/>
    <s v="Tech 1 Reject"/>
    <m/>
    <m/>
    <m/>
    <m/>
    <m/>
    <m/>
    <m/>
    <m/>
    <m/>
    <m/>
    <m/>
    <m/>
    <m/>
    <m/>
    <m/>
    <m/>
    <m/>
    <m/>
    <m/>
    <m/>
    <m/>
    <m/>
  </r>
  <r>
    <s v="D001"/>
    <s v="R004"/>
    <s v="Pooja"/>
    <s v="Talme"/>
    <s v="Non - IT"/>
    <x v="9"/>
    <x v="3"/>
    <s v="Manjunath K"/>
    <m/>
    <s v="km.manjunath.krishna21@gmail.com"/>
    <n v="6363651396"/>
    <s v="B.Com"/>
    <x v="35"/>
    <s v="Varsha Enterprises"/>
    <s v="14.5 K"/>
    <m/>
    <m/>
    <s v="As per company standard"/>
    <s v="Screening reject by HR"/>
    <s v="Immediate"/>
    <m/>
    <m/>
    <m/>
    <m/>
    <m/>
    <m/>
    <m/>
    <m/>
    <m/>
    <m/>
    <m/>
    <m/>
    <m/>
    <m/>
    <m/>
    <m/>
    <m/>
    <m/>
    <m/>
    <m/>
    <m/>
    <m/>
    <m/>
    <m/>
    <m/>
  </r>
  <r>
    <s v="A004"/>
    <s v="R005"/>
    <s v="Narthana"/>
    <s v="Talme"/>
    <s v="IT"/>
    <x v="7"/>
    <x v="4"/>
    <s v="Sreenivasulu"/>
    <s v="Immediate Joiner LWD  5 Dec 2025"/>
    <s v="sreenivasduvvuru15@gmail.com"/>
    <n v="9490296380"/>
    <m/>
    <x v="36"/>
    <s v="UST Global"/>
    <s v="6 LPA"/>
    <m/>
    <m/>
    <s v="10.5 LPA"/>
    <s v="Sourced"/>
    <s v="Portal-Naukri"/>
    <d v="2026-01-09T00:00:00"/>
    <d v="2026-01-09T00:00:00"/>
    <m/>
    <m/>
    <m/>
    <m/>
    <m/>
    <m/>
    <m/>
    <m/>
    <m/>
    <m/>
    <m/>
    <m/>
    <m/>
    <m/>
    <m/>
    <m/>
    <m/>
    <m/>
    <m/>
    <m/>
    <m/>
    <m/>
    <m/>
  </r>
  <r>
    <s v="A004"/>
    <s v="R005"/>
    <s v="Narthana"/>
    <s v="Talme"/>
    <s v="IT"/>
    <x v="7"/>
    <x v="4"/>
    <s v="Balamuraga "/>
    <s v="Immediate Joiner LWD 3 Oct 2025"/>
    <s v="_x000a_balamuragak05@gmail.com"/>
    <n v="8688773988"/>
    <m/>
    <x v="22"/>
    <s v="Kripya solutions private limited"/>
    <s v="7 LPA"/>
    <m/>
    <m/>
    <s v="10.5 LPA"/>
    <s v="Sourced"/>
    <s v="Portal-Naukri"/>
    <d v="2026-01-09T00:00:00"/>
    <d v="2026-01-09T00:00:00"/>
    <m/>
    <m/>
    <m/>
    <m/>
    <m/>
    <m/>
    <m/>
    <m/>
    <m/>
    <m/>
    <m/>
    <m/>
    <m/>
    <m/>
    <m/>
    <m/>
    <m/>
    <m/>
    <m/>
    <m/>
    <m/>
    <m/>
    <m/>
  </r>
  <r>
    <s v="A004"/>
    <s v="R005"/>
    <s v="Narthana"/>
    <s v="Talme"/>
    <s v="IT"/>
    <x v="7"/>
    <x v="4"/>
    <s v="Naresh Bodapatla"/>
    <s v="Immediate Joiner LWD july 2024"/>
    <s v="nareshbodapatla18@gmail.com"/>
    <n v="9866264265"/>
    <m/>
    <x v="37"/>
    <s v="Trianz Consulting pvt"/>
    <s v="5.3 LPA"/>
    <m/>
    <m/>
    <s v="8 LPA"/>
    <s v="Sourced"/>
    <s v="Portal-Naukri"/>
    <d v="2026-01-09T00:00:00"/>
    <d v="2026-01-09T00:00:00"/>
    <m/>
    <m/>
    <m/>
    <m/>
    <m/>
    <m/>
    <m/>
    <m/>
    <m/>
    <m/>
    <m/>
    <m/>
    <m/>
    <m/>
    <m/>
    <m/>
    <m/>
    <m/>
    <m/>
    <m/>
    <m/>
    <m/>
    <m/>
  </r>
  <r>
    <s v="B001"/>
    <s v="R005"/>
    <s v="Narthana"/>
    <s v="Talme"/>
    <s v="IT"/>
    <x v="0"/>
    <x v="0"/>
    <s v="Aswini"/>
    <s v="90 Days Neg(30 days)"/>
    <s v="ashwinimallanagowda@gmail.com"/>
    <n v="9739951590"/>
    <m/>
    <x v="18"/>
    <s v="L&amp;T Technology Services"/>
    <s v="12 LPA"/>
    <m/>
    <m/>
    <s v="22 LPA"/>
    <s v="Yet to Screen"/>
    <s v="Portal-Naukri"/>
    <d v="2026-01-08T00:00:00"/>
    <d v="2026-01-08T00:00:00"/>
    <m/>
    <m/>
    <m/>
    <m/>
    <m/>
    <m/>
    <m/>
    <m/>
    <m/>
    <m/>
    <m/>
    <m/>
    <m/>
    <m/>
    <m/>
    <m/>
    <m/>
    <m/>
    <m/>
    <m/>
    <m/>
    <m/>
    <m/>
  </r>
  <r>
    <s v="B001"/>
    <s v="R005"/>
    <s v="Narthana"/>
    <s v="Talme"/>
    <s v="IT"/>
    <x v="0"/>
    <x v="0"/>
    <s v="Tanmay Desai "/>
    <s v="60 Days Neg(45 days)"/>
    <s v="tndesai25@gmail.com"/>
    <n v="7567041466"/>
    <m/>
    <x v="38"/>
    <s v="Tata Elxsi Pvt Ltd,"/>
    <s v="20 LPA"/>
    <m/>
    <m/>
    <s v="29 LPA"/>
    <s v="Yet to Screen"/>
    <s v="Portal-Naukri"/>
    <d v="2026-01-08T00:00:00"/>
    <d v="2026-01-08T00:00:00"/>
    <m/>
    <m/>
    <m/>
    <m/>
    <m/>
    <m/>
    <m/>
    <m/>
    <m/>
    <m/>
    <m/>
    <m/>
    <m/>
    <m/>
    <m/>
    <m/>
    <m/>
    <m/>
    <m/>
    <m/>
    <m/>
    <m/>
    <m/>
  </r>
  <r>
    <s v="B001"/>
    <s v="R005"/>
    <s v="Narthana"/>
    <s v="Talme"/>
    <s v="IT"/>
    <x v="0"/>
    <x v="0"/>
    <s v="SatyaNarayan"/>
    <s v="30 Days Neg(15 Days)"/>
    <s v="narayansatyajr6@gmail.com"/>
    <n v="9380151120"/>
    <m/>
    <x v="25"/>
    <s v="Collaborate Solutions("/>
    <s v="21 LPA"/>
    <m/>
    <m/>
    <s v="27 LPA"/>
    <s v="Yet to Screen"/>
    <s v="Portal-Naukri"/>
    <d v="2026-01-08T00:00:00"/>
    <d v="2026-01-08T00:00:00"/>
    <m/>
    <m/>
    <m/>
    <m/>
    <m/>
    <m/>
    <m/>
    <m/>
    <m/>
    <m/>
    <m/>
    <m/>
    <m/>
    <m/>
    <m/>
    <m/>
    <m/>
    <m/>
    <m/>
    <m/>
    <m/>
    <m/>
    <m/>
  </r>
  <r>
    <s v="B001"/>
    <s v="R005"/>
    <s v="Narthana"/>
    <s v="Talme"/>
    <s v="IT"/>
    <x v="0"/>
    <x v="0"/>
    <s v="Subham Dey"/>
    <s v="LWD 06 Feb 2026"/>
    <s v="subhamdeyece@gmail.com"/>
    <n v="8197684687"/>
    <m/>
    <x v="39"/>
    <s v="Bosch Global Software Technologies"/>
    <s v="14.5 LPA"/>
    <m/>
    <m/>
    <s v="20 LPA"/>
    <s v="Yet to Screen"/>
    <s v="Portal-Naukri"/>
    <d v="2026-01-08T00:00:00"/>
    <d v="2026-01-08T00:00:00"/>
    <m/>
    <m/>
    <m/>
    <m/>
    <m/>
    <m/>
    <m/>
    <m/>
    <m/>
    <m/>
    <m/>
    <m/>
    <m/>
    <m/>
    <m/>
    <m/>
    <m/>
    <m/>
    <m/>
    <m/>
    <m/>
    <m/>
    <m/>
  </r>
  <r>
    <s v="H003"/>
    <s v="R003"/>
    <s v="Bhoomika"/>
    <s v="Talme"/>
    <s v="IT"/>
    <x v="10"/>
    <x v="6"/>
    <s v="Priya Ghosh"/>
    <m/>
    <m/>
    <n v="8370889483"/>
    <m/>
    <x v="1"/>
    <m/>
    <m/>
    <m/>
    <m/>
    <m/>
    <s v="Tech 1 to be Scheduled"/>
    <s v="Portal-LinkedIN"/>
    <d v="2026-01-12T00:00:00"/>
    <d v="2026-01-12T00:00:00"/>
    <s v="Tech 1 Reject"/>
    <m/>
    <m/>
    <m/>
    <m/>
    <m/>
    <m/>
    <m/>
    <m/>
    <m/>
    <m/>
    <m/>
    <m/>
    <m/>
    <m/>
    <m/>
    <m/>
    <m/>
    <m/>
    <m/>
    <m/>
    <m/>
    <m/>
  </r>
  <r>
    <s v="H003"/>
    <s v="R003"/>
    <s v="Bhoomika"/>
    <s v="Talme"/>
    <s v="IT"/>
    <x v="10"/>
    <x v="6"/>
    <s v="yamini"/>
    <m/>
    <m/>
    <n v="8904518053"/>
    <m/>
    <x v="1"/>
    <m/>
    <m/>
    <m/>
    <m/>
    <m/>
    <s v="Tech 1 to be Scheduled"/>
    <s v="Portal-LinkedIN"/>
    <d v="2026-01-12T00:00:00"/>
    <d v="2026-01-12T00:00:00"/>
    <s v="Tech 1 Reject"/>
    <m/>
    <m/>
    <m/>
    <m/>
    <m/>
    <m/>
    <m/>
    <m/>
    <m/>
    <m/>
    <m/>
    <m/>
    <m/>
    <m/>
    <m/>
    <m/>
    <m/>
    <m/>
    <m/>
    <m/>
    <m/>
    <m/>
  </r>
  <r>
    <s v="H003"/>
    <s v="R003"/>
    <s v="Bhoomika"/>
    <s v="Talme"/>
    <s v="IT"/>
    <x v="10"/>
    <x v="6"/>
    <s v="ASTHA PORWAL"/>
    <m/>
    <m/>
    <n v="8305457822"/>
    <m/>
    <x v="1"/>
    <m/>
    <m/>
    <m/>
    <m/>
    <m/>
    <s v="Tech 1 to be Scheduled"/>
    <s v="Portal-LinkedIN"/>
    <d v="2026-01-12T00:00:00"/>
    <d v="2026-01-12T00:00:00"/>
    <s v="Tech 1 Reject"/>
    <m/>
    <m/>
    <m/>
    <m/>
    <m/>
    <m/>
    <m/>
    <m/>
    <m/>
    <m/>
    <m/>
    <m/>
    <m/>
    <m/>
    <m/>
    <m/>
    <m/>
    <m/>
    <m/>
    <m/>
    <m/>
    <m/>
  </r>
  <r>
    <s v="H003"/>
    <s v="R003"/>
    <s v="Bhoomika"/>
    <s v="Talme"/>
    <s v="IT"/>
    <x v="10"/>
    <x v="6"/>
    <s v="Neha Thomas"/>
    <s v="Immediately"/>
    <s v="nehart2002@gmail.com"/>
    <n v="8590086590"/>
    <s v="MBA"/>
    <x v="40"/>
    <s v="Redaptive Services Pvt Ltd"/>
    <s v="2.4 LPA"/>
    <s v="Pune"/>
    <s v="Bengaluru_x0009_"/>
    <s v="As per company standard"/>
    <s v="Tech 1 Awaiting Feedback"/>
    <s v="Portal-LinkedIN"/>
    <d v="2026-01-12T00:00:00"/>
    <d v="2026-01-12T00:00:00"/>
    <m/>
    <m/>
    <m/>
    <m/>
    <m/>
    <m/>
    <m/>
    <m/>
    <m/>
    <m/>
    <m/>
    <m/>
    <m/>
    <m/>
    <m/>
    <m/>
    <m/>
    <m/>
    <m/>
    <m/>
    <m/>
    <m/>
    <m/>
  </r>
  <r>
    <s v="H003"/>
    <s v="R003"/>
    <s v="Bhoomika"/>
    <s v="Talme"/>
    <s v="IT"/>
    <x v="10"/>
    <x v="6"/>
    <s v="rithesh"/>
    <s v="Immediately"/>
    <s v="rritheshpoojary7@gmail.com"/>
    <n v="9663650280"/>
    <s v="MSW"/>
    <x v="41"/>
    <s v="NIL"/>
    <s v="NIL"/>
    <s v="Bengaluru_x0009_"/>
    <s v="Bengaluru_x0009_"/>
    <s v="As per company standard"/>
    <s v="Tech 1 to be Scheduled"/>
    <s v="Portal-LinkedIN"/>
    <d v="2026-01-12T00:00:00"/>
    <d v="2026-01-12T00:00:00"/>
    <s v="Tech 1 rejected"/>
    <m/>
    <m/>
    <m/>
    <m/>
    <m/>
    <m/>
    <m/>
    <m/>
    <m/>
    <m/>
    <m/>
    <m/>
    <m/>
    <m/>
    <m/>
    <m/>
    <m/>
    <m/>
    <m/>
    <m/>
    <m/>
    <m/>
  </r>
  <r>
    <s v="H003"/>
    <s v="R003"/>
    <s v="Bhoomika"/>
    <s v="Talme"/>
    <s v="IT"/>
    <x v="10"/>
    <x v="6"/>
    <s v="MOHAMED MUSTHAFA H.R"/>
    <m/>
    <m/>
    <n v="8248991226"/>
    <m/>
    <x v="1"/>
    <m/>
    <m/>
    <m/>
    <m/>
    <m/>
    <s v="Screening Reject"/>
    <s v="Portal-LinkedIN"/>
    <d v="2026-01-12T00:00:00"/>
    <d v="2026-01-12T00:00:00"/>
    <m/>
    <m/>
    <m/>
    <m/>
    <m/>
    <m/>
    <m/>
    <m/>
    <m/>
    <m/>
    <m/>
    <m/>
    <m/>
    <m/>
    <m/>
    <m/>
    <m/>
    <m/>
    <m/>
    <m/>
    <m/>
    <m/>
    <m/>
  </r>
  <r>
    <s v="H003"/>
    <s v="R003"/>
    <s v="Bhoomika"/>
    <s v="Talme"/>
    <s v="IT"/>
    <x v="10"/>
    <x v="6"/>
    <s v="Narra Hemalatha"/>
    <m/>
    <m/>
    <n v="9347957046"/>
    <m/>
    <x v="1"/>
    <m/>
    <m/>
    <m/>
    <m/>
    <m/>
    <s v="Screening Reject"/>
    <s v="Portal-LinkedIN"/>
    <d v="2026-01-12T00:00:00"/>
    <d v="2026-01-12T00:00:00"/>
    <m/>
    <m/>
    <m/>
    <m/>
    <m/>
    <m/>
    <m/>
    <m/>
    <m/>
    <m/>
    <m/>
    <m/>
    <m/>
    <m/>
    <m/>
    <m/>
    <m/>
    <m/>
    <m/>
    <m/>
    <m/>
    <m/>
    <m/>
  </r>
  <r>
    <s v="H003"/>
    <s v="R003"/>
    <s v="Bhoomika"/>
    <s v="Talme"/>
    <s v="IT"/>
    <x v="10"/>
    <x v="6"/>
    <s v="KEERTHIKA. P"/>
    <m/>
    <m/>
    <n v="9344204373"/>
    <m/>
    <x v="1"/>
    <m/>
    <m/>
    <m/>
    <m/>
    <m/>
    <s v="Screening Reject"/>
    <s v="Portal-LinkedIN"/>
    <d v="2026-01-12T00:00:00"/>
    <d v="2026-01-12T00:00:00"/>
    <m/>
    <m/>
    <m/>
    <m/>
    <m/>
    <m/>
    <m/>
    <m/>
    <m/>
    <m/>
    <m/>
    <m/>
    <m/>
    <m/>
    <m/>
    <m/>
    <m/>
    <m/>
    <m/>
    <m/>
    <m/>
    <m/>
    <m/>
  </r>
  <r>
    <s v="H003"/>
    <s v="R003"/>
    <s v="Bhoomika"/>
    <s v="Talme"/>
    <s v="IT"/>
    <x v="10"/>
    <x v="6"/>
    <s v="akshay"/>
    <s v="Immediately"/>
    <s v="kshaydevale123@gmail.com"/>
    <n v="7022661140"/>
    <s v="MBA"/>
    <x v="41"/>
    <s v="NIL"/>
    <s v="NIL"/>
    <s v="Bengaluru_x0009_"/>
    <s v="Bengaluru_x0009_"/>
    <s v="As per company standard"/>
    <s v="Tech 1 to be Scheduled"/>
    <s v="Portal-LinkedIN"/>
    <d v="2026-01-12T00:00:00"/>
    <d v="2026-01-12T00:00:00"/>
    <s v="Tech 1 rejected"/>
    <m/>
    <m/>
    <m/>
    <m/>
    <m/>
    <m/>
    <m/>
    <m/>
    <m/>
    <m/>
    <m/>
    <m/>
    <m/>
    <m/>
    <m/>
    <m/>
    <m/>
    <m/>
    <m/>
    <m/>
    <m/>
    <m/>
  </r>
  <r>
    <s v="H003"/>
    <s v="R003"/>
    <s v="Bhoomika"/>
    <s v="Talme"/>
    <s v="IT"/>
    <x v="10"/>
    <x v="6"/>
    <s v="Sakshi Saini"/>
    <s v="Immediately"/>
    <s v="sainisakshi183@gmail.com"/>
    <n v="7488168092"/>
    <s v="Diploman"/>
    <x v="41"/>
    <s v="NIL"/>
    <s v="NIL"/>
    <s v="Bengaluru_x0009_"/>
    <s v="Bengaluru_x0009_"/>
    <s v="As per company standard"/>
    <s v="Tech 1 to be Scheduled"/>
    <s v="Portal-LinkedIN"/>
    <d v="2026-01-12T00:00:00"/>
    <d v="2026-01-12T00:00:00"/>
    <s v="Tech 1 rejected"/>
    <m/>
    <m/>
    <m/>
    <m/>
    <m/>
    <m/>
    <m/>
    <m/>
    <m/>
    <m/>
    <m/>
    <m/>
    <m/>
    <m/>
    <m/>
    <m/>
    <m/>
    <m/>
    <m/>
    <m/>
    <m/>
    <m/>
  </r>
  <r>
    <s v="H003"/>
    <s v="R003"/>
    <s v="Bhoomika"/>
    <s v="Talme"/>
    <s v="IT"/>
    <x v="10"/>
    <x v="6"/>
    <s v="chandana"/>
    <s v="Immediately"/>
    <s v="chandanababu2003@gmail.com"/>
    <n v="8088808200"/>
    <s v="MBA"/>
    <x v="41"/>
    <s v="NIL"/>
    <s v="NIL"/>
    <s v="Bengaluru_x0009_"/>
    <s v="Bengaluru_x0009_"/>
    <s v="As per company standard"/>
    <s v="Tech 1 to be Scheduled"/>
    <s v="Portal-LinkedIN"/>
    <d v="2026-01-12T00:00:00"/>
    <d v="2026-01-12T00:00:00"/>
    <s v="Tech 1 rejected"/>
    <m/>
    <m/>
    <m/>
    <m/>
    <m/>
    <m/>
    <m/>
    <m/>
    <m/>
    <m/>
    <m/>
    <m/>
    <m/>
    <m/>
    <m/>
    <m/>
    <m/>
    <m/>
    <m/>
    <m/>
    <m/>
    <m/>
  </r>
  <r>
    <s v="E005"/>
    <s v="R004"/>
    <s v="Pooja"/>
    <s v="Talme"/>
    <s v="Non - IT"/>
    <x v="11"/>
    <x v="2"/>
    <s v="Aaqib Subhani Askari"/>
    <s v="Immediate"/>
    <s v="aaqib.subhani1031@gmail.com"/>
    <n v="9611277031"/>
    <s v="MBA"/>
    <x v="42"/>
    <s v="TOKYO AnalyticX"/>
    <s v="11 LPA"/>
    <m/>
    <m/>
    <s v="Same or above"/>
    <s v="Sourced"/>
    <s v="Portal-Naukri"/>
    <d v="2026-01-12T00:00:00"/>
    <d v="2026-01-12T00:00:00"/>
    <m/>
    <m/>
    <m/>
    <m/>
    <m/>
    <m/>
    <m/>
    <m/>
    <m/>
    <m/>
    <m/>
    <m/>
    <m/>
    <m/>
    <m/>
    <m/>
    <m/>
    <m/>
    <m/>
    <m/>
    <m/>
    <m/>
    <m/>
  </r>
  <r>
    <s v="E005"/>
    <s v="R004"/>
    <s v="Pooja"/>
    <s v="Talme"/>
    <s v="Non - IT"/>
    <x v="11"/>
    <x v="2"/>
    <s v="Zeeshan"/>
    <s v="Immediate"/>
    <s v="zeeshanm851@gmail.com"/>
    <n v="9686908119"/>
    <s v="MBA"/>
    <x v="43"/>
    <s v="Elite Elevators"/>
    <s v="9 LPA"/>
    <m/>
    <m/>
    <s v="30% Hike"/>
    <s v="Sourced"/>
    <s v="Portal-Naukri"/>
    <d v="2026-01-12T00:00:00"/>
    <d v="2026-01-12T00:00:00"/>
    <m/>
    <m/>
    <m/>
    <m/>
    <m/>
    <m/>
    <m/>
    <m/>
    <m/>
    <m/>
    <m/>
    <m/>
    <m/>
    <m/>
    <m/>
    <m/>
    <m/>
    <m/>
    <m/>
    <m/>
    <m/>
    <m/>
    <m/>
  </r>
  <r>
    <s v="E005"/>
    <s v="R004"/>
    <s v="Pooja"/>
    <s v="Talme"/>
    <s v="Non - IT"/>
    <x v="11"/>
    <x v="2"/>
    <s v="Manoranjith D N"/>
    <s v="15 Days"/>
    <s v="manu.dn03@gmail.com"/>
    <n v="9902295595"/>
    <s v="BE"/>
    <x v="44"/>
    <s v="Torry Harris Integration solutions"/>
    <s v="12 LPA"/>
    <m/>
    <m/>
    <s v="16.5 LPA"/>
    <s v="Sourced"/>
    <s v="Portal-Naukri"/>
    <d v="2026-01-12T00:00:00"/>
    <d v="2026-01-12T00:00:00"/>
    <m/>
    <m/>
    <m/>
    <m/>
    <m/>
    <m/>
    <m/>
    <m/>
    <m/>
    <m/>
    <m/>
    <m/>
    <m/>
    <m/>
    <m/>
    <m/>
    <m/>
    <m/>
    <m/>
    <m/>
    <m/>
    <m/>
    <m/>
  </r>
  <r>
    <s v="E004"/>
    <s v="R004"/>
    <s v="Pooja"/>
    <s v="Talme"/>
    <s v="Non - IT"/>
    <x v="12"/>
    <x v="2"/>
    <s v="CHANDANA G S"/>
    <s v="Immediate"/>
    <s v="chandanagopal29@gmail.com"/>
    <n v="7618719963"/>
    <s v="M.Com"/>
    <x v="33"/>
    <s v="Finlo Tax Inc."/>
    <s v="3 LPA"/>
    <m/>
    <m/>
    <s v="3.5 LPA"/>
    <s v="Sourced"/>
    <s v="Portal-LinkedIN"/>
    <d v="2026-01-12T00:00:00"/>
    <d v="2026-01-12T00:00:00"/>
    <m/>
    <m/>
    <m/>
    <m/>
    <m/>
    <m/>
    <m/>
    <m/>
    <m/>
    <m/>
    <m/>
    <m/>
    <m/>
    <m/>
    <m/>
    <m/>
    <m/>
    <m/>
    <m/>
    <m/>
    <m/>
    <m/>
    <m/>
  </r>
  <r>
    <s v="E005"/>
    <s v="R004"/>
    <s v="Pooja"/>
    <s v="Talme"/>
    <s v="Non - IT"/>
    <x v="13"/>
    <x v="2"/>
    <s v="Gowtham K M"/>
    <m/>
    <s v="gowthamkm77@gmail.com"/>
    <n v="9035445936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E005"/>
    <s v="R004"/>
    <s v="Pooja"/>
    <s v="Talme"/>
    <s v="Non - IT"/>
    <x v="11"/>
    <x v="2"/>
    <s v="Sridhar Patil"/>
    <m/>
    <s v="sridharpatil4@gmail.com"/>
    <n v="9740326930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E005"/>
    <s v="R004"/>
    <s v="Pooja"/>
    <s v="Talme"/>
    <s v="Non - IT"/>
    <x v="11"/>
    <x v="2"/>
    <s v="Goutham K G"/>
    <m/>
    <m/>
    <n v="8971264671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E005"/>
    <s v="R004"/>
    <s v="Pooja"/>
    <s v="Talme"/>
    <s v="Non - IT"/>
    <x v="11"/>
    <x v="2"/>
    <s v="Ashwin M.P"/>
    <m/>
    <s v="2018ashwin@gmail.com"/>
    <n v="9686840513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E005"/>
    <s v="R004"/>
    <s v="Pooja"/>
    <s v="Talme"/>
    <s v="Non - IT"/>
    <x v="11"/>
    <x v="2"/>
    <s v="Kartik.M.Kagadal."/>
    <m/>
    <s v="kagadalkathik@gmail.com"/>
    <n v="9535384449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001"/>
    <s v="R003"/>
    <s v="Bhoomika"/>
    <s v="Talme"/>
    <s v="Non - IT"/>
    <x v="4"/>
    <x v="3"/>
    <s v="Shruthi CD"/>
    <s v="Immediate "/>
    <s v="shruthirajsk0@gmail.com"/>
    <n v="8050337578"/>
    <s v="B.E"/>
    <x v="40"/>
    <s v="Apprentice"/>
    <s v="2.16 LPA"/>
    <s v="Bengaluru_x0009_"/>
    <s v="Bengaluru_x0009_"/>
    <s v="As per company standards"/>
    <s v="Tech 1 to be Scheduled"/>
    <s v="Portal-LinkedIN"/>
    <d v="2026-01-12T00:00:00"/>
    <d v="2026-01-12T00:00:00"/>
    <s v="Tech 1 rejected"/>
    <m/>
    <m/>
    <m/>
    <m/>
    <m/>
    <m/>
    <m/>
    <m/>
    <m/>
    <m/>
    <m/>
    <m/>
    <m/>
    <m/>
    <m/>
    <m/>
    <m/>
    <m/>
    <m/>
    <m/>
    <m/>
    <m/>
  </r>
  <r>
    <s v="H004"/>
    <s v="R004"/>
    <s v="Pooja"/>
    <s v="Talme"/>
    <s v="IT"/>
    <x v="14"/>
    <x v="5"/>
    <s v="D Nagarjuna"/>
    <s v=" Immediate"/>
    <s v="derangulan227@gmail.com"/>
    <n v="7569309154"/>
    <s v="B.Com"/>
    <x v="45"/>
    <s v="Wipro"/>
    <s v="34 LPA"/>
    <m/>
    <m/>
    <s v="42 LPA"/>
    <s v="Sourced"/>
    <s v="Portal-Naukri"/>
    <d v="2026-01-13T00:00:00"/>
    <d v="2026-01-13T00:00:00"/>
    <m/>
    <m/>
    <m/>
    <m/>
    <m/>
    <m/>
    <m/>
    <m/>
    <m/>
    <m/>
    <m/>
    <m/>
    <m/>
    <m/>
    <m/>
    <m/>
    <m/>
    <m/>
    <m/>
    <m/>
    <m/>
    <m/>
    <m/>
  </r>
  <r>
    <s v="H004"/>
    <s v="R004"/>
    <s v="Pooja"/>
    <s v="Talme"/>
    <s v="IT"/>
    <x v="14"/>
    <x v="5"/>
    <s v="Haripradeep"/>
    <s v="Immediate"/>
    <s v="haris68786@gmail.com"/>
    <n v="8667002741"/>
    <s v="M.E"/>
    <x v="45"/>
    <s v="IntegraConnect Pvt Ltd"/>
    <s v="31 LPA"/>
    <m/>
    <m/>
    <s v="As per company standard"/>
    <s v="Sourced"/>
    <s v="Portal-Naukri"/>
    <d v="2026-01-13T00:00:00"/>
    <d v="2026-01-13T00:00:00"/>
    <m/>
    <m/>
    <m/>
    <m/>
    <m/>
    <m/>
    <m/>
    <m/>
    <m/>
    <m/>
    <m/>
    <m/>
    <m/>
    <m/>
    <m/>
    <m/>
    <m/>
    <m/>
    <m/>
    <m/>
    <m/>
    <m/>
    <m/>
  </r>
  <r>
    <s v="E005"/>
    <s v="R004"/>
    <s v="Pooja"/>
    <s v="Talme"/>
    <s v="Non - IT"/>
    <x v="11"/>
    <x v="2"/>
    <s v="Shivprasad Babasaheb Patil"/>
    <s v="30 Days"/>
    <s v=" patilshivprasad7290@gmail.com"/>
    <n v="8861844787"/>
    <s v="BCA"/>
    <x v="46"/>
    <s v="Flipkart"/>
    <s v="6.7 LPA"/>
    <m/>
    <m/>
    <s v="9 LPA"/>
    <s v="Sourced"/>
    <s v="Portal-Naukri"/>
    <d v="2026-01-13T00:00:00"/>
    <d v="2026-01-13T00:00:00"/>
    <m/>
    <m/>
    <m/>
    <m/>
    <m/>
    <m/>
    <m/>
    <m/>
    <m/>
    <m/>
    <m/>
    <m/>
    <m/>
    <m/>
    <m/>
    <m/>
    <m/>
    <m/>
    <m/>
    <m/>
    <m/>
    <m/>
    <m/>
  </r>
  <r>
    <s v="E005"/>
    <s v="R004"/>
    <s v="Pooja"/>
    <s v="Talme"/>
    <s v="Non - IT"/>
    <x v="11"/>
    <x v="2"/>
    <s v="Aishwarya"/>
    <s v="Immediate"/>
    <s v="aishaish1213@gmail.com"/>
    <n v="7259558744"/>
    <s v=" B.Com"/>
    <x v="47"/>
    <s v=" Flipkart"/>
    <s v="3 LPA"/>
    <m/>
    <m/>
    <s v="5 LPA"/>
    <s v="Sourced"/>
    <s v="Portal-Naukri"/>
    <d v="2026-01-13T00:00:00"/>
    <d v="2026-01-13T00:00:00"/>
    <m/>
    <m/>
    <m/>
    <m/>
    <m/>
    <m/>
    <m/>
    <m/>
    <m/>
    <m/>
    <m/>
    <m/>
    <m/>
    <m/>
    <m/>
    <m/>
    <m/>
    <m/>
    <m/>
    <m/>
    <m/>
    <m/>
    <m/>
  </r>
  <r>
    <s v="E005"/>
    <s v="R004"/>
    <s v="Pooja"/>
    <s v="Talme"/>
    <s v="Non - IT"/>
    <x v="11"/>
    <x v="2"/>
    <s v="Sharath Kumar"/>
    <s v=" 60 Days(Negotiable)"/>
    <s v=" sharathputtu96@gmail.com"/>
    <n v="8660935036"/>
    <s v="MBA"/>
    <x v="48"/>
    <s v=" Phonepe"/>
    <s v="12 LPA"/>
    <m/>
    <m/>
    <s v="15 Lpa"/>
    <s v="Sourced"/>
    <s v="Portal-Naukri"/>
    <d v="2026-01-13T00:00:00"/>
    <d v="2026-01-13T00:00:00"/>
    <m/>
    <m/>
    <m/>
    <m/>
    <m/>
    <m/>
    <m/>
    <m/>
    <m/>
    <m/>
    <m/>
    <m/>
    <m/>
    <m/>
    <m/>
    <m/>
    <m/>
    <m/>
    <m/>
    <m/>
    <m/>
    <m/>
    <m/>
  </r>
  <r>
    <s v="A004"/>
    <s v="R005"/>
    <s v="Narthana"/>
    <s v="Talme"/>
    <s v="IT"/>
    <x v="7"/>
    <x v="4"/>
    <s v="padamati sathish"/>
    <s v="Immediate Joiner "/>
    <s v="padamati.sathish@gmail.com"/>
    <n v="9502593566"/>
    <s v="M.Tech"/>
    <x v="39"/>
    <s v="TCS"/>
    <s v="4.8 LPA"/>
    <m/>
    <m/>
    <s v="10 LPA"/>
    <s v="Tech 1 Reject"/>
    <s v="Portal-Naukri"/>
    <d v="2026-01-12T00:00:00"/>
    <d v="2026-01-12T00:00:00"/>
    <s v="L1 scheduled"/>
    <d v="2026-01-13T00:00:00"/>
    <s v="Reject"/>
    <m/>
    <m/>
    <m/>
    <m/>
    <m/>
    <m/>
    <m/>
    <m/>
    <m/>
    <m/>
    <m/>
    <m/>
    <m/>
    <m/>
    <m/>
    <m/>
    <m/>
    <m/>
    <m/>
    <m/>
  </r>
  <r>
    <s v="A004"/>
    <s v="R005"/>
    <s v="Narthana"/>
    <s v="Talme"/>
    <s v="IT"/>
    <x v="7"/>
    <x v="4"/>
    <s v="Vimal Kant Sharma"/>
    <s v="Currently Serving LWD 30 Jan 2026"/>
    <s v="vimalsatna87@gmail.com"/>
    <n v="9650133684"/>
    <s v="BCA"/>
    <x v="49"/>
    <s v="Impact Infotech"/>
    <s v="6 LPA"/>
    <m/>
    <m/>
    <s v="9 LPA"/>
    <s v="Screening Reject by Client"/>
    <s v="Portal-Naukri"/>
    <d v="2026-01-12T00:00:00"/>
    <d v="2026-01-12T00:00:00"/>
    <m/>
    <m/>
    <m/>
    <m/>
    <m/>
    <m/>
    <m/>
    <m/>
    <m/>
    <m/>
    <m/>
    <m/>
    <m/>
    <m/>
    <m/>
    <m/>
    <m/>
    <m/>
    <m/>
    <m/>
    <m/>
    <m/>
    <m/>
  </r>
  <r>
    <s v="A004"/>
    <s v="R005"/>
    <s v="Narthana"/>
    <s v="Talme"/>
    <s v="IT"/>
    <x v="7"/>
    <x v="4"/>
    <s v="JAYANTA BISWAS  "/>
    <s v="Immediate Joiner "/>
    <s v="jbiswas365@gmail.com"/>
    <n v="9153375056"/>
    <s v="B,A"/>
    <x v="21"/>
    <s v="Wipro"/>
    <s v="5 LPA"/>
    <m/>
    <m/>
    <s v="8 LPA"/>
    <s v="Screening Reject by Client"/>
    <s v="Portal-Naukri"/>
    <d v="2026-01-12T00:00:00"/>
    <d v="2026-01-12T00:00:00"/>
    <m/>
    <m/>
    <m/>
    <m/>
    <m/>
    <m/>
    <m/>
    <m/>
    <m/>
    <m/>
    <m/>
    <m/>
    <m/>
    <m/>
    <m/>
    <m/>
    <m/>
    <m/>
    <m/>
    <m/>
    <m/>
    <m/>
    <m/>
  </r>
  <r>
    <s v="A004"/>
    <s v="R005"/>
    <s v="Narthana"/>
    <s v="Talme"/>
    <s v="IT"/>
    <x v="7"/>
    <x v="4"/>
    <s v="Nagendra Tamballa"/>
    <s v="Immediate Joiner "/>
    <s v="nagendradeva999@gmail.com"/>
    <n v="7204365922"/>
    <s v="B.Com"/>
    <x v="50"/>
    <s v="TCS"/>
    <s v="7 LPA"/>
    <m/>
    <m/>
    <s v="10.5 LPA"/>
    <s v="Screening Reject by Client"/>
    <s v="Portal-Naukri"/>
    <d v="2026-01-12T00:00:00"/>
    <d v="2026-01-12T00:00:00"/>
    <m/>
    <m/>
    <m/>
    <m/>
    <m/>
    <m/>
    <m/>
    <m/>
    <m/>
    <m/>
    <m/>
    <m/>
    <m/>
    <m/>
    <m/>
    <m/>
    <m/>
    <m/>
    <m/>
    <m/>
    <m/>
    <m/>
    <m/>
  </r>
  <r>
    <s v="A004"/>
    <s v="R005"/>
    <s v="Narthana"/>
    <s v="Talme"/>
    <s v="IT"/>
    <x v="7"/>
    <x v="4"/>
    <s v="Nitesh Kumar"/>
    <s v="Immediate Joiner "/>
    <s v="aniteshstuf@gmail.com"/>
    <n v="6304333834"/>
    <s v="B.Tech"/>
    <x v="22"/>
    <s v="Extended Webapp Tech LLP"/>
    <s v="7 LPA"/>
    <m/>
    <m/>
    <s v="10 LPA"/>
    <s v="Screening Reject by Client"/>
    <s v="Portal-Naukri"/>
    <d v="2026-01-12T00:00:00"/>
    <d v="2026-01-12T00:00:00"/>
    <m/>
    <m/>
    <m/>
    <m/>
    <m/>
    <m/>
    <m/>
    <m/>
    <m/>
    <m/>
    <m/>
    <m/>
    <m/>
    <m/>
    <m/>
    <m/>
    <m/>
    <m/>
    <m/>
    <m/>
    <m/>
    <m/>
    <m/>
  </r>
  <r>
    <s v="A004"/>
    <s v="R005"/>
    <s v="Narthana"/>
    <s v="Talme"/>
    <s v="IT"/>
    <x v="7"/>
    <x v="4"/>
    <s v="Jyoshna Gangala"/>
    <s v="Immediate Joiner "/>
    <s v="gangalajyoshna99@gmail.com"/>
    <n v="9676392296"/>
    <s v="B.Tech"/>
    <x v="51"/>
    <s v="HCL"/>
    <s v="7 LPA"/>
    <m/>
    <m/>
    <s v="10.5 LPA"/>
    <s v="Screening Reject by Client"/>
    <s v="Portal-Naukri"/>
    <d v="2026-01-12T00:00:00"/>
    <d v="2026-01-12T00:00:00"/>
    <m/>
    <m/>
    <m/>
    <m/>
    <m/>
    <m/>
    <m/>
    <m/>
    <m/>
    <m/>
    <m/>
    <m/>
    <m/>
    <m/>
    <m/>
    <m/>
    <m/>
    <m/>
    <m/>
    <m/>
    <m/>
    <m/>
    <m/>
  </r>
  <r>
    <s v="A004"/>
    <s v="R005"/>
    <s v="Narthana"/>
    <s v="Talme"/>
    <s v="IT"/>
    <x v="7"/>
    <x v="4"/>
    <s v="Arul"/>
    <s v="Immediate Joiner"/>
    <s v="arulseenu5@gmail.com"/>
    <n v="9655548558"/>
    <s v="               B.E"/>
    <x v="39"/>
    <s v="NTT India Pvt Ltd"/>
    <s v="6.5 LPA"/>
    <m/>
    <m/>
    <s v="10.5 LPA"/>
    <s v="Screening Reject by Client"/>
    <s v="Portal-Naukri"/>
    <d v="2026-01-13T00:00:00"/>
    <d v="2026-01-13T00:00:00"/>
    <m/>
    <m/>
    <m/>
    <m/>
    <m/>
    <m/>
    <m/>
    <m/>
    <m/>
    <m/>
    <m/>
    <m/>
    <m/>
    <m/>
    <m/>
    <m/>
    <m/>
    <m/>
    <m/>
    <m/>
    <m/>
    <m/>
    <m/>
  </r>
  <r>
    <s v="A004"/>
    <s v="R005"/>
    <s v="Narthana"/>
    <s v="Talme"/>
    <s v="IT"/>
    <x v="7"/>
    <x v="4"/>
    <s v="Rakshitha Rao"/>
    <s v="15 Days"/>
    <s v="rakshithaurao@gmail.com"/>
    <s v="98806 83457"/>
    <s v="B.E"/>
    <x v="20"/>
    <s v="Mphasis"/>
    <s v="4.5 LPA"/>
    <m/>
    <m/>
    <s v="9 LPA"/>
    <s v="Screening Reject by Client"/>
    <s v="Portal-Naukri"/>
    <d v="2026-01-13T00:00:00"/>
    <d v="2026-01-13T00:00:00"/>
    <m/>
    <m/>
    <m/>
    <m/>
    <m/>
    <m/>
    <m/>
    <m/>
    <m/>
    <m/>
    <m/>
    <m/>
    <m/>
    <m/>
    <m/>
    <m/>
    <m/>
    <m/>
    <m/>
    <m/>
    <m/>
    <m/>
    <m/>
  </r>
  <r>
    <s v="B002"/>
    <s v="R005"/>
    <s v="Narthana"/>
    <s v="Talme"/>
    <s v="IT"/>
    <x v="15"/>
    <x v="0"/>
    <s v="Samriddhi Singh"/>
    <s v="60 Days Neg(30 days)"/>
    <s v="samriddhisingh14@gmail.com"/>
    <n v="8709469488"/>
    <s v="MBA"/>
    <x v="52"/>
    <s v="UST"/>
    <s v="11.8 LPA"/>
    <m/>
    <m/>
    <s v="20 LPA"/>
    <s v="Screening Reject by Client"/>
    <s v="Portal-Naukri"/>
    <d v="2026-01-13T00:00:00"/>
    <d v="2026-01-13T00:00:00"/>
    <m/>
    <m/>
    <m/>
    <m/>
    <m/>
    <m/>
    <m/>
    <m/>
    <m/>
    <m/>
    <m/>
    <m/>
    <m/>
    <m/>
    <m/>
    <m/>
    <m/>
    <m/>
    <m/>
    <m/>
    <m/>
    <m/>
    <m/>
  </r>
  <r>
    <s v="B002"/>
    <s v="R005"/>
    <s v="Narthana"/>
    <s v="Talme"/>
    <s v="IT"/>
    <x v="15"/>
    <x v="0"/>
    <s v="Pruthvi M"/>
    <s v="60 Days Neg(30 days)"/>
    <s v="pruthvimanjunath7@gmail.com"/>
    <n v="9740740816"/>
    <s v="M.E"/>
    <x v="20"/>
    <s v="Intel India"/>
    <s v="23 LPA"/>
    <m/>
    <m/>
    <s v="29 LPA"/>
    <s v="Screening Reject by Client"/>
    <s v="Portal-Naukri"/>
    <d v="2026-01-13T00:00:00"/>
    <d v="2026-01-13T00:00:00"/>
    <m/>
    <m/>
    <m/>
    <m/>
    <m/>
    <m/>
    <m/>
    <m/>
    <m/>
    <m/>
    <m/>
    <m/>
    <m/>
    <m/>
    <m/>
    <m/>
    <m/>
    <m/>
    <m/>
    <m/>
    <m/>
    <m/>
    <m/>
  </r>
  <r>
    <s v="H004"/>
    <s v="R004"/>
    <s v="Pooja"/>
    <s v="Talme"/>
    <s v="IT"/>
    <x v="14"/>
    <x v="5"/>
    <s v="Vijaya Jasuja"/>
    <s v="LWD - 10th Feb"/>
    <s v="vijayajasuja22@gmail.com"/>
    <n v="8770814979"/>
    <s v=" B.E"/>
    <x v="53"/>
    <s v="Synechron"/>
    <s v=" 26 LPA"/>
    <m/>
    <m/>
    <s v="34 LPA"/>
    <s v="Screening Reject by Client"/>
    <s v="Portal-Naukri"/>
    <d v="2026-01-14T00:00:00"/>
    <d v="2026-01-14T00:00:00"/>
    <m/>
    <m/>
    <m/>
    <m/>
    <m/>
    <m/>
    <m/>
    <m/>
    <m/>
    <m/>
    <m/>
    <m/>
    <m/>
    <m/>
    <m/>
    <m/>
    <m/>
    <m/>
    <m/>
    <m/>
    <m/>
    <m/>
    <m/>
  </r>
  <r>
    <s v="H004"/>
    <s v="R004"/>
    <s v="Pooja"/>
    <s v="Talme"/>
    <s v="IT"/>
    <x v="14"/>
    <x v="5"/>
    <s v="Suresh Nellore"/>
    <s v="LWD - 27th Jan"/>
    <s v="sureshnellore575.cme@gmail.com"/>
    <n v="9177837791"/>
    <s v="B.Tech"/>
    <x v="54"/>
    <s v="Hexaware Technologies"/>
    <s v=" 24 LPA"/>
    <m/>
    <m/>
    <s v="33 LPA"/>
    <s v="Screening Reject by Client"/>
    <s v="Portal-Naukri"/>
    <d v="2026-01-14T00:00:00"/>
    <d v="2026-01-14T00:00:00"/>
    <m/>
    <m/>
    <m/>
    <m/>
    <m/>
    <m/>
    <m/>
    <m/>
    <m/>
    <m/>
    <m/>
    <m/>
    <m/>
    <m/>
    <m/>
    <m/>
    <m/>
    <m/>
    <m/>
    <m/>
    <m/>
    <m/>
    <m/>
  </r>
  <r>
    <s v="H004"/>
    <s v="R004"/>
    <s v="Pooja"/>
    <s v="Talme"/>
    <s v="IT"/>
    <x v="14"/>
    <x v="5"/>
    <s v="vijay marri"/>
    <s v=" Immediate"/>
    <s v="vijaymarr06@gmail.com"/>
    <n v="7386041795"/>
    <s v=" MBA"/>
    <x v="55"/>
    <s v="SrsInfo"/>
    <s v="20 LPA"/>
    <m/>
    <m/>
    <s v="Between 30 to 35 LPA"/>
    <s v="Screening Reject by Client"/>
    <s v="Portal-Naukri"/>
    <d v="2026-01-14T00:00:00"/>
    <d v="2026-01-14T00:00:00"/>
    <m/>
    <m/>
    <m/>
    <m/>
    <m/>
    <m/>
    <m/>
    <m/>
    <m/>
    <m/>
    <m/>
    <m/>
    <m/>
    <m/>
    <m/>
    <m/>
    <m/>
    <m/>
    <m/>
    <m/>
    <m/>
    <m/>
    <m/>
  </r>
  <r>
    <s v="H004"/>
    <s v="R004"/>
    <s v="Pooja"/>
    <s v="Talme"/>
    <s v="IT"/>
    <x v="14"/>
    <x v="5"/>
    <s v="J.Hema Venkata Phani Bhushan"/>
    <s v=" Immediate"/>
    <s v="phani3bhushan@gmail.com"/>
    <n v="8985353515"/>
    <s v=" B.Tech"/>
    <x v="55"/>
    <s v="Optimum Infosystems"/>
    <s v="16 LPA"/>
    <m/>
    <m/>
    <s v="24 LPA"/>
    <s v="Screening Reject by Client"/>
    <s v="Portal-Naukri"/>
    <d v="2026-01-14T00:00:00"/>
    <d v="2026-01-14T00:00:00"/>
    <m/>
    <m/>
    <m/>
    <m/>
    <m/>
    <m/>
    <m/>
    <m/>
    <m/>
    <m/>
    <m/>
    <m/>
    <m/>
    <m/>
    <m/>
    <m/>
    <m/>
    <m/>
    <m/>
    <m/>
    <m/>
    <m/>
    <m/>
  </r>
  <r>
    <s v="H004"/>
    <s v="R004"/>
    <s v="Pooja"/>
    <s v="Talme"/>
    <s v="IT"/>
    <x v="14"/>
    <x v="5"/>
    <s v="Madarapu Rajesh"/>
    <s v=" Immediate"/>
    <s v="rajesh15652@gmail.com"/>
    <n v="9885517671"/>
    <s v="M.Tech"/>
    <x v="44"/>
    <s v="HCL Technologies Pvt Ltd."/>
    <s v="19.48 LPA"/>
    <m/>
    <m/>
    <s v="As per company standard"/>
    <s v="Screening Reject by Client"/>
    <s v="Portal-Naukri"/>
    <d v="2026-01-14T00:00:00"/>
    <d v="2026-01-14T00:00:00"/>
    <m/>
    <m/>
    <m/>
    <m/>
    <m/>
    <m/>
    <m/>
    <m/>
    <m/>
    <m/>
    <m/>
    <m/>
    <m/>
    <m/>
    <m/>
    <m/>
    <m/>
    <m/>
    <m/>
    <m/>
    <m/>
    <m/>
    <m/>
  </r>
  <r>
    <s v="E005"/>
    <s v="R004"/>
    <s v="Pooja"/>
    <s v="Talme"/>
    <s v="Non - IT"/>
    <x v="11"/>
    <x v="2"/>
    <s v="Ravichandra Balehalli"/>
    <s v="Immediate"/>
    <s v="balehalliravichandra@gmail.com"/>
    <n v="7204934600"/>
    <s v="Diploma in Commercial Practice"/>
    <x v="56"/>
    <s v="Pet Pooja"/>
    <s v="4.2 LPA"/>
    <m/>
    <m/>
    <s v="6 LPA"/>
    <s v="Screening Reject by Client"/>
    <s v="Portal-Naukri"/>
    <d v="2026-01-14T00:00:00"/>
    <d v="2026-01-14T00:00:00"/>
    <m/>
    <m/>
    <m/>
    <m/>
    <m/>
    <m/>
    <m/>
    <m/>
    <m/>
    <m/>
    <m/>
    <m/>
    <m/>
    <m/>
    <m/>
    <m/>
    <m/>
    <m/>
    <m/>
    <m/>
    <m/>
    <m/>
    <m/>
  </r>
  <r>
    <s v="A004"/>
    <s v="R005"/>
    <s v="Narthana"/>
    <s v="Talme"/>
    <s v="IT"/>
    <x v="7"/>
    <x v="4"/>
    <s v="Prakash "/>
    <n v="9944897923"/>
    <s v="prakashmari91@gmail.com"/>
    <s v="15 Days"/>
    <s v="B.E"/>
    <x v="20"/>
    <s v="Positiveedge Technology Pvt Ltd"/>
    <s v="4 LPA"/>
    <m/>
    <m/>
    <s v="7 LPA"/>
    <s v="Screening Reject by Client"/>
    <s v="Portal-Naukri"/>
    <d v="2026-01-14T00:00:00"/>
    <d v="2026-01-14T00:00:00"/>
    <m/>
    <m/>
    <m/>
    <m/>
    <m/>
    <m/>
    <m/>
    <m/>
    <m/>
    <m/>
    <m/>
    <m/>
    <m/>
    <m/>
    <m/>
    <m/>
    <m/>
    <m/>
    <m/>
    <m/>
    <m/>
    <m/>
    <m/>
  </r>
  <r>
    <s v="A004"/>
    <s v="R005"/>
    <s v="Narthana"/>
    <s v="Talme"/>
    <s v="IT"/>
    <x v="7"/>
    <x v="4"/>
    <s v="Mallikarjun Hiremath"/>
    <n v="8123678412"/>
    <s v="mallikarjun002hiremath@gmail,com"/>
    <s v="Immediate "/>
    <s v="Diploma"/>
    <x v="57"/>
    <s v="Quess Corp Ltd"/>
    <s v="4.5 LPA"/>
    <m/>
    <m/>
    <s v="7.5 LPA"/>
    <s v="Tech 1 Reject"/>
    <s v="Portal-Naukri"/>
    <d v="2026-01-14T00:00:00"/>
    <d v="2026-01-14T00:00:00"/>
    <s v="L1 scheduled"/>
    <d v="2026-01-16T00:00:00"/>
    <s v="Reject"/>
    <m/>
    <m/>
    <m/>
    <m/>
    <m/>
    <m/>
    <m/>
    <m/>
    <m/>
    <m/>
    <m/>
    <m/>
    <m/>
    <m/>
    <m/>
    <m/>
    <m/>
    <m/>
    <m/>
    <m/>
  </r>
  <r>
    <s v="A004"/>
    <s v="R005"/>
    <s v="Narthana"/>
    <s v="Talme"/>
    <s v="IT"/>
    <x v="7"/>
    <x v="4"/>
    <s v="Praveen P J"/>
    <n v="8281773864"/>
    <s v="praveenpj1994@gmail.com"/>
    <s v="Immediate "/>
    <s v="B.Tech"/>
    <x v="21"/>
    <s v="Mantle Solutions Private Limited"/>
    <s v="4 LPA"/>
    <m/>
    <m/>
    <s v="7 LPA"/>
    <s v="Screening Reject by Client"/>
    <s v="Portal-Naukri"/>
    <d v="2026-01-14T00:00:00"/>
    <d v="2026-01-14T00:00:00"/>
    <m/>
    <m/>
    <m/>
    <m/>
    <m/>
    <m/>
    <m/>
    <m/>
    <m/>
    <m/>
    <m/>
    <m/>
    <m/>
    <m/>
    <m/>
    <m/>
    <m/>
    <m/>
    <m/>
    <m/>
    <m/>
    <m/>
    <m/>
  </r>
  <r>
    <s v="A004"/>
    <s v="R005"/>
    <s v="Narthana"/>
    <s v="Talme"/>
    <s v="IT"/>
    <x v="7"/>
    <x v="4"/>
    <s v="Saravana"/>
    <n v="9884817894"/>
    <s v="orasaravana@gmail.com"/>
    <s v="Immediate "/>
    <s v="B.Sc"/>
    <x v="18"/>
    <s v="Cadeploy Engineering"/>
    <s v="4.4 LPA"/>
    <m/>
    <m/>
    <s v="8 LPA"/>
    <s v="Tech 1 Reject"/>
    <s v="Portal-Naukri"/>
    <d v="2026-01-14T00:00:00"/>
    <d v="2026-01-14T00:00:00"/>
    <s v="L1 scheduled"/>
    <d v="2026-01-16T00:00:00"/>
    <s v="Reject"/>
    <m/>
    <m/>
    <m/>
    <m/>
    <m/>
    <m/>
    <m/>
    <m/>
    <m/>
    <m/>
    <m/>
    <m/>
    <m/>
    <m/>
    <m/>
    <m/>
    <m/>
    <m/>
    <m/>
    <m/>
  </r>
  <r>
    <s v="A004"/>
    <s v="R005"/>
    <s v="Narthana"/>
    <s v="Talme"/>
    <s v="IT"/>
    <x v="7"/>
    <x v="4"/>
    <s v="Manjunath R"/>
    <n v="7259667338"/>
    <s v="manjunath560091@gmail.com"/>
    <s v="Immediate "/>
    <s v="Diploma"/>
    <x v="21"/>
    <s v="TEKsystems Global Services Pvt Ltd"/>
    <s v="8 LPA"/>
    <m/>
    <m/>
    <s v="10 LPA"/>
    <s v="Screening Reject by Client"/>
    <s v="Portal-Naukri"/>
    <d v="2026-01-14T00:00:00"/>
    <d v="2026-01-14T00:00:00"/>
    <m/>
    <m/>
    <m/>
    <m/>
    <m/>
    <m/>
    <m/>
    <m/>
    <m/>
    <m/>
    <m/>
    <m/>
    <m/>
    <m/>
    <m/>
    <m/>
    <m/>
    <m/>
    <m/>
    <m/>
    <m/>
    <m/>
    <m/>
  </r>
  <r>
    <s v="A004"/>
    <s v="R005"/>
    <s v="Narthana"/>
    <s v="Talme"/>
    <s v="IT"/>
    <x v="7"/>
    <x v="4"/>
    <s v="Salman Khan"/>
    <n v="8123577596"/>
    <s v="salmankhan.farsi09@gmail.com"/>
    <s v="Immediate "/>
    <s v="B.Tech"/>
    <x v="36"/>
    <s v="Computacenter"/>
    <s v="8.5 LPA"/>
    <m/>
    <m/>
    <s v="10.5 LPA"/>
    <s v="Screening Reject by Client"/>
    <s v="Portal-Naukri"/>
    <d v="2026-01-14T00:00:00"/>
    <d v="2026-01-14T00:00:00"/>
    <m/>
    <m/>
    <m/>
    <m/>
    <m/>
    <m/>
    <m/>
    <m/>
    <m/>
    <m/>
    <m/>
    <m/>
    <m/>
    <m/>
    <m/>
    <m/>
    <m/>
    <m/>
    <m/>
    <m/>
    <m/>
    <m/>
    <m/>
  </r>
  <r>
    <s v="E002"/>
    <s v="R004"/>
    <s v="Pooja"/>
    <s v="Talme"/>
    <s v="Non - IT"/>
    <x v="16"/>
    <x v="2"/>
    <s v="Naveen kumar B.S"/>
    <s v=" 15 Days"/>
    <s v="naveenlkbs@gmail.com"/>
    <n v="9902612460"/>
    <s v="M.E"/>
    <x v="55"/>
    <s v=" OMG Group"/>
    <s v="9 LPA"/>
    <m/>
    <m/>
    <s v="11 LPA"/>
    <s v="Screening Reject by Client"/>
    <s v="Portal-Naukri"/>
    <d v="2026-01-16T00:00:00"/>
    <d v="2026-01-16T00:00:00"/>
    <m/>
    <m/>
    <m/>
    <m/>
    <m/>
    <m/>
    <m/>
    <m/>
    <m/>
    <m/>
    <m/>
    <m/>
    <m/>
    <m/>
    <m/>
    <m/>
    <m/>
    <m/>
    <m/>
    <m/>
    <m/>
    <m/>
    <m/>
  </r>
  <r>
    <s v="E002"/>
    <s v="R004"/>
    <s v="Pooja"/>
    <s v="Talme"/>
    <s v="Non - IT"/>
    <x v="16"/>
    <x v="2"/>
    <s v="Hari"/>
    <s v=" Immediate"/>
    <s v="hariprasadr2804@gmail.com"/>
    <n v="8296909678"/>
    <s v=" B.E"/>
    <x v="58"/>
    <s v="Refex Green Mobility Limited"/>
    <s v="11 LPA"/>
    <m/>
    <m/>
    <s v="14 LPA"/>
    <s v="Screening Reject by Client"/>
    <s v="Portal-Naukri"/>
    <d v="2026-01-16T00:00:00"/>
    <d v="2026-01-16T00:00:00"/>
    <m/>
    <m/>
    <m/>
    <m/>
    <m/>
    <m/>
    <m/>
    <m/>
    <m/>
    <m/>
    <m/>
    <m/>
    <m/>
    <m/>
    <m/>
    <m/>
    <m/>
    <m/>
    <m/>
    <m/>
    <m/>
    <m/>
    <m/>
  </r>
  <r>
    <s v="E002"/>
    <s v="R004"/>
    <s v="Pooja"/>
    <s v="Talme"/>
    <s v="Non - IT"/>
    <x v="16"/>
    <x v="2"/>
    <s v="VEDASHREE J"/>
    <s v=" 15 Days"/>
    <s v="vkpshree@gmail.com"/>
    <n v="6363407994"/>
    <s v=" Teju FRYD"/>
    <x v="59"/>
    <s v="Diploma in nursing"/>
    <s v="9 LPA"/>
    <m/>
    <m/>
    <s v="30% Hike"/>
    <s v="Screening Reject by Client"/>
    <s v="Portal-Naukri"/>
    <d v="2026-01-16T00:00:00"/>
    <d v="2026-01-16T00:00:00"/>
    <m/>
    <m/>
    <m/>
    <m/>
    <m/>
    <m/>
    <m/>
    <m/>
    <m/>
    <m/>
    <m/>
    <m/>
    <m/>
    <m/>
    <m/>
    <m/>
    <m/>
    <m/>
    <m/>
    <m/>
    <m/>
    <m/>
    <m/>
  </r>
  <r>
    <s v="E005"/>
    <s v="R004"/>
    <s v="Pooja"/>
    <s v="Talme"/>
    <s v="Non - IT"/>
    <x v="11"/>
    <x v="2"/>
    <s v="Arunkumar Adhikari"/>
    <s v=" Immediate"/>
    <s v="adhikariarun1993@gmail.com"/>
    <n v="8591715154"/>
    <s v=" B.E"/>
    <x v="47"/>
    <s v="Vashi Integrated Solutions"/>
    <s v="8 LPA"/>
    <m/>
    <m/>
    <s v="As per company standard"/>
    <s v="Screening Reject by Client"/>
    <s v="Portal-Naukri"/>
    <d v="2026-01-16T00:00:00"/>
    <d v="2026-01-16T00:00:00"/>
    <m/>
    <m/>
    <m/>
    <m/>
    <m/>
    <m/>
    <m/>
    <m/>
    <m/>
    <m/>
    <m/>
    <m/>
    <m/>
    <m/>
    <m/>
    <m/>
    <m/>
    <m/>
    <m/>
    <m/>
    <m/>
    <m/>
    <m/>
  </r>
  <r>
    <s v="A004"/>
    <s v="R002"/>
    <s v="Harshitha"/>
    <s v="Talme"/>
    <s v="IT"/>
    <x v="7"/>
    <x v="4"/>
    <s v="A.R. Mohapatra"/>
    <s v="Immediate"/>
    <s v="armh5305@gmail.com"/>
    <n v="9663621479"/>
    <m/>
    <x v="60"/>
    <s v="SAP "/>
    <m/>
    <m/>
    <m/>
    <m/>
    <s v="Tech 1 Reject"/>
    <s v="Portal-Naukri"/>
    <d v="2026-01-16T00:00:00"/>
    <d v="2026-01-16T00:00:00"/>
    <m/>
    <d v="2026-01-19T00:00:00"/>
    <s v="Reject"/>
    <m/>
    <m/>
    <m/>
    <m/>
    <m/>
    <m/>
    <m/>
    <m/>
    <m/>
    <m/>
    <m/>
    <m/>
    <m/>
    <m/>
    <m/>
    <m/>
    <m/>
    <m/>
    <m/>
    <m/>
  </r>
  <r>
    <s v="A004"/>
    <s v="R002"/>
    <s v="Harshitha"/>
    <s v="Talme"/>
    <s v="IT"/>
    <x v="7"/>
    <x v="4"/>
    <s v="Anil Kumar.M"/>
    <s v="Immediate"/>
    <s v="anilk.mummy@gmail.com"/>
    <n v="9849164673"/>
    <m/>
    <x v="20"/>
    <s v="Netenrich Technologies"/>
    <m/>
    <m/>
    <m/>
    <m/>
    <s v="Tech 1 Reject"/>
    <s v="Portal-Naukri"/>
    <d v="2026-01-16T00:00:00"/>
    <d v="2026-01-16T00:00:00"/>
    <m/>
    <d v="2026-01-19T00:00:00"/>
    <s v="Reject"/>
    <m/>
    <m/>
    <m/>
    <m/>
    <m/>
    <m/>
    <m/>
    <m/>
    <m/>
    <m/>
    <m/>
    <m/>
    <m/>
    <m/>
    <m/>
    <m/>
    <m/>
    <m/>
    <m/>
    <m/>
  </r>
  <r>
    <s v="A004"/>
    <s v="R002"/>
    <s v="Harshitha"/>
    <s v="Talme"/>
    <s v="IT"/>
    <x v="7"/>
    <x v="4"/>
    <s v="Poorna Chandra Kavuturi"/>
    <s v="Immediate"/>
    <s v="kavuturi.chandra@gmail.com"/>
    <n v="8142728979"/>
    <m/>
    <x v="57"/>
    <s v="U&amp;D Square"/>
    <m/>
    <m/>
    <m/>
    <m/>
    <s v="Tech 1 Reject"/>
    <s v="Portal-Naukri"/>
    <d v="2026-01-16T00:00:00"/>
    <d v="2026-01-16T00:00:00"/>
    <m/>
    <d v="2026-01-19T00:00:00"/>
    <s v="Reject"/>
    <m/>
    <m/>
    <m/>
    <m/>
    <m/>
    <m/>
    <m/>
    <m/>
    <m/>
    <m/>
    <m/>
    <m/>
    <m/>
    <m/>
    <m/>
    <m/>
    <m/>
    <m/>
    <m/>
    <m/>
  </r>
  <r>
    <s v="A003"/>
    <s v="R002"/>
    <s v="Harshitha"/>
    <s v="Talme"/>
    <s v="IT"/>
    <x v="6"/>
    <x v="4"/>
    <s v="Anjeev Kumar"/>
    <s v="LWD-25/02/2026"/>
    <s v="anjeev0207002raj@gmail.com"/>
    <n v="9711425020"/>
    <s v="B.Tech"/>
    <x v="32"/>
    <s v="Wipro "/>
    <s v="27 LPA"/>
    <m/>
    <m/>
    <s v="40 LPA"/>
    <s v="Tech 1 to be Scheduled"/>
    <s v="Portal-Naukri"/>
    <d v="2026-01-16T00:00:00"/>
    <d v="2026-01-16T00:00:00"/>
    <m/>
    <m/>
    <m/>
    <m/>
    <m/>
    <m/>
    <m/>
    <m/>
    <m/>
    <m/>
    <m/>
    <m/>
    <m/>
    <m/>
    <m/>
    <m/>
    <m/>
    <m/>
    <m/>
    <m/>
    <m/>
    <m/>
    <m/>
  </r>
  <r>
    <s v="A003"/>
    <s v="R002"/>
    <s v="Harshitha"/>
    <s v="Talme"/>
    <s v="IT"/>
    <x v="6"/>
    <x v="4"/>
    <s v="Prashant Sahu"/>
    <s v="Immediate"/>
    <s v="sahuprashant498@gmail.com"/>
    <n v="9703167000"/>
    <s v="B.Tech"/>
    <x v="15"/>
    <s v="Hitachi Vantara"/>
    <s v="30 LPA"/>
    <m/>
    <m/>
    <s v="40 LPA"/>
    <s v="Tech 2 to be Scheduled"/>
    <s v="Portal-Naukri"/>
    <d v="2026-01-16T00:00:00"/>
    <d v="2026-01-16T00:00:00"/>
    <m/>
    <s v="23/01/2026"/>
    <s v="Select"/>
    <m/>
    <m/>
    <m/>
    <m/>
    <m/>
    <m/>
    <m/>
    <m/>
    <m/>
    <m/>
    <m/>
    <m/>
    <m/>
    <m/>
    <m/>
    <m/>
    <m/>
    <m/>
    <m/>
    <m/>
  </r>
  <r>
    <s v="A003"/>
    <s v="R002"/>
    <s v="Harshitha"/>
    <s v="Talme"/>
    <s v="IT"/>
    <x v="6"/>
    <x v="4"/>
    <s v="Jagdish Singh Bisht"/>
    <s v="LWD-20/02/2026"/>
    <s v="jagdishbisht15@gmail.com"/>
    <n v="9643898248"/>
    <s v="MCA"/>
    <x v="61"/>
    <s v="RDSoultions "/>
    <s v="35 LPA"/>
    <m/>
    <m/>
    <s v="45 LPA ( Offer in hand-42 LPA )"/>
    <s v="Tech 3 to be Scheduled"/>
    <s v="Portal-Naukri"/>
    <d v="2026-01-16T00:00:00"/>
    <d v="2026-01-16T00:00:00"/>
    <m/>
    <s v="20/01/2026"/>
    <s v="Select"/>
    <m/>
    <m/>
    <s v="22/01/2026"/>
    <s v="Select"/>
    <m/>
    <m/>
    <m/>
    <m/>
    <m/>
    <m/>
    <m/>
    <m/>
    <m/>
    <m/>
    <m/>
    <m/>
    <m/>
    <m/>
    <m/>
    <m/>
  </r>
  <r>
    <s v="A003"/>
    <s v="R002"/>
    <s v="Harshitha"/>
    <s v="Talme"/>
    <s v="IT"/>
    <x v="6"/>
    <x v="4"/>
    <s v="Deepu N"/>
    <s v="Immediate"/>
    <s v="dpu7481@gmail.com"/>
    <n v="7406679388"/>
    <s v="M.Sc"/>
    <x v="16"/>
    <s v="TSIT Digital"/>
    <s v="30 LPA"/>
    <m/>
    <m/>
    <s v="45 LPA ( Offer in hand-42 LPA )"/>
    <s v="Tech 1 Reject"/>
    <s v="Portal-Naukri"/>
    <d v="2026-01-16T00:00:00"/>
    <d v="2026-01-16T00:00:00"/>
    <m/>
    <s v="20/01/2026"/>
    <s v="Reject"/>
    <m/>
    <m/>
    <m/>
    <m/>
    <m/>
    <m/>
    <m/>
    <m/>
    <m/>
    <m/>
    <m/>
    <m/>
    <m/>
    <m/>
    <m/>
    <m/>
    <m/>
    <m/>
    <m/>
    <m/>
  </r>
  <r>
    <s v="A004"/>
    <s v="R005"/>
    <s v="Narthana"/>
    <s v="Talme"/>
    <s v="IT"/>
    <x v="7"/>
    <x v="4"/>
    <s v="Nithin Nigam"/>
    <s v="15 Days"/>
    <s v="nitinnigamknp@gmail.com"/>
    <n v="8318735383"/>
    <s v="B.A"/>
    <x v="22"/>
    <s v="Alethe Consulting Private Limited"/>
    <s v="6 LPA"/>
    <m/>
    <m/>
    <s v="10 LPA"/>
    <s v="Tech 1 Reject"/>
    <s v="Portal-Naukri"/>
    <d v="2026-01-16T00:00:00"/>
    <d v="2026-01-16T00:00:00"/>
    <s v="L1 scheduled"/>
    <d v="2026-01-22T00:00:00"/>
    <s v="Reject"/>
    <m/>
    <m/>
    <m/>
    <m/>
    <m/>
    <m/>
    <m/>
    <m/>
    <m/>
    <m/>
    <m/>
    <m/>
    <m/>
    <m/>
    <m/>
    <m/>
    <m/>
    <m/>
    <m/>
    <m/>
  </r>
  <r>
    <s v="A004"/>
    <s v="R005"/>
    <s v="Narthana"/>
    <s v="Talme"/>
    <s v="IT"/>
    <x v="7"/>
    <x v="4"/>
    <s v="Santosh Kumar Tiwari"/>
    <s v="Immediate"/>
    <s v="Santosh.tiwari404@gmail.com"/>
    <n v="8299296990"/>
    <s v="B.Sc"/>
    <x v="25"/>
    <s v="TCS"/>
    <s v="9.2 LPA"/>
    <m/>
    <m/>
    <s v="10.5 LPA"/>
    <s v="No Show"/>
    <s v="Portal-Naukri"/>
    <d v="2026-01-16T00:00:00"/>
    <d v="2026-01-16T00:00:00"/>
    <s v="L1 scheduled"/>
    <d v="2026-01-22T00:00:00"/>
    <s v="No Show"/>
    <m/>
    <m/>
    <m/>
    <m/>
    <m/>
    <m/>
    <m/>
    <m/>
    <m/>
    <m/>
    <m/>
    <m/>
    <m/>
    <m/>
    <m/>
    <m/>
    <m/>
    <m/>
    <m/>
    <m/>
  </r>
  <r>
    <s v="A004"/>
    <s v="R005"/>
    <s v="Narthana"/>
    <s v="Talme"/>
    <s v="IT"/>
    <x v="7"/>
    <x v="4"/>
    <s v="Vishal Kapoor"/>
    <s v="Immediate"/>
    <s v="puneet.kumar.capoor@gmail.com"/>
    <n v="7307607780"/>
    <s v="MCA"/>
    <x v="25"/>
    <s v="Allied Digital Services Ltd"/>
    <s v="7.5 LPA"/>
    <m/>
    <m/>
    <s v="10.5 LPA"/>
    <s v="Tech 1 Reject"/>
    <s v="Portal-Naukri"/>
    <d v="2026-01-16T00:00:00"/>
    <d v="2026-01-16T00:00:00"/>
    <s v="L1 scheduled"/>
    <d v="2026-01-22T00:00:00"/>
    <s v="Reject"/>
    <m/>
    <m/>
    <m/>
    <m/>
    <m/>
    <m/>
    <m/>
    <m/>
    <m/>
    <m/>
    <m/>
    <m/>
    <m/>
    <m/>
    <m/>
    <m/>
    <m/>
    <m/>
    <m/>
    <m/>
  </r>
  <r>
    <s v="E002"/>
    <s v="R004"/>
    <s v="Pooja"/>
    <s v="Talme"/>
    <s v="Non - IT"/>
    <x v="16"/>
    <x v="2"/>
    <s v="Asha S N"/>
    <s v=" Immediate"/>
    <s v="ashavinushree@gmail.com"/>
    <n v="7259133336"/>
    <s v="B.Com"/>
    <x v="27"/>
    <s v=" Vallhabha Milk Products Private Limited "/>
    <s v="7.2 LPA"/>
    <m/>
    <m/>
    <s v="20% Hike"/>
    <s v="Sourced"/>
    <s v="Portal-Naukri"/>
    <d v="2026-01-17T00:00:00"/>
    <d v="2026-01-17T00:00:00"/>
    <m/>
    <m/>
    <m/>
    <m/>
    <m/>
    <m/>
    <m/>
    <m/>
    <m/>
    <m/>
    <m/>
    <m/>
    <m/>
    <m/>
    <m/>
    <m/>
    <m/>
    <m/>
    <m/>
    <m/>
    <m/>
    <m/>
    <m/>
  </r>
  <r>
    <s v="E002"/>
    <s v="R004"/>
    <s v="Pooja"/>
    <s v="Talme"/>
    <s v="Non - IT"/>
    <x v="16"/>
    <x v="2"/>
    <s v="Manoj Kumara. M"/>
    <s v=" LWD - 18th Jan"/>
    <s v=" manojkumar11087@gmail.com"/>
    <n v="9353724213"/>
    <s v=" MBA"/>
    <x v="55"/>
    <s v=" Thriventree Consulting Pvt. Ltd. "/>
    <s v="4.8 LPA"/>
    <m/>
    <m/>
    <s v="6.5 LPA"/>
    <s v="Sourced"/>
    <s v="Portal-Naukri"/>
    <d v="2026-01-17T00:00:00"/>
    <d v="2026-01-17T00:00:00"/>
    <m/>
    <m/>
    <m/>
    <m/>
    <m/>
    <m/>
    <m/>
    <m/>
    <m/>
    <m/>
    <m/>
    <m/>
    <m/>
    <m/>
    <m/>
    <m/>
    <m/>
    <m/>
    <m/>
    <m/>
    <m/>
    <m/>
    <m/>
  </r>
  <r>
    <s v="A003"/>
    <s v="R004"/>
    <s v="Pooja"/>
    <s v="Talme"/>
    <s v="IT"/>
    <x v="6"/>
    <x v="4"/>
    <s v="Subodh Maurya"/>
    <s v=" Immediate"/>
    <s v="subodh.m33@gmail.com"/>
    <n v="8527352371"/>
    <s v=" MCA"/>
    <x v="62"/>
    <s v=" EC-Council Pvt. Ltd."/>
    <s v="22.2 LPA"/>
    <s v="Noida"/>
    <s v="Noida"/>
    <s v=" As per company standard"/>
    <s v="Screening Reject by Client"/>
    <s v="Portal-Naukri"/>
    <d v="2026-01-19T00:00:00"/>
    <d v="2026-01-19T00:00:00"/>
    <m/>
    <m/>
    <m/>
    <m/>
    <m/>
    <m/>
    <m/>
    <m/>
    <m/>
    <m/>
    <m/>
    <m/>
    <m/>
    <m/>
    <m/>
    <m/>
    <m/>
    <m/>
    <m/>
    <m/>
    <m/>
    <m/>
    <m/>
  </r>
  <r>
    <s v="A003"/>
    <s v="R004"/>
    <s v="Pooja"/>
    <s v="Talme"/>
    <s v="IT"/>
    <x v="6"/>
    <x v="4"/>
    <s v="Nitinpatwa"/>
    <s v="15 Days"/>
    <s v=" nitinpatwa@gmail.com"/>
    <n v="8369277048"/>
    <s v=" B.E"/>
    <x v="62"/>
    <s v=" Ikokas"/>
    <s v="30 LPA"/>
    <s v="MP"/>
    <s v="Noida"/>
    <s v="50 LPA"/>
    <s v="Tech 1 Reject"/>
    <s v="Portal-Naukri"/>
    <d v="2026-01-19T00:00:00"/>
    <d v="2026-01-19T00:00:00"/>
    <m/>
    <m/>
    <m/>
    <m/>
    <m/>
    <m/>
    <m/>
    <m/>
    <m/>
    <m/>
    <m/>
    <m/>
    <m/>
    <m/>
    <m/>
    <m/>
    <m/>
    <m/>
    <m/>
    <m/>
    <m/>
    <m/>
    <m/>
  </r>
  <r>
    <s v="A003"/>
    <s v="R004"/>
    <s v="Pooja"/>
    <s v="Talme"/>
    <s v="IT"/>
    <x v="6"/>
    <x v="4"/>
    <s v="RADHAKRISHNAN KANDASAMY"/>
    <s v="Immediate"/>
    <s v="radhakrishnank.nitt@gmail.com"/>
    <n v="7259887686"/>
    <s v="14 Year"/>
    <x v="63"/>
    <s v="MCA"/>
    <s v="35 LPA"/>
    <s v="50 LPA"/>
    <s v="Immediate"/>
    <s v="50 LPA"/>
    <s v="Tech 2 to be Scheduled"/>
    <s v="Portal-Naukri"/>
    <d v="2026-01-19T00:00:00"/>
    <d v="2026-01-19T00:00:00"/>
    <m/>
    <m/>
    <m/>
    <m/>
    <m/>
    <m/>
    <m/>
    <m/>
    <m/>
    <m/>
    <m/>
    <m/>
    <m/>
    <m/>
    <m/>
    <m/>
    <m/>
    <m/>
    <m/>
    <m/>
    <m/>
    <m/>
    <m/>
  </r>
  <r>
    <s v="E002"/>
    <s v="R004"/>
    <s v="Pooja"/>
    <s v="Talme"/>
    <s v="Non - IT"/>
    <x v="16"/>
    <x v="2"/>
    <s v="Karthik RM"/>
    <s v="Immediate"/>
    <s v=" ragikarthik24@gmail.com"/>
    <n v="7975257203"/>
    <s v=" B.E"/>
    <x v="46"/>
    <s v=" Magicpin"/>
    <s v="9.3 LPA"/>
    <s v=" Bengaluru"/>
    <s v=" Bengaluru"/>
    <s v=" 15% Hike"/>
    <s v="Sourced"/>
    <s v="Portal-Naukri"/>
    <d v="2026-01-19T00:00:00"/>
    <d v="2026-01-19T00:00:00"/>
    <m/>
    <m/>
    <m/>
    <m/>
    <m/>
    <m/>
    <m/>
    <m/>
    <m/>
    <m/>
    <m/>
    <m/>
    <m/>
    <m/>
    <m/>
    <m/>
    <m/>
    <m/>
    <m/>
    <m/>
    <m/>
    <m/>
    <m/>
  </r>
  <r>
    <s v="E002"/>
    <s v="R004"/>
    <s v="Pooja"/>
    <s v="Talme"/>
    <s v="Non - IT"/>
    <x v="16"/>
    <x v="2"/>
    <s v="Syed Afief"/>
    <s v=" 15 Days"/>
    <s v=" syedafief.pt@gmail.com"/>
    <n v="9945583255"/>
    <s v=" MBA"/>
    <x v="55"/>
    <s v=" Colife Advisory Pvt Ltd"/>
    <s v="10.6 LPA"/>
    <s v=" Bengaluru"/>
    <s v=" Bengaluru"/>
    <s v=" 30% Hike"/>
    <s v="Sourced"/>
    <s v="Portal-Naukri"/>
    <d v="2026-01-19T00:00:00"/>
    <d v="2026-01-19T00:00:00"/>
    <m/>
    <m/>
    <m/>
    <m/>
    <m/>
    <m/>
    <m/>
    <m/>
    <m/>
    <m/>
    <m/>
    <m/>
    <m/>
    <m/>
    <m/>
    <m/>
    <m/>
    <m/>
    <m/>
    <m/>
    <m/>
    <m/>
    <m/>
  </r>
  <r>
    <s v="E002"/>
    <s v="R004"/>
    <s v="Pooja"/>
    <s v="Talme"/>
    <s v="Non - IT"/>
    <x v="16"/>
    <x v="2"/>
    <s v="Darshan"/>
    <s v=" 15 Days"/>
    <s v=" darshan.mba.raj@gmail.com"/>
    <n v="9242239964"/>
    <s v=" MBA"/>
    <x v="55"/>
    <s v="Praba's VCare pvt ltd"/>
    <s v="12 LPA"/>
    <s v=" Bengaluru"/>
    <s v=" Bengaluru"/>
    <s v=" 15 LPA"/>
    <s v="Sourced"/>
    <s v="Portal-Naukri"/>
    <d v="2026-01-19T00:00:00"/>
    <d v="2026-01-19T00:00:00"/>
    <m/>
    <m/>
    <m/>
    <m/>
    <m/>
    <m/>
    <m/>
    <m/>
    <m/>
    <m/>
    <m/>
    <m/>
    <m/>
    <m/>
    <m/>
    <m/>
    <m/>
    <m/>
    <m/>
    <m/>
    <m/>
    <m/>
    <m/>
  </r>
  <r>
    <s v="E002"/>
    <s v="R004"/>
    <s v="Pooja"/>
    <s v="Talme"/>
    <s v="Non - IT"/>
    <x v="16"/>
    <x v="2"/>
    <s v="Muni Kishore"/>
    <s v=" 30 Days (Negotiable)"/>
    <s v="munikishore23@gmail.com"/>
    <n v="9865059651"/>
    <s v=" MBA"/>
    <x v="64"/>
    <s v=" Teksolvent"/>
    <s v="11.8 LPA"/>
    <s v=" Bengaluru"/>
    <s v="Bengaluru"/>
    <s v=" 15 LPA"/>
    <s v="Sourced"/>
    <s v="Portal-Naukri"/>
    <d v="2026-01-19T00:00:00"/>
    <d v="2026-01-19T00:00:00"/>
    <m/>
    <m/>
    <m/>
    <m/>
    <m/>
    <m/>
    <m/>
    <m/>
    <m/>
    <m/>
    <m/>
    <m/>
    <m/>
    <m/>
    <m/>
    <m/>
    <m/>
    <m/>
    <m/>
    <m/>
    <m/>
    <m/>
    <m/>
  </r>
  <r>
    <s v="E002"/>
    <s v="R004"/>
    <s v="Pooja"/>
    <s v="Talme"/>
    <s v="Non - IT"/>
    <x v="16"/>
    <x v="2"/>
    <s v="Jaheer Altaf"/>
    <s v=" Immediate"/>
    <s v="j.altafpatel@gmail.com"/>
    <n v="8660695565"/>
    <s v=" MBA"/>
    <x v="62"/>
    <s v=" Treewalker Technology "/>
    <s v="12 LPA"/>
    <s v=" Bengaluru"/>
    <s v=" Bengaluru"/>
    <s v=" 16 LPA"/>
    <s v="Screening reject by HR"/>
    <s v="Portal-Naukri"/>
    <d v="2026-01-19T00:00:00"/>
    <d v="2026-01-19T00:00:00"/>
    <m/>
    <m/>
    <m/>
    <m/>
    <m/>
    <m/>
    <m/>
    <m/>
    <m/>
    <m/>
    <m/>
    <m/>
    <m/>
    <m/>
    <m/>
    <m/>
    <m/>
    <m/>
    <m/>
    <m/>
    <m/>
    <m/>
    <m/>
  </r>
  <r>
    <s v="A004"/>
    <s v="R002"/>
    <s v="Harshitha"/>
    <s v="Talme"/>
    <s v="IT"/>
    <x v="7"/>
    <x v="4"/>
    <s v="Yogesh Kumar"/>
    <s v="LWD-31/01/2026"/>
    <s v="yogeshk213@gmail.com"/>
    <n v="9999625958"/>
    <s v="BCA"/>
    <x v="21"/>
    <s v="NTT DATA"/>
    <s v="6.75 LPA"/>
    <s v="Noida"/>
    <s v="Noida"/>
    <s v="10 LPA"/>
    <s v="Tech 1 to be Scheduled"/>
    <s v="Portal-Naukri"/>
    <d v="2026-01-19T00:00:00"/>
    <d v="2026-01-19T00:00:00"/>
    <m/>
    <s v="21/01/2026"/>
    <s v="Reject"/>
    <m/>
    <m/>
    <m/>
    <m/>
    <m/>
    <m/>
    <m/>
    <m/>
    <m/>
    <m/>
    <m/>
    <m/>
    <m/>
    <m/>
    <m/>
    <m/>
    <m/>
    <m/>
    <m/>
    <m/>
  </r>
  <r>
    <s v="A004"/>
    <s v="R002"/>
    <s v="Harshitha"/>
    <s v="Talme"/>
    <s v="IT"/>
    <x v="7"/>
    <x v="4"/>
    <s v="Brijesh Kumar Yadav"/>
    <s v="Immediate"/>
    <s v="brijeshkumaryadav165@gmail.com"/>
    <n v="9970683962"/>
    <s v="M.Tech"/>
    <x v="20"/>
    <s v="collbera digital"/>
    <s v="6 LPA"/>
    <s v="Bengaluru"/>
    <s v="Bengaluru"/>
    <s v="8 LPA"/>
    <s v="Tech 1 to be Scheduled"/>
    <s v="Portal-Naukri"/>
    <d v="2026-01-19T00:00:00"/>
    <d v="2026-01-19T00:00:00"/>
    <m/>
    <s v="21/01/2026"/>
    <s v="No Show"/>
    <m/>
    <m/>
    <m/>
    <m/>
    <m/>
    <m/>
    <m/>
    <m/>
    <m/>
    <m/>
    <m/>
    <m/>
    <m/>
    <m/>
    <m/>
    <m/>
    <m/>
    <m/>
    <m/>
    <m/>
  </r>
  <r>
    <s v="A004"/>
    <s v="R002"/>
    <s v="Harshitha"/>
    <s v="Talme"/>
    <s v="IT"/>
    <x v="7"/>
    <x v="4"/>
    <s v="ASHIS ROUT"/>
    <s v="Immediate"/>
    <s v="ashisrout0070@gmail.com"/>
    <n v="8260808352"/>
    <s v="M.Tech"/>
    <x v="20"/>
    <s v=" Infogain India Pvt Ltd"/>
    <s v="7.3 LPA"/>
    <s v="Bhuvaneshwar"/>
    <s v="Bengaluru"/>
    <s v="10 LPA"/>
    <s v="Tech 3 to be Scheduled"/>
    <s v="Portal-Naukri"/>
    <d v="2026-01-19T00:00:00"/>
    <d v="2026-01-19T00:00:00"/>
    <m/>
    <s v="21/01/2026"/>
    <s v="Select"/>
    <m/>
    <m/>
    <s v="22/01/2026"/>
    <s v="Select"/>
    <m/>
    <m/>
    <s v="23/01/2026"/>
    <m/>
    <m/>
    <m/>
    <m/>
    <m/>
    <m/>
    <m/>
    <m/>
    <m/>
    <m/>
    <m/>
    <m/>
    <m/>
  </r>
  <r>
    <s v="A003"/>
    <s v="R005"/>
    <s v="Narthana"/>
    <s v="Talme"/>
    <s v="IT"/>
    <x v="6"/>
    <x v="4"/>
    <s v="Ranjith G"/>
    <s v="45 Days Neg(90 days)"/>
    <s v="ranjith.granus@gmail.com"/>
    <n v="7200457059"/>
    <s v="MCA"/>
    <x v="61"/>
    <s v="GlobalLogic India Pvt. Ltd"/>
    <s v="16.5 LPA"/>
    <s v="Bengaluru"/>
    <s v="Bengaluru"/>
    <s v="28 LPA"/>
    <s v="Screening reject by HR"/>
    <s v="Portal-Naukri"/>
    <d v="2026-01-19T00:00:00"/>
    <d v="2026-01-19T00:00:00"/>
    <m/>
    <m/>
    <m/>
    <m/>
    <m/>
    <m/>
    <m/>
    <m/>
    <m/>
    <m/>
    <m/>
    <m/>
    <m/>
    <m/>
    <m/>
    <m/>
    <m/>
    <m/>
    <m/>
    <m/>
    <m/>
    <m/>
    <m/>
  </r>
  <r>
    <s v="A003"/>
    <s v="R005"/>
    <s v="Narthana"/>
    <s v="Talme"/>
    <s v="IT"/>
    <x v="6"/>
    <x v="4"/>
    <s v="Udaya Lakshmi"/>
    <s v="LWD 20 Feb 2026"/>
    <s v="udaya.luck@gmail.com"/>
    <n v="9704484208"/>
    <s v="B.Tech"/>
    <x v="15"/>
    <s v="Nexturn"/>
    <s v="22 LPA"/>
    <s v="Hyderabad"/>
    <s v="Hyderabad"/>
    <s v="28 LPA"/>
    <s v="Screening Reject by Client"/>
    <s v="Portal-Naukri"/>
    <d v="2026-01-19T00:00:00"/>
    <d v="2026-01-19T00:00:00"/>
    <m/>
    <m/>
    <m/>
    <m/>
    <m/>
    <m/>
    <m/>
    <m/>
    <m/>
    <m/>
    <m/>
    <m/>
    <m/>
    <m/>
    <m/>
    <m/>
    <m/>
    <m/>
    <m/>
    <m/>
    <m/>
    <m/>
    <m/>
  </r>
  <r>
    <s v="A004"/>
    <s v="R005"/>
    <s v="Narthana"/>
    <s v="Talme"/>
    <s v="IT"/>
    <x v="7"/>
    <x v="4"/>
    <s v="Pradeep"/>
    <s v="Cranes Varsity"/>
    <s v="Pradeepsb.dip7790@gmail.com"/>
    <n v="7259763211"/>
    <s v="B.A"/>
    <x v="21"/>
    <s v="Cranes Varsity"/>
    <s v="7.5 LPA"/>
    <s v="Bengaluru"/>
    <s v="Bengaluru"/>
    <s v="10.5 LPA"/>
    <s v="Screening Reject by Client"/>
    <s v="Portal-Naukri"/>
    <d v="2026-01-20T00:00:00"/>
    <d v="2026-01-20T00:00:00"/>
    <m/>
    <m/>
    <m/>
    <m/>
    <m/>
    <m/>
    <m/>
    <m/>
    <m/>
    <m/>
    <m/>
    <m/>
    <m/>
    <m/>
    <m/>
    <m/>
    <m/>
    <m/>
    <m/>
    <m/>
    <m/>
    <m/>
    <m/>
  </r>
  <r>
    <s v="A004"/>
    <s v="R005"/>
    <s v="Narthana"/>
    <s v="Talme"/>
    <s v="IT"/>
    <x v="7"/>
    <x v="4"/>
    <s v="Madhan Kumar"/>
    <s v="TCS"/>
    <s v="madhancse42@outlook.com"/>
    <n v="9886193239"/>
    <s v="B.E"/>
    <x v="39"/>
    <s v="TCS"/>
    <s v="4.6 LPA"/>
    <s v="Bengaluru"/>
    <s v="Bengaluru"/>
    <s v="7 LPA"/>
    <s v="Screening Reject by Client"/>
    <s v="Portal-Naukri"/>
    <d v="2026-01-20T00:00:00"/>
    <d v="2026-01-20T00:00:00"/>
    <m/>
    <m/>
    <m/>
    <m/>
    <m/>
    <m/>
    <m/>
    <m/>
    <m/>
    <m/>
    <m/>
    <m/>
    <m/>
    <m/>
    <m/>
    <m/>
    <m/>
    <m/>
    <m/>
    <m/>
    <m/>
    <m/>
    <m/>
  </r>
  <r>
    <s v="A004"/>
    <s v="R005"/>
    <s v="Narthana"/>
    <s v="Talme"/>
    <s v="IT"/>
    <x v="7"/>
    <x v="4"/>
    <s v="Gourav Raj"/>
    <s v="Wipro"/>
    <s v="gouravrajsingh775@gmail.com"/>
    <n v="7979875167"/>
    <s v="B.Tech"/>
    <x v="65"/>
    <s v="Wipro"/>
    <s v="8.6 LPA"/>
    <s v="Bengaluru"/>
    <s v="Bengaluru"/>
    <s v="10.5 LPA"/>
    <s v="Screening Reject by Client"/>
    <s v="Portal-Naukri"/>
    <d v="2026-01-20T00:00:00"/>
    <d v="2026-01-20T00:00:00"/>
    <m/>
    <m/>
    <m/>
    <m/>
    <m/>
    <m/>
    <m/>
    <m/>
    <m/>
    <m/>
    <m/>
    <m/>
    <m/>
    <m/>
    <m/>
    <m/>
    <m/>
    <m/>
    <m/>
    <m/>
    <m/>
    <m/>
    <m/>
  </r>
  <r>
    <s v="E005"/>
    <s v="R004"/>
    <s v="Pooja"/>
    <s v="Talme"/>
    <s v="Non - IT"/>
    <x v="11"/>
    <x v="2"/>
    <s v="Sumit Roy Majumder"/>
    <s v=" 30 Days"/>
    <s v=" sumitroym@gmail.com"/>
    <n v="8884791618"/>
    <s v=" PG"/>
    <x v="46"/>
    <s v=" Swiggy"/>
    <s v="12 LPA"/>
    <s v="Bengaluru"/>
    <s v=" Bengaluru"/>
    <s v=" 40% Hike"/>
    <s v="Sourced"/>
    <s v="Portal-Naukri"/>
    <d v="2026-01-20T00:00:00"/>
    <d v="2026-01-20T00:00:00"/>
    <m/>
    <m/>
    <m/>
    <m/>
    <m/>
    <m/>
    <m/>
    <m/>
    <m/>
    <m/>
    <m/>
    <m/>
    <m/>
    <m/>
    <m/>
    <m/>
    <m/>
    <m/>
    <m/>
    <m/>
    <m/>
    <m/>
    <m/>
  </r>
  <r>
    <s v="E002"/>
    <s v="R004"/>
    <s v="Pooja"/>
    <s v="Talme"/>
    <s v="Non - IT"/>
    <x v="16"/>
    <x v="2"/>
    <s v="Shibu Rajan"/>
    <s v=" Immediate"/>
    <s v=" shiburajan2326@gmail.com"/>
    <n v="9980528662"/>
    <s v=" B.Com"/>
    <x v="66"/>
    <s v=" UNIQUE GLOBAL LABS PVT LTD"/>
    <s v="7.8 LPA"/>
    <s v=" Bengaluru"/>
    <s v=" Bengaluru"/>
    <s v=" As per company standard"/>
    <s v="Sourced"/>
    <s v="Portal-Naukri"/>
    <s v="20/01/2026"/>
    <s v="20/01/2026"/>
    <m/>
    <m/>
    <m/>
    <m/>
    <m/>
    <m/>
    <m/>
    <m/>
    <m/>
    <m/>
    <m/>
    <m/>
    <m/>
    <m/>
    <m/>
    <m/>
    <m/>
    <m/>
    <m/>
    <m/>
    <m/>
    <m/>
    <m/>
  </r>
  <r>
    <s v="E002"/>
    <s v="R004"/>
    <s v="Pooja"/>
    <s v="Talme"/>
    <s v="Non - IT"/>
    <x v="16"/>
    <x v="2"/>
    <s v="Dileep Kumar R"/>
    <s v="Immediate"/>
    <s v=" dileeplearning2023@gmail.com"/>
    <n v="7975462958"/>
    <s v=" B.Com"/>
    <x v="53"/>
    <s v="Urban Standz Pvt Ltd"/>
    <s v="5.4 LPA"/>
    <s v="Bengaluru"/>
    <s v="  Bengaluru"/>
    <s v=" 6 LPA"/>
    <s v="Sourced"/>
    <s v="Portal-Naukri"/>
    <s v="20/01/2026"/>
    <s v="20/01/2026"/>
    <m/>
    <m/>
    <m/>
    <m/>
    <m/>
    <m/>
    <m/>
    <m/>
    <m/>
    <m/>
    <m/>
    <m/>
    <m/>
    <m/>
    <m/>
    <m/>
    <m/>
    <m/>
    <m/>
    <m/>
    <m/>
    <m/>
    <m/>
  </r>
  <r>
    <s v="E002"/>
    <s v="R004"/>
    <s v="Pooja"/>
    <s v="Talme"/>
    <s v="Non - IT"/>
    <x v="16"/>
    <x v="2"/>
    <s v="Prabhu R V"/>
    <s v="15 Days"/>
    <s v=" prabhureddy135@gmail.com"/>
    <n v="9882332552"/>
    <s v=" B.E"/>
    <x v="55"/>
    <s v="  Excelr EdTech Pvt Ltd "/>
    <s v="8.5 LPA"/>
    <s v="Bengaluru"/>
    <s v="Bengaluru"/>
    <s v=" 10.5 LPA"/>
    <s v="Sourced"/>
    <s v="Portal-Naukri"/>
    <s v="20/01/2026"/>
    <s v="20/01/2026"/>
    <m/>
    <m/>
    <m/>
    <m/>
    <m/>
    <m/>
    <m/>
    <m/>
    <m/>
    <m/>
    <m/>
    <m/>
    <m/>
    <m/>
    <m/>
    <m/>
    <m/>
    <m/>
    <m/>
    <m/>
    <m/>
    <m/>
    <m/>
  </r>
  <r>
    <s v="E002"/>
    <s v="R004"/>
    <s v="Pooja"/>
    <s v="Talme"/>
    <s v="Non - IT"/>
    <x v="16"/>
    <x v="2"/>
    <s v="Setty Aakash"/>
    <s v=" 30 Days(15 days negotiable)"/>
    <s v=" settyaakash@gmail.com"/>
    <n v="9206229290"/>
    <s v=" MBA"/>
    <x v="66"/>
    <s v=" Pluckwalk Technologies Pvt Ltd"/>
    <s v="9.5 LPA"/>
    <s v="Bengaluru"/>
    <s v=" Bengaluru"/>
    <s v=" 20% Hike"/>
    <s v="Sourced"/>
    <s v="Portal-Naukri"/>
    <s v="20/01/2026"/>
    <s v="20/01/2026"/>
    <m/>
    <m/>
    <m/>
    <m/>
    <m/>
    <m/>
    <m/>
    <m/>
    <m/>
    <m/>
    <m/>
    <m/>
    <m/>
    <m/>
    <m/>
    <m/>
    <m/>
    <m/>
    <m/>
    <m/>
    <m/>
    <m/>
    <m/>
  </r>
  <r>
    <s v="E002"/>
    <s v="R004"/>
    <s v="Pooja"/>
    <s v="Talme"/>
    <s v="Non - IT"/>
    <x v="16"/>
    <x v="2"/>
    <s v="Chinna T P"/>
    <s v=" 30 Days"/>
    <s v="chinnatp977@gmail.com"/>
    <n v="6360273878"/>
    <s v=" B.Com"/>
    <x v="67"/>
    <s v=" Finance Buddha "/>
    <s v="9.3 LPA"/>
    <s v="Bengaluru"/>
    <s v="Bengaluru"/>
    <s v=" 30% Hike"/>
    <s v="Sourced"/>
    <s v="Portal-Naukri"/>
    <s v="20/01/2026"/>
    <s v="20/01/2026"/>
    <m/>
    <m/>
    <m/>
    <m/>
    <m/>
    <m/>
    <m/>
    <m/>
    <m/>
    <m/>
    <m/>
    <m/>
    <m/>
    <m/>
    <m/>
    <m/>
    <m/>
    <m/>
    <m/>
    <m/>
    <m/>
    <m/>
    <m/>
  </r>
  <r>
    <s v="H005"/>
    <s v="R004"/>
    <s v="Pooja"/>
    <s v="Talme"/>
    <s v="IT"/>
    <x v="17"/>
    <x v="4"/>
    <s v="Priyanshu Raj"/>
    <s v=" LWD - 31st Jan"/>
    <s v=" priyanshu.js007@gmail.com"/>
    <n v="9504610122"/>
    <s v=" BCA"/>
    <x v="68"/>
    <s v=" Codestore Solutions Pvt. Ltd. "/>
    <s v=" "/>
    <s v="Noida"/>
    <s v="Noida"/>
    <s v=" "/>
    <s v="Sourced"/>
    <s v="Portal-Naukri"/>
    <s v="20/01/2026"/>
    <s v="20/01/2026"/>
    <m/>
    <m/>
    <m/>
    <m/>
    <m/>
    <m/>
    <m/>
    <m/>
    <m/>
    <m/>
    <m/>
    <m/>
    <m/>
    <m/>
    <m/>
    <m/>
    <m/>
    <m/>
    <m/>
    <m/>
    <m/>
    <m/>
    <m/>
  </r>
  <r>
    <s v="H005"/>
    <s v="R004"/>
    <s v="Pooja"/>
    <s v="Talme"/>
    <s v="IT"/>
    <x v="17"/>
    <x v="4"/>
    <s v="Rinkesh Kumar"/>
    <s v="LWD - 31st Jan"/>
    <s v=" rinkesh.web@gmail.com"/>
    <n v="7549385391"/>
    <s v=" MCA"/>
    <x v="69"/>
    <s v="  E-Tuitions Learning Pvt. Ltd."/>
    <s v=" "/>
    <s v="Noida"/>
    <s v="Noida"/>
    <s v=" "/>
    <s v="Sourced"/>
    <s v="Portal-Naukri"/>
    <s v="20/01/2026"/>
    <s v="20/01/2026"/>
    <m/>
    <m/>
    <m/>
    <m/>
    <m/>
    <m/>
    <m/>
    <m/>
    <m/>
    <m/>
    <m/>
    <m/>
    <m/>
    <m/>
    <m/>
    <m/>
    <m/>
    <m/>
    <m/>
    <m/>
    <m/>
    <m/>
    <m/>
  </r>
  <r>
    <s v="H005"/>
    <s v="R004"/>
    <s v="Pooja"/>
    <s v="Talme"/>
    <s v="IT"/>
    <x v="17"/>
    <x v="4"/>
    <s v="Shubham Tiwari"/>
    <s v=" LWD - 31st Jan"/>
    <s v=" shubhamknp74@gmail.com"/>
    <n v="6387660681"/>
    <s v=" CSE"/>
    <x v="68"/>
    <s v=" AKAL INFORMATION SYSTEMS LTD"/>
    <s v=" "/>
    <s v="Noida"/>
    <s v="Noida"/>
    <s v=" "/>
    <s v="Sourced"/>
    <s v="Portal-Naukri"/>
    <s v="20/01/2026"/>
    <s v="20/01/2026"/>
    <m/>
    <m/>
    <m/>
    <m/>
    <m/>
    <m/>
    <m/>
    <m/>
    <m/>
    <m/>
    <m/>
    <m/>
    <m/>
    <m/>
    <m/>
    <m/>
    <m/>
    <m/>
    <m/>
    <m/>
    <m/>
    <m/>
    <m/>
  </r>
  <r>
    <s v="H005"/>
    <s v="R004"/>
    <s v="Pooja"/>
    <s v="Talme"/>
    <s v="IT"/>
    <x v="17"/>
    <x v="4"/>
    <s v="NATHISH PERIYASAMY"/>
    <s v=" LWD - 20th Feb"/>
    <s v=" nathish.periyasamy@gmail.com"/>
    <n v="9080918326"/>
    <s v=" B.E"/>
    <x v="70"/>
    <s v="Infosys Ltd"/>
    <s v=" "/>
    <s v="Bengaluru"/>
    <s v="Bengaluru"/>
    <n v="100000"/>
    <m/>
    <m/>
    <m/>
    <m/>
    <m/>
    <m/>
    <m/>
    <m/>
    <m/>
    <m/>
    <m/>
    <m/>
    <m/>
    <m/>
    <m/>
    <m/>
    <m/>
    <m/>
    <m/>
    <m/>
    <m/>
    <m/>
    <m/>
    <m/>
    <m/>
    <m/>
    <m/>
  </r>
  <r>
    <s v="H005"/>
    <s v="R002"/>
    <s v="Harshitha"/>
    <s v="Talme"/>
    <s v="IT"/>
    <x v="17"/>
    <x v="4"/>
    <s v="Abhinav Kumar Pandey"/>
    <s v="LWD-24/02/2026"/>
    <s v="pandeyabhinav786@gmail.com"/>
    <n v="9993734909"/>
    <s v="MCA"/>
    <x v="71"/>
    <s v="Smatbot"/>
    <m/>
    <s v="Hyderabad"/>
    <s v="Hyderabad"/>
    <m/>
    <s v="Sourced"/>
    <s v="Portal-Naukri"/>
    <s v="20/01/2026"/>
    <s v="20/01/2026"/>
    <m/>
    <m/>
    <m/>
    <m/>
    <m/>
    <m/>
    <m/>
    <m/>
    <m/>
    <m/>
    <m/>
    <m/>
    <m/>
    <m/>
    <m/>
    <m/>
    <m/>
    <m/>
    <m/>
    <m/>
    <m/>
    <m/>
    <m/>
  </r>
  <r>
    <s v="H005"/>
    <s v="R002"/>
    <s v="Harshitha"/>
    <s v="Talme"/>
    <s v="IT"/>
    <x v="17"/>
    <x v="4"/>
    <s v="Ayushi Sahu"/>
    <s v="LWD-09/02/2026"/>
    <s v="ayushisahu415@gmail.com"/>
    <n v="9653088436"/>
    <s v="B.Tech"/>
    <x v="72"/>
    <s v="Accenture"/>
    <m/>
    <s v="Noida"/>
    <s v="Noida"/>
    <m/>
    <s v="Sourced"/>
    <s v="Portal-Naukri"/>
    <s v="20/01/2026"/>
    <s v="20/01/2026"/>
    <m/>
    <m/>
    <m/>
    <m/>
    <m/>
    <m/>
    <m/>
    <m/>
    <m/>
    <m/>
    <m/>
    <m/>
    <m/>
    <m/>
    <m/>
    <m/>
    <m/>
    <m/>
    <m/>
    <m/>
    <m/>
    <m/>
    <m/>
  </r>
  <r>
    <s v="H005"/>
    <s v="R002"/>
    <s v="Harshitha"/>
    <s v="Talme"/>
    <s v="IT"/>
    <x v="17"/>
    <x v="4"/>
    <s v="Venu Madhuri"/>
    <s v="Immediate"/>
    <s v="bvenumadhuri569@gmail.com"/>
    <n v="7075567966"/>
    <s v="B.Tech"/>
    <x v="22"/>
    <s v="Grayradiant Data Services"/>
    <m/>
    <s v="Hyderabad"/>
    <s v="Bengaluru"/>
    <m/>
    <s v="Sourced"/>
    <s v="Portal-Naukri"/>
    <s v="20/01/2026"/>
    <s v="20/01/2026"/>
    <m/>
    <m/>
    <m/>
    <m/>
    <m/>
    <m/>
    <m/>
    <m/>
    <m/>
    <m/>
    <m/>
    <m/>
    <m/>
    <m/>
    <m/>
    <m/>
    <m/>
    <m/>
    <m/>
    <m/>
    <m/>
    <m/>
    <m/>
  </r>
  <r>
    <s v="H005"/>
    <s v="R002"/>
    <s v="Harshitha"/>
    <s v="Talme"/>
    <s v="IT"/>
    <x v="17"/>
    <x v="4"/>
    <s v="MAHESH BHARTI"/>
    <s v="LWD-10/02/206"/>
    <s v="bhartimontu231@gmail.com"/>
    <n v="9902291840"/>
    <s v="B.Tech"/>
    <x v="73"/>
    <s v="NTT DATA"/>
    <m/>
    <s v="Bengaluru"/>
    <s v="Bengaluru"/>
    <m/>
    <s v="Sourced"/>
    <s v="Portal-Naukri"/>
    <s v="20/01/2026"/>
    <s v="20/01/2026"/>
    <m/>
    <m/>
    <m/>
    <m/>
    <m/>
    <m/>
    <m/>
    <m/>
    <m/>
    <m/>
    <m/>
    <m/>
    <m/>
    <m/>
    <m/>
    <m/>
    <m/>
    <m/>
    <m/>
    <m/>
    <m/>
    <m/>
    <m/>
  </r>
  <r>
    <s v="H005"/>
    <s v="R002"/>
    <s v="Harshitha"/>
    <s v="Talme"/>
    <s v="IT"/>
    <x v="17"/>
    <x v="4"/>
    <s v="Aila Bharath Kumar Reddy"/>
    <s v="LWD-31/01/2026"/>
    <s v="ailabharath444@gmail.com"/>
    <n v="9100410254"/>
    <s v="B.Sc"/>
    <x v="7"/>
    <s v="Blunet ventures pvt Ltd"/>
    <m/>
    <s v="Bengaluru"/>
    <s v="Hyderabad"/>
    <m/>
    <s v="Sourced"/>
    <s v="Portal-Naukri"/>
    <s v="20/01/2026"/>
    <s v="20/01/2026"/>
    <m/>
    <m/>
    <m/>
    <m/>
    <m/>
    <m/>
    <m/>
    <m/>
    <m/>
    <m/>
    <m/>
    <m/>
    <m/>
    <m/>
    <m/>
    <m/>
    <m/>
    <m/>
    <m/>
    <m/>
    <m/>
    <m/>
    <m/>
  </r>
  <r>
    <s v="A003"/>
    <s v="R002"/>
    <s v="Harshitha"/>
    <s v="Talme"/>
    <s v="IT"/>
    <x v="6"/>
    <x v="4"/>
    <s v="Muthu Kumaresan"/>
    <s v="30 Days"/>
    <s v="muthu.kumaresan.it@gmail.com"/>
    <n v="9790399236"/>
    <s v="B.Tech"/>
    <x v="32"/>
    <s v="Global Logic"/>
    <s v="43 LPA"/>
    <s v="Bengaluru"/>
    <s v="Bengaluru"/>
    <s v="51 LPA"/>
    <s v="Tech 3 to be Scheduled"/>
    <s v="Portal-Naukri"/>
    <s v="30/12/2026"/>
    <s v="30/12/2026"/>
    <m/>
    <s v="16/01/2026"/>
    <s v="Select"/>
    <m/>
    <m/>
    <s v="21/01/2026"/>
    <s v="Select"/>
    <m/>
    <m/>
    <s v="22/01/2026"/>
    <m/>
    <m/>
    <m/>
    <m/>
    <m/>
    <m/>
    <m/>
    <m/>
    <m/>
    <m/>
    <m/>
    <m/>
    <m/>
  </r>
  <r>
    <s v="E002"/>
    <s v="R004"/>
    <s v="Pooja"/>
    <s v="Talme"/>
    <s v="Non - IT"/>
    <x v="16"/>
    <x v="2"/>
    <s v="Sanjith"/>
    <s v=" 15 Days"/>
    <s v="sanjithsanni@gmail.com"/>
    <n v="9164176440"/>
    <s v=" 3 Month"/>
    <x v="74"/>
    <s v=" Eywamedia Private Limited"/>
    <s v="18 K"/>
    <s v="  Bengaluru"/>
    <s v=" Bengaluru"/>
    <s v="As per company standard"/>
    <s v="Sourced"/>
    <s v="Portal-Naukri"/>
    <s v="21/01/2026"/>
    <s v="21/01/2026"/>
    <m/>
    <m/>
    <m/>
    <m/>
    <m/>
    <m/>
    <m/>
    <m/>
    <m/>
    <m/>
    <m/>
    <m/>
    <m/>
    <m/>
    <m/>
    <m/>
    <m/>
    <m/>
    <m/>
    <m/>
    <m/>
    <m/>
    <m/>
  </r>
  <r>
    <s v="E002"/>
    <s v="R004"/>
    <s v="Pooja"/>
    <s v="Talme"/>
    <s v="Non - IT"/>
    <x v="16"/>
    <x v="2"/>
    <s v="Anupama.D.V"/>
    <s v=" Immediate"/>
    <s v=" anupama.printmedia@gmail.com"/>
    <n v="8892400382"/>
    <s v=" B.E"/>
    <x v="41"/>
    <s v=" "/>
    <m/>
    <s v="Bengaluru"/>
    <s v="Bengaluru"/>
    <s v="20 to 25 K"/>
    <s v="Sourced"/>
    <s v="Portal-Naukri"/>
    <s v="21/01/2026"/>
    <s v="21/01/2026"/>
    <m/>
    <m/>
    <m/>
    <m/>
    <m/>
    <m/>
    <m/>
    <m/>
    <m/>
    <m/>
    <m/>
    <m/>
    <m/>
    <m/>
    <m/>
    <m/>
    <m/>
    <m/>
    <m/>
    <m/>
    <m/>
    <m/>
    <m/>
  </r>
  <r>
    <s v="E002"/>
    <s v="R004"/>
    <s v="Pooja"/>
    <s v="Talme"/>
    <s v="Non - IT"/>
    <x v="16"/>
    <x v="2"/>
    <s v="ARUN"/>
    <s v=" 10 Days"/>
    <s v=" arunkok07@gmail.com"/>
    <n v="7760685681"/>
    <s v=" B.E"/>
    <x v="75"/>
    <s v=" SOCIAL ELIXIR (Marketing Agency)"/>
    <s v="20 K"/>
    <s v="Bengaluru"/>
    <s v=" Bengaluru"/>
    <s v=" 25 K"/>
    <s v="Sourced"/>
    <s v="Portal-Naukri"/>
    <s v="21/01/2026"/>
    <s v="21/01/2026"/>
    <m/>
    <m/>
    <m/>
    <m/>
    <m/>
    <m/>
    <m/>
    <m/>
    <m/>
    <m/>
    <m/>
    <m/>
    <m/>
    <m/>
    <m/>
    <m/>
    <m/>
    <m/>
    <m/>
    <m/>
    <m/>
    <m/>
    <m/>
  </r>
  <r>
    <s v="E002"/>
    <s v="R004"/>
    <s v="Pooja"/>
    <s v="Talme"/>
    <s v="Non - IT"/>
    <x v="16"/>
    <x v="2"/>
    <s v="Sachin As"/>
    <s v="30 Days( 15 days Negotiable)"/>
    <s v=" ssachinas99@gmail.com"/>
    <n v="9535505110"/>
    <s v=" Motion graphics"/>
    <x v="76"/>
    <s v=" Pixa Mount innovations "/>
    <s v="2.5 LPA"/>
    <s v="  Bengaluru"/>
    <s v="Bengaluru"/>
    <s v=" 4 LPA"/>
    <s v="Bengaluru"/>
    <m/>
    <m/>
    <m/>
    <m/>
    <m/>
    <m/>
    <m/>
    <m/>
    <m/>
    <m/>
    <m/>
    <m/>
    <m/>
    <m/>
    <m/>
    <m/>
    <m/>
    <m/>
    <m/>
    <m/>
    <m/>
    <m/>
    <m/>
    <m/>
    <m/>
    <m/>
  </r>
  <r>
    <s v="H005"/>
    <s v="R003"/>
    <s v="Bhoomika"/>
    <s v="Talme"/>
    <s v="IT"/>
    <x v="17"/>
    <x v="4"/>
    <s v="Mahima N"/>
    <s v="LWD - 31/01/2026"/>
    <s v="mahimanagaraj7698@gmail.com"/>
    <n v="6362305662"/>
    <s v="B.E"/>
    <x v="73"/>
    <s v=" Circana"/>
    <m/>
    <s v="Bengaluru"/>
    <s v="Bengaluru"/>
    <m/>
    <s v="Awaiting feedback from client"/>
    <s v="Portal-LinkedIN"/>
    <s v="19/01/2026"/>
    <s v="19/01/2026"/>
    <m/>
    <m/>
    <m/>
    <m/>
    <m/>
    <m/>
    <m/>
    <m/>
    <m/>
    <m/>
    <m/>
    <m/>
    <m/>
    <m/>
    <m/>
    <m/>
    <m/>
    <m/>
    <m/>
    <m/>
    <m/>
    <m/>
    <m/>
  </r>
  <r>
    <s v="H005"/>
    <s v="R003"/>
    <s v="Bhoomika"/>
    <s v="Talme"/>
    <s v="IT"/>
    <x v="17"/>
    <x v="4"/>
    <s v=" Raveendra Kattubadi "/>
    <s v="Immediately"/>
    <s v="raveendrakattubadi@gmail.com"/>
    <n v="9121325132"/>
    <s v="B.Tech"/>
    <x v="72"/>
    <s v="Tata Consultancy Services"/>
    <m/>
    <s v="Bengaluru"/>
    <s v="Bengaluru"/>
    <m/>
    <s v="Awaiting feedback from client"/>
    <s v="Portal-LinkedIN"/>
    <s v="19/01/2026"/>
    <s v="19/01/2026"/>
    <m/>
    <m/>
    <m/>
    <m/>
    <m/>
    <m/>
    <m/>
    <m/>
    <m/>
    <m/>
    <m/>
    <m/>
    <m/>
    <m/>
    <m/>
    <m/>
    <m/>
    <m/>
    <m/>
    <m/>
    <m/>
    <m/>
    <m/>
  </r>
  <r>
    <s v="H005"/>
    <s v="R003"/>
    <s v="Bhoomika"/>
    <s v="Talme"/>
    <s v="IT"/>
    <x v="17"/>
    <x v="4"/>
    <s v="Gautam Singh"/>
    <s v="Immediately"/>
    <s v="gautam7109@gmail.com"/>
    <n v="9760479737"/>
    <s v="B.Tech"/>
    <x v="7"/>
    <s v="Tata Elxsi"/>
    <m/>
    <s v="Bengaluru"/>
    <s v="Bengaluru"/>
    <m/>
    <s v="Awaiting feedback from client"/>
    <s v="Portal-LinkedIN"/>
    <s v="19/01/2026"/>
    <s v="19/01/2026"/>
    <m/>
    <m/>
    <m/>
    <m/>
    <m/>
    <m/>
    <m/>
    <m/>
    <m/>
    <m/>
    <m/>
    <m/>
    <m/>
    <m/>
    <m/>
    <m/>
    <m/>
    <m/>
    <m/>
    <m/>
    <m/>
    <m/>
    <m/>
  </r>
  <r>
    <s v="H005"/>
    <s v="R003"/>
    <s v="Bhoomika"/>
    <s v="Talme"/>
    <s v="IT"/>
    <x v="17"/>
    <x v="4"/>
    <s v="Jagadesh"/>
    <s v="Immediately"/>
    <s v="jagadeshbalu3@gmail.com"/>
    <n v="8012025883"/>
    <s v="B.E"/>
    <x v="77"/>
    <s v="Infosys Limited"/>
    <m/>
    <s v="Bengaluru"/>
    <s v="Bengaluru"/>
    <m/>
    <s v="Awaiting feedback from client"/>
    <s v="Portal-LinkedIN"/>
    <s v="19/01/2026"/>
    <s v="19/01/2026"/>
    <m/>
    <m/>
    <m/>
    <m/>
    <m/>
    <m/>
    <m/>
    <m/>
    <m/>
    <m/>
    <m/>
    <m/>
    <m/>
    <m/>
    <m/>
    <m/>
    <m/>
    <m/>
    <m/>
    <m/>
    <m/>
    <m/>
    <m/>
  </r>
  <r>
    <s v="H005"/>
    <s v="R003"/>
    <s v="Bhoomika"/>
    <s v="Talme"/>
    <s v="IT"/>
    <x v="17"/>
    <x v="4"/>
    <s v="Ramu Kondapalli"/>
    <s v="LWD - 31/01/2026"/>
    <s v="ramukondapalli8688@gmail.com"/>
    <n v="7348991524"/>
    <s v="B.Tech"/>
    <x v="71"/>
    <s v="Tata  Consultancy Service"/>
    <m/>
    <s v="Bengaluru"/>
    <s v="Bengaluru"/>
    <m/>
    <s v="Awaiting feedback from client"/>
    <s v="Portal-LinkedIN"/>
    <s v="19/01/2026"/>
    <s v="19/01/2026"/>
    <m/>
    <m/>
    <m/>
    <m/>
    <m/>
    <m/>
    <m/>
    <m/>
    <m/>
    <m/>
    <m/>
    <m/>
    <m/>
    <m/>
    <m/>
    <m/>
    <m/>
    <m/>
    <m/>
    <m/>
    <m/>
    <m/>
    <m/>
  </r>
  <r>
    <s v="E004"/>
    <s v="R003"/>
    <s v="Bhoomika"/>
    <s v="Talme"/>
    <s v="Non - IT"/>
    <x v="12"/>
    <x v="2"/>
    <s v="Narendra"/>
    <s v="Immediate "/>
    <s v="narenxs02@gmail.com"/>
    <n v="7348896540"/>
    <s v="B.Com"/>
    <x v="40"/>
    <s v="Shriram Finance"/>
    <s v="2 LPA"/>
    <s v="Bengaluru"/>
    <s v="Bengaluru"/>
    <s v="As per company standard"/>
    <s v="Tech 1 to be Scheduled"/>
    <s v="Portal-LinkedIN"/>
    <s v="14/01/2026"/>
    <s v="14/01/2026"/>
    <s v="Tech 1 rejected"/>
    <m/>
    <m/>
    <m/>
    <m/>
    <m/>
    <m/>
    <m/>
    <m/>
    <m/>
    <m/>
    <m/>
    <m/>
    <m/>
    <m/>
    <m/>
    <m/>
    <m/>
    <m/>
    <m/>
    <m/>
    <m/>
    <m/>
  </r>
  <r>
    <s v="E005"/>
    <s v="R003"/>
    <s v="Bhoomika"/>
    <s v="Talme"/>
    <s v="Non - IT"/>
    <x v="11"/>
    <x v="2"/>
    <s v="Mohammed Shaheed"/>
    <s v="Immediate "/>
    <s v="mohammedshaheed757@gmail.com"/>
    <n v="8553246807"/>
    <s v="B.Com"/>
    <x v="25"/>
    <s v="Zepto"/>
    <s v="8.5 LPA"/>
    <s v="Bengaluru"/>
    <s v="Bengaluru"/>
    <s v="11 LPA(Negotiable)"/>
    <s v="Tech 1 to be Scheduled"/>
    <s v="Employee Reference"/>
    <s v="14/01/2026"/>
    <s v="14/01/2026"/>
    <s v="Tech 1 rejected"/>
    <m/>
    <m/>
    <m/>
    <m/>
    <m/>
    <m/>
    <m/>
    <m/>
    <m/>
    <m/>
    <m/>
    <m/>
    <m/>
    <m/>
    <m/>
    <m/>
    <m/>
    <m/>
    <m/>
    <m/>
    <m/>
    <m/>
  </r>
  <r>
    <s v="E005"/>
    <s v="R003"/>
    <s v="Bhoomika"/>
    <s v="Talme"/>
    <s v="Non - IT"/>
    <x v="11"/>
    <x v="2"/>
    <s v="Krishna Mahindra"/>
    <s v="30 Days"/>
    <s v="krishnamanindra1996@gmail.com"/>
    <n v="9449268899"/>
    <s v="B.E"/>
    <x v="37"/>
    <s v="Flipkart"/>
    <s v="6.5 LPA"/>
    <s v="Bengaluru"/>
    <s v="Bengaluru"/>
    <s v="8 LPA (negotiable)"/>
    <s v="Tech 1 to be Scheduled"/>
    <s v="Portal-LinkedIN"/>
    <s v="14/01/2026"/>
    <s v="14/01/2026"/>
    <s v="Tech 1 rejected"/>
    <m/>
    <m/>
    <m/>
    <m/>
    <m/>
    <m/>
    <m/>
    <m/>
    <m/>
    <m/>
    <m/>
    <m/>
    <m/>
    <m/>
    <m/>
    <m/>
    <m/>
    <m/>
    <m/>
    <m/>
    <m/>
    <m/>
  </r>
  <r>
    <s v="D001"/>
    <s v="R003"/>
    <s v="Bhoomika"/>
    <s v="Talme"/>
    <s v="Non - IT"/>
    <x v="4"/>
    <x v="3"/>
    <s v="Sadhana R"/>
    <s v="30 Days"/>
    <s v="sadhanar1989@gmail.com"/>
    <s v="91482 61362"/>
    <s v="B.Com"/>
    <x v="20"/>
    <s v="OnlineTek Support"/>
    <s v="3.6 LPA"/>
    <s v="Bengaluru"/>
    <s v="Bengaluru"/>
    <s v="As per company standard"/>
    <s v="Tech 2 to be Scheduled"/>
    <s v="Portal-LinkedIN"/>
    <s v="14/01/2026"/>
    <d v="2026-01-14T00:00:00"/>
    <s v="Tech 2 rejected"/>
    <m/>
    <m/>
    <m/>
    <m/>
    <m/>
    <m/>
    <m/>
    <m/>
    <m/>
    <m/>
    <m/>
    <m/>
    <m/>
    <m/>
    <m/>
    <m/>
    <m/>
    <m/>
    <m/>
    <m/>
    <m/>
    <m/>
  </r>
  <r>
    <s v="D001"/>
    <s v="R003"/>
    <s v="Bhoomika"/>
    <s v="Talme"/>
    <s v="Non - IT"/>
    <x v="4"/>
    <x v="3"/>
    <s v="Lakshmi"/>
    <s v="Immediate "/>
    <s v="reddylakshmi8296@gamil.com"/>
    <n v="8296649386"/>
    <s v="B.sc"/>
    <x v="6"/>
    <s v="HDFC Sales"/>
    <s v="1.92 LPA"/>
    <s v="Bengaluru"/>
    <s v="Bengaluru"/>
    <s v="As per company standard"/>
    <s v="Tech 1 to be Scheduled"/>
    <s v="Portal-LinkedIN"/>
    <d v="2026-01-12T00:00:00"/>
    <d v="2026-01-12T00:00:00"/>
    <s v="Tech 1 rejected"/>
    <m/>
    <m/>
    <m/>
    <m/>
    <m/>
    <m/>
    <m/>
    <m/>
    <m/>
    <m/>
    <m/>
    <m/>
    <m/>
    <m/>
    <m/>
    <m/>
    <m/>
    <m/>
    <m/>
    <m/>
    <m/>
    <m/>
  </r>
  <r>
    <s v="D001"/>
    <s v="R003"/>
    <s v="Bhoomika"/>
    <s v="Talme"/>
    <s v="Non - IT"/>
    <x v="4"/>
    <x v="3"/>
    <s v="anwesha"/>
    <s v="15 Days"/>
    <s v="anweshamohanty2516@gmail.com"/>
    <n v="6370661701"/>
    <s v="B.Com"/>
    <x v="78"/>
    <s v="JD Overdrive PVT LTD"/>
    <s v="3 LPA"/>
    <s v="Bengaluru"/>
    <s v="Bengaluru"/>
    <s v="As per company norms"/>
    <s v="Tech 1 to be Scheduled"/>
    <s v="Portal-Naukri"/>
    <s v="14/01/2026"/>
    <s v="14/01/2026"/>
    <s v="Tech 1 rejected"/>
    <m/>
    <m/>
    <m/>
    <m/>
    <m/>
    <m/>
    <m/>
    <m/>
    <m/>
    <m/>
    <m/>
    <m/>
    <m/>
    <m/>
    <m/>
    <m/>
    <m/>
    <m/>
    <m/>
    <m/>
    <m/>
    <m/>
  </r>
  <r>
    <s v="D001"/>
    <s v="R003"/>
    <s v="Bhoomika"/>
    <s v="Talme"/>
    <s v="Non - IT"/>
    <x v="4"/>
    <x v="3"/>
    <s v="rimpy"/>
    <s v="Immediate "/>
    <s v="rimpykumari73@gmail.com"/>
    <n v="9933672453"/>
    <s v="BBA"/>
    <x v="79"/>
    <s v="Unacademy"/>
    <s v="3.6 LPA"/>
    <s v="Bengaluru"/>
    <s v="Bengaluru"/>
    <s v="As per company norms"/>
    <s v="Screening Reject by Client"/>
    <s v="Portal-Naukri"/>
    <s v="14/01/2026"/>
    <s v="14/01/2026"/>
    <m/>
    <m/>
    <m/>
    <m/>
    <m/>
    <m/>
    <m/>
    <m/>
    <m/>
    <m/>
    <m/>
    <m/>
    <m/>
    <m/>
    <m/>
    <m/>
    <m/>
    <m/>
    <m/>
    <m/>
    <m/>
    <m/>
    <m/>
  </r>
  <r>
    <s v="E001"/>
    <s v="R003"/>
    <s v="Bhoomika"/>
    <s v="Talme"/>
    <s v="Non - IT"/>
    <x v="3"/>
    <x v="2"/>
    <s v="Shailaja"/>
    <s v="30 Days (Negotiable)"/>
    <s v="shailajakharvi02@gmail.com"/>
    <m/>
    <m/>
    <x v="80"/>
    <s v="Vprintu Digital"/>
    <s v="2 LPA"/>
    <s v="Bangalore"/>
    <s v="Bengaluru"/>
    <s v="As per the company norms"/>
    <s v="Tech 1 to be Scheduled"/>
    <s v="Portal-LinkedIN"/>
    <s v="14-01-2026"/>
    <s v="14-01-2026"/>
    <s v="Tech 1 Reject"/>
    <m/>
    <m/>
    <m/>
    <m/>
    <m/>
    <m/>
    <m/>
    <m/>
    <m/>
    <m/>
    <m/>
    <m/>
    <m/>
    <m/>
    <m/>
    <m/>
    <m/>
    <m/>
    <m/>
    <m/>
    <m/>
    <m/>
  </r>
  <r>
    <s v="E001"/>
    <s v="R003"/>
    <s v="Bhoomika"/>
    <s v="Talme"/>
    <s v="Non - IT"/>
    <x v="3"/>
    <x v="2"/>
    <s v="Harshitha"/>
    <s v="Immediate Joiner"/>
    <s v="hkumari390@gmail.com"/>
    <n v="8217219920"/>
    <s v="B.E"/>
    <x v="81"/>
    <s v="Printo Digital Solutions"/>
    <s v="2.5 LPA"/>
    <s v="Tumkur"/>
    <s v="Bengaluru"/>
    <s v="As per the company norms"/>
    <s v="Tech 1 to be Scheduled"/>
    <s v="Portal-LinkedIN"/>
    <s v="14-01-2026"/>
    <s v="14-01-2026"/>
    <s v="Tech 1 Reject"/>
    <m/>
    <m/>
    <m/>
    <m/>
    <m/>
    <m/>
    <m/>
    <m/>
    <m/>
    <m/>
    <m/>
    <m/>
    <m/>
    <m/>
    <m/>
    <m/>
    <m/>
    <m/>
    <m/>
    <m/>
    <m/>
    <m/>
  </r>
  <r>
    <s v="E001"/>
    <s v="R003"/>
    <s v="Bhoomika"/>
    <s v="Talme"/>
    <s v="Non - IT"/>
    <x v="3"/>
    <x v="2"/>
    <s v="Vinay G R"/>
    <s v="15 Days"/>
    <s v="vinaygr05@gmail.com"/>
    <n v="9900344229"/>
    <s v="B.Sc"/>
    <x v="40"/>
    <s v="Cholamandalam Investment and Finance company Limited"/>
    <s v="3 LPA"/>
    <s v="Bengaluru_x0009_"/>
    <s v="Bengaluru_x0009_"/>
    <s v="3 LPA"/>
    <s v="Awaiting feedback from client"/>
    <s v="Portal-LinkedIN"/>
    <s v="20/01/2026"/>
    <s v="20/01/2026"/>
    <m/>
    <m/>
    <m/>
    <m/>
    <m/>
    <m/>
    <m/>
    <m/>
    <m/>
    <m/>
    <m/>
    <m/>
    <m/>
    <m/>
    <m/>
    <m/>
    <m/>
    <m/>
    <m/>
    <m/>
    <m/>
    <m/>
    <m/>
  </r>
  <r>
    <s v="H005"/>
    <s v="R003"/>
    <s v="Bhoomika"/>
    <s v="Talme"/>
    <s v="IT"/>
    <x v="17"/>
    <x v="4"/>
    <s v="Poonam Gupta"/>
    <s v="LWD - 23/01/2026"/>
    <s v="guptapoonam111997@gmail.com"/>
    <n v="9329509540"/>
    <s v="B.E"/>
    <x v="21"/>
    <s v="Infosys"/>
    <s v="7.4 LPA"/>
    <s v="Delhi"/>
    <s v="Bengaluru_x0009_"/>
    <s v="10 LPA"/>
    <s v="Awaiting feedback from client"/>
    <s v="Portal-LinkedIN"/>
    <s v="20/01/2026"/>
    <s v="20/01/2026"/>
    <m/>
    <m/>
    <m/>
    <m/>
    <m/>
    <m/>
    <m/>
    <m/>
    <m/>
    <m/>
    <m/>
    <m/>
    <m/>
    <m/>
    <m/>
    <m/>
    <m/>
    <m/>
    <m/>
    <m/>
    <m/>
    <m/>
    <m/>
  </r>
  <r>
    <s v="E004"/>
    <s v="R003"/>
    <s v="Bhoomika"/>
    <s v="Talme"/>
    <s v="Non - IT"/>
    <x v="12"/>
    <x v="2"/>
    <s v="Dhanush M"/>
    <s v="30Days"/>
    <s v="dhanushmraj2004@gmail.com"/>
    <n v="7483533745"/>
    <s v="B.COM"/>
    <x v="33"/>
    <s v="Lenskart"/>
    <s v="1 lpa"/>
    <s v="Bengaluru_x0009_"/>
    <s v="Bengaluru_x0009_"/>
    <s v="2.5 lpa"/>
    <s v="Tech 1 to be Scheduled"/>
    <s v="Portal-LinkedIN"/>
    <d v="2026-12-01T00:00:00"/>
    <d v="2026-12-01T00:00:00"/>
    <s v="Tech 1 rejected"/>
    <m/>
    <m/>
    <m/>
    <m/>
    <m/>
    <m/>
    <m/>
    <m/>
    <m/>
    <m/>
    <m/>
    <m/>
    <m/>
    <m/>
    <m/>
    <m/>
    <m/>
    <m/>
    <m/>
    <m/>
    <m/>
    <m/>
  </r>
  <r>
    <s v="E004"/>
    <s v="R003"/>
    <s v="Bhoomika"/>
    <s v="Talme"/>
    <s v="Non - IT"/>
    <x v="12"/>
    <x v="2"/>
    <s v="Jyoti M"/>
    <s v="Immediately"/>
    <s v="jgaddi423@gmail.com"/>
    <n v="7624876597"/>
    <s v="BCA"/>
    <x v="82"/>
    <s v="Clover Finhouse"/>
    <s v="2.2 lpa"/>
    <s v="Bengaluru_x0009_"/>
    <s v="Bengaluru_x0009_"/>
    <s v="3.5 lpa"/>
    <s v="Tech 1 to be Scheduled"/>
    <s v="Portal-LinkedIN"/>
    <d v="2026-12-01T00:00:00"/>
    <d v="2026-12-01T00:00:00"/>
    <s v="Tech 1 rejected"/>
    <m/>
    <m/>
    <m/>
    <m/>
    <m/>
    <m/>
    <m/>
    <m/>
    <m/>
    <m/>
    <m/>
    <m/>
    <m/>
    <m/>
    <m/>
    <m/>
    <m/>
    <m/>
    <m/>
    <m/>
    <m/>
    <m/>
  </r>
  <r>
    <s v="E004"/>
    <s v="R003"/>
    <s v="Bhoomika"/>
    <s v="Talme"/>
    <s v="Non - IT"/>
    <x v="12"/>
    <x v="2"/>
    <s v="Raksha n"/>
    <s v="Immediately"/>
    <s v="rakshagowda1803@gmail.com"/>
    <n v="9731807522"/>
    <s v="MBA"/>
    <x v="6"/>
    <s v="Manapuram finance ltd"/>
    <s v="2.58 LPA"/>
    <s v="Bengaluru_x0009_"/>
    <s v="Bengaluru_x0009_"/>
    <s v="2.76 LPA"/>
    <s v="Tech 1 to be Scheduled"/>
    <s v="Portal-LinkedIN"/>
    <s v="14/01/2026"/>
    <s v="14/01/2026"/>
    <s v="Tech 1 rejected"/>
    <m/>
    <m/>
    <m/>
    <m/>
    <m/>
    <m/>
    <m/>
    <m/>
    <m/>
    <m/>
    <m/>
    <m/>
    <m/>
    <m/>
    <m/>
    <m/>
    <m/>
    <m/>
    <m/>
    <m/>
    <m/>
    <m/>
  </r>
  <r>
    <s v="H003"/>
    <s v="R003"/>
    <s v="Bhoomika"/>
    <s v="Talme"/>
    <s v="IT"/>
    <x v="10"/>
    <x v="6"/>
    <s v="maduri"/>
    <s v="Immediately"/>
    <s v="madhurinagraj2001@gmail.com"/>
    <n v="7338033489"/>
    <s v="MBA"/>
    <x v="41"/>
    <s v="NIL"/>
    <s v="NIL"/>
    <s v="Bengaluru"/>
    <s v="Bengaluru"/>
    <s v="  As per company standards"/>
    <s v="Tech 1 to be Scheduled"/>
    <s v="Portal-LinkedIN"/>
    <d v="2026-09-01T00:00:00"/>
    <d v="2026-09-01T00:00:00"/>
    <s v="Tech 1 rejected"/>
    <m/>
    <m/>
    <m/>
    <m/>
    <m/>
    <m/>
    <m/>
    <m/>
    <m/>
    <m/>
    <m/>
    <m/>
    <m/>
    <m/>
    <m/>
    <m/>
    <m/>
    <m/>
    <m/>
    <m/>
    <m/>
    <m/>
  </r>
  <r>
    <s v="H003"/>
    <s v="R003"/>
    <s v="Bhoomika"/>
    <s v="Talme"/>
    <s v="IT"/>
    <x v="10"/>
    <x v="6"/>
    <s v="revati patil"/>
    <s v="Immediately"/>
    <m/>
    <n v="6361997680"/>
    <m/>
    <x v="41"/>
    <s v="NIL"/>
    <s v="NIL"/>
    <s v="Hubballi"/>
    <s v="Bengaluru_x0009_"/>
    <s v="As per company standards"/>
    <s v="Tech 1 to be Scheduled"/>
    <s v="Portal-LinkedIN"/>
    <s v="13/1/2026"/>
    <s v="13/1/2026"/>
    <s v="Tech 1 rejected"/>
    <m/>
    <m/>
    <m/>
    <m/>
    <m/>
    <m/>
    <m/>
    <m/>
    <m/>
    <m/>
    <m/>
    <m/>
    <m/>
    <m/>
    <m/>
    <m/>
    <m/>
    <m/>
    <m/>
    <m/>
    <m/>
    <m/>
  </r>
  <r>
    <s v="H003"/>
    <s v="R003"/>
    <s v="Bhoomika"/>
    <s v="Talme"/>
    <s v="IT"/>
    <x v="10"/>
    <x v="6"/>
    <s v="akhilesh"/>
    <s v="Immediately"/>
    <m/>
    <n v="8105456871"/>
    <m/>
    <x v="41"/>
    <s v="NIL"/>
    <s v="NIL"/>
    <s v="Mangaluru"/>
    <s v="Bengaluru_x0009_"/>
    <s v="As per company standards"/>
    <s v="Tech 1 to be Scheduled"/>
    <s v="Portal-LinkedIN"/>
    <s v="13/1/2026"/>
    <s v="13/1/2026"/>
    <s v="Tech 1 rejected"/>
    <m/>
    <m/>
    <m/>
    <m/>
    <m/>
    <m/>
    <m/>
    <m/>
    <m/>
    <m/>
    <m/>
    <m/>
    <m/>
    <m/>
    <m/>
    <m/>
    <m/>
    <m/>
    <m/>
    <m/>
    <m/>
    <m/>
  </r>
  <r>
    <s v="H003"/>
    <s v="R003"/>
    <s v="Bhoomika"/>
    <s v="Talme"/>
    <s v="IT"/>
    <x v="10"/>
    <x v="6"/>
    <s v="prerana"/>
    <s v="Immediately"/>
    <m/>
    <n v="7899313051"/>
    <m/>
    <x v="41"/>
    <s v="NIL"/>
    <s v="NIL"/>
    <s v="Bengaluru_x0009_"/>
    <s v="Bengaluru_x0009_"/>
    <s v="As per company standards"/>
    <s v="Tech 1 to be Scheduled"/>
    <s v="Portal-LinkedIN"/>
    <s v="13/1/2026"/>
    <s v="13/1/2026"/>
    <s v="Tech 1 rejected"/>
    <m/>
    <m/>
    <m/>
    <m/>
    <m/>
    <m/>
    <m/>
    <m/>
    <m/>
    <m/>
    <m/>
    <m/>
    <m/>
    <m/>
    <m/>
    <m/>
    <m/>
    <m/>
    <m/>
    <m/>
    <m/>
    <m/>
  </r>
  <r>
    <s v="H003"/>
    <s v="R003"/>
    <s v="Bhoomika"/>
    <s v="Talme"/>
    <s v="IT"/>
    <x v="10"/>
    <x v="6"/>
    <s v="m niharika"/>
    <s v="Immediately"/>
    <m/>
    <n v="9353011767"/>
    <m/>
    <x v="41"/>
    <s v="NIL"/>
    <s v="NIL"/>
    <s v="Raichuru"/>
    <s v="Bengaluru_x0009_"/>
    <s v="As per company standards"/>
    <s v="Tech 1 to be Scheduled"/>
    <s v="Portal-LinkedIN"/>
    <s v="13/1/2026"/>
    <s v="13/1/2026"/>
    <s v="Tech 1 rejected"/>
    <m/>
    <m/>
    <m/>
    <m/>
    <m/>
    <m/>
    <m/>
    <m/>
    <m/>
    <m/>
    <m/>
    <m/>
    <m/>
    <m/>
    <m/>
    <m/>
    <m/>
    <m/>
    <m/>
    <m/>
    <m/>
    <m/>
  </r>
  <r>
    <s v="E002"/>
    <s v="R003"/>
    <s v="Bhoomika"/>
    <s v="Talme"/>
    <s v="Non - IT"/>
    <x v="16"/>
    <x v="2"/>
    <s v="Nida afrin"/>
    <s v="Immediately"/>
    <s v="nidaafrins94@gmail.com"/>
    <n v="8884053360"/>
    <s v="B.Com"/>
    <x v="21"/>
    <s v="Klynk"/>
    <s v="11 LPA"/>
    <s v="Bengaluru_x0009_"/>
    <s v="Bengaluru_x0009_"/>
    <s v="30% HIKE"/>
    <s v="Tech 1 to be Scheduled"/>
    <s v="Portal-Naukri"/>
    <s v="19/01/2026"/>
    <s v="19/01/2026"/>
    <m/>
    <m/>
    <m/>
    <m/>
    <m/>
    <m/>
    <m/>
    <m/>
    <m/>
    <m/>
    <m/>
    <m/>
    <m/>
    <m/>
    <m/>
    <m/>
    <m/>
    <m/>
    <m/>
    <m/>
    <m/>
    <m/>
    <m/>
  </r>
  <r>
    <s v="E002"/>
    <s v="R003"/>
    <s v="Bhoomika"/>
    <s v="Talme"/>
    <s v="Non - IT"/>
    <x v="16"/>
    <x v="2"/>
    <s v="chetan"/>
    <s v="Immediately"/>
    <s v="kichadechetan@gmail.com"/>
    <n v="7795705807"/>
    <s v="MBA"/>
    <x v="18"/>
    <s v="Games 24x7"/>
    <s v="11 LPA"/>
    <s v="Bengaluru_x0009_"/>
    <s v="Bengaluru_x0009_"/>
    <s v="As per company standards"/>
    <s v="Tech 1 to be Scheduled"/>
    <s v="Portal-Naukri"/>
    <s v="17/01/2026"/>
    <s v="17/01/2026"/>
    <s v="Tech 1 rejected"/>
    <m/>
    <m/>
    <m/>
    <m/>
    <m/>
    <m/>
    <m/>
    <m/>
    <m/>
    <m/>
    <m/>
    <m/>
    <m/>
    <m/>
    <m/>
    <m/>
    <m/>
    <m/>
    <m/>
    <m/>
    <m/>
    <m/>
  </r>
  <r>
    <s v="E002"/>
    <s v="R003"/>
    <s v="Bhoomika"/>
    <s v="Talme"/>
    <s v="Non - IT"/>
    <x v="16"/>
    <x v="2"/>
    <s v="shivakumar"/>
    <s v="30  Days"/>
    <s v="shivakumarabmg@gmail.com"/>
    <n v="8618204284"/>
    <s v="B.E"/>
    <x v="20"/>
    <s v="Manipal MedAce"/>
    <s v="7.5 LPA"/>
    <s v="Bengaluru_x0009_"/>
    <s v="Bengaluru_x0009_"/>
    <s v="12 LPA"/>
    <s v="Tech 1 to be Scheduled"/>
    <s v="Portal-Naukri"/>
    <s v="16/01/2026"/>
    <s v="16/01/2026"/>
    <s v="Tech 1 rejected"/>
    <m/>
    <m/>
    <m/>
    <m/>
    <m/>
    <m/>
    <m/>
    <m/>
    <m/>
    <m/>
    <m/>
    <m/>
    <m/>
    <m/>
    <m/>
    <m/>
    <m/>
    <m/>
    <m/>
    <m/>
    <m/>
    <m/>
  </r>
  <r>
    <s v="E002"/>
    <s v="R003"/>
    <s v="Bhoomika"/>
    <s v="Talme"/>
    <s v="Non - IT"/>
    <x v="16"/>
    <x v="2"/>
    <s v="anjali"/>
    <s v="30 Days"/>
    <s v="anjaliprakash1007@gmail.com"/>
    <n v="8217012180"/>
    <s v="B.Com"/>
    <x v="18"/>
    <s v="  Bajaj Finance Limited"/>
    <s v="0.5 LPA"/>
    <s v="Bengaluru_x0009_"/>
    <s v="Bengaluru_x0009_"/>
    <s v="9 LPA"/>
    <s v="Tech 1 to be Scheduled"/>
    <s v="Portal-Naukri"/>
    <s v="16/01/2026"/>
    <s v="16/01/2026"/>
    <s v="Tech 1 rejected"/>
    <m/>
    <m/>
    <m/>
    <m/>
    <m/>
    <m/>
    <m/>
    <m/>
    <m/>
    <m/>
    <m/>
    <m/>
    <m/>
    <m/>
    <m/>
    <m/>
    <m/>
    <m/>
    <m/>
    <m/>
    <m/>
    <m/>
  </r>
  <r>
    <s v="E002"/>
    <s v="R003"/>
    <s v="Bhoomika"/>
    <s v="Talme"/>
    <s v="Non - IT"/>
    <x v="16"/>
    <x v="2"/>
    <s v="zeeshan"/>
    <s v="15 Days"/>
    <s v="zeeshan.azhar1986@gmail.com"/>
    <n v="9880060094"/>
    <s v="BBM"/>
    <x v="16"/>
    <s v=" Mahindra Integrated Businees Solutions Pvt Ltd"/>
    <s v="11 LPA"/>
    <s v="Bengaluru_x0009_"/>
    <s v="Bengaluru_x0009_"/>
    <s v="As per company standards"/>
    <s v="Tech 1 to be Scheduled"/>
    <s v="Portal-Naukri"/>
    <s v="16/01/2026"/>
    <s v="16/01/2026"/>
    <s v="Tech 1 rejected"/>
    <m/>
    <m/>
    <m/>
    <m/>
    <m/>
    <m/>
    <m/>
    <m/>
    <m/>
    <m/>
    <m/>
    <m/>
    <m/>
    <m/>
    <m/>
    <m/>
    <m/>
    <m/>
    <m/>
    <m/>
    <m/>
    <m/>
  </r>
  <r>
    <s v="E005"/>
    <s v="R003"/>
    <s v="Bhoomika"/>
    <s v="Talme"/>
    <s v="Non - IT"/>
    <x v="11"/>
    <x v="2"/>
    <s v="Ashwini"/>
    <s v="30 Days"/>
    <s v="shwiniprakash213@gmail.com"/>
    <n v="9741906750"/>
    <s v="MBA"/>
    <x v="22"/>
    <s v="CIE Automotive India Ltd"/>
    <s v=" 5.5 LPA"/>
    <s v="Bengaluru_x0009_"/>
    <s v="Bengaluru_x0009_"/>
    <s v="7 LPA"/>
    <s v="Tech 1 to be Scheduled"/>
    <s v="Portal-Naukri"/>
    <s v="19/01/2026"/>
    <s v="19/01/2026"/>
    <m/>
    <m/>
    <m/>
    <m/>
    <m/>
    <m/>
    <m/>
    <m/>
    <m/>
    <m/>
    <m/>
    <m/>
    <m/>
    <m/>
    <m/>
    <m/>
    <m/>
    <m/>
    <m/>
    <m/>
    <m/>
    <m/>
    <m/>
  </r>
  <r>
    <s v="E005"/>
    <s v="R003"/>
    <s v="Bhoomika"/>
    <s v="Talme"/>
    <s v="Non - IT"/>
    <x v="11"/>
    <x v="2"/>
    <s v="Rajashekar G"/>
    <s v="Immediately"/>
    <s v="rajashekkar10@gmail.com"/>
    <n v="9900775270"/>
    <s v="MBA"/>
    <x v="7"/>
    <s v="Kris Flexipacks/ Ficus pax"/>
    <s v="8 LPA"/>
    <s v="Bengaluru_x0009_"/>
    <s v="Bengaluru_x0009_"/>
    <s v="10 LPA"/>
    <s v="Tech 1 to be Scheduled"/>
    <s v="Portal-Naukri"/>
    <s v="19/01/2026"/>
    <s v="19/01/2026"/>
    <m/>
    <m/>
    <m/>
    <m/>
    <m/>
    <m/>
    <m/>
    <m/>
    <m/>
    <m/>
    <m/>
    <m/>
    <m/>
    <m/>
    <m/>
    <m/>
    <m/>
    <m/>
    <m/>
    <m/>
    <m/>
    <m/>
    <m/>
  </r>
  <r>
    <s v="E005"/>
    <s v="R003"/>
    <s v="Bhoomika"/>
    <s v="Talme"/>
    <s v="Non - IT"/>
    <x v="11"/>
    <x v="2"/>
    <s v="HariKrishna R"/>
    <s v="Immediately"/>
    <s v="harikrishnayashoda@gmail.com"/>
    <n v="9071080239"/>
    <s v="B.E"/>
    <x v="7"/>
    <s v="Bharthi Airtel Limited"/>
    <s v="8 LPA"/>
    <s v="Bengaluru_x0009_"/>
    <s v="Bengaluru_x0009_"/>
    <s v="10 LPA"/>
    <s v="Tech 1 to be Scheduled"/>
    <s v="Portal-Naukri"/>
    <s v="19/01/2026"/>
    <s v="19/01/2026"/>
    <m/>
    <m/>
    <m/>
    <m/>
    <m/>
    <m/>
    <m/>
    <m/>
    <m/>
    <m/>
    <m/>
    <m/>
    <m/>
    <m/>
    <m/>
    <m/>
    <m/>
    <m/>
    <m/>
    <m/>
    <m/>
    <m/>
    <m/>
  </r>
  <r>
    <s v="E005"/>
    <s v="R003"/>
    <s v="Bhoomika"/>
    <s v="Talme"/>
    <s v="Non - IT"/>
    <x v="11"/>
    <x v="2"/>
    <s v="Krithika Noorithaya"/>
    <s v="30 Days"/>
    <s v="krithikapn707@gmail.com"/>
    <n v="7899580061"/>
    <s v="M.Sc"/>
    <x v="9"/>
    <s v="Accenture"/>
    <s v=" 5.5 LPA"/>
    <s v="Bengaluru_x0009_"/>
    <s v="Bengaluru_x0009_"/>
    <s v="8 LPA"/>
    <s v="Tech 1 to be Scheduled"/>
    <s v="Portal-LinkedIN"/>
    <s v="19/01/2026"/>
    <s v="19/01/2026"/>
    <m/>
    <m/>
    <m/>
    <m/>
    <m/>
    <m/>
    <m/>
    <m/>
    <m/>
    <m/>
    <m/>
    <m/>
    <m/>
    <m/>
    <m/>
    <m/>
    <m/>
    <m/>
    <m/>
    <m/>
    <m/>
    <m/>
    <m/>
  </r>
  <r>
    <s v="E005"/>
    <s v="R003"/>
    <s v="Bhoomika"/>
    <s v="Talme"/>
    <s v="Non - IT"/>
    <x v="11"/>
    <x v="2"/>
    <s v="Shruthi Shetty"/>
    <s v="Immediately"/>
    <s v="shruthi1203@gmail.com"/>
    <n v="9632406911"/>
    <s v="MBA"/>
    <x v="21"/>
    <s v="Triloke"/>
    <s v="7 LPA"/>
    <s v="Bengaluru_x0009_"/>
    <s v="Bengaluru_x0009_"/>
    <s v="10 LPA"/>
    <s v="Tech 1 to be Scheduled"/>
    <s v="Portal-Naukri"/>
    <s v="14/01/2026"/>
    <s v="14/01/2026"/>
    <s v="Tech 1 rejected"/>
    <m/>
    <m/>
    <m/>
    <m/>
    <m/>
    <m/>
    <m/>
    <m/>
    <m/>
    <m/>
    <m/>
    <m/>
    <m/>
    <m/>
    <m/>
    <m/>
    <m/>
    <m/>
    <m/>
    <m/>
    <m/>
    <m/>
  </r>
  <r>
    <s v="E005"/>
    <s v="R003"/>
    <s v="Bhoomika"/>
    <s v="Talme"/>
    <s v="Non - IT"/>
    <x v="11"/>
    <x v="2"/>
    <s v="Sujay Maikal"/>
    <s v="Immediate "/>
    <s v="sujaymbarboza@gmail.com"/>
    <n v="7483603634"/>
    <s v="BBM"/>
    <x v="25"/>
    <s v="Edtech Innovate Pvt Ltd"/>
    <s v="10.4 LPA"/>
    <s v="Bengaluru"/>
    <s v="Bengaluru"/>
    <s v="11 LPA"/>
    <s v="Tech 1 to be Scheduled"/>
    <s v="Portal-LinkedIN"/>
    <s v="14/01/2026"/>
    <s v="14/01/2026"/>
    <s v="Tech 1 rejected"/>
    <m/>
    <m/>
    <m/>
    <m/>
    <m/>
    <m/>
    <m/>
    <m/>
    <m/>
    <m/>
    <m/>
    <m/>
    <m/>
    <m/>
    <m/>
    <m/>
    <m/>
    <m/>
    <m/>
    <m/>
    <m/>
    <m/>
  </r>
  <r>
    <s v="H008"/>
    <s v="R005"/>
    <s v="Narthana"/>
    <s v="Talme"/>
    <s v="IT"/>
    <x v="18"/>
    <x v="5"/>
    <s v="Alladurgam Sai Kiran"/>
    <s v="30 Days(Negotiable)"/>
    <s v="saikiranalladurgam63@gmail.com"/>
    <n v="8074217640"/>
    <s v="B.Sc"/>
    <x v="83"/>
    <s v="R1RCM"/>
    <s v="6 LPA"/>
    <s v="Hyderabad"/>
    <s v="Hyderabad"/>
    <s v="10 LPA"/>
    <s v="Screening reject by HR"/>
    <s v="Portal-Naukri"/>
    <d v="2026-01-20T00:00:00"/>
    <d v="2026-01-20T00:00:00"/>
    <m/>
    <m/>
    <m/>
    <m/>
    <m/>
    <m/>
    <m/>
    <m/>
    <m/>
    <m/>
    <m/>
    <m/>
    <m/>
    <m/>
    <m/>
    <m/>
    <m/>
    <m/>
    <m/>
    <m/>
    <m/>
    <m/>
    <m/>
  </r>
  <r>
    <s v="H008"/>
    <s v="R005"/>
    <s v="Narthana"/>
    <s v="Talme"/>
    <s v="IT"/>
    <x v="18"/>
    <x v="5"/>
    <s v="Lavanya"/>
    <s v="90 Days (Negotiable 45 Days-Buyout Option)"/>
    <s v="lavaar861@gmail.com"/>
    <n v="7825063805"/>
    <s v="B.E"/>
    <x v="7"/>
    <s v="TCS"/>
    <s v="4.4 LPA"/>
    <s v="Chennai"/>
    <s v="Bengaluru"/>
    <s v="8 LPA"/>
    <s v="Screening reject by HR"/>
    <s v="Portal-Naukri"/>
    <d v="2026-01-20T00:00:00"/>
    <d v="2026-01-20T00:00:00"/>
    <m/>
    <m/>
    <m/>
    <m/>
    <m/>
    <m/>
    <m/>
    <m/>
    <m/>
    <m/>
    <m/>
    <m/>
    <m/>
    <m/>
    <m/>
    <m/>
    <m/>
    <m/>
    <m/>
    <m/>
    <m/>
    <m/>
    <m/>
  </r>
  <r>
    <s v="H008"/>
    <s v="R005"/>
    <s v="Narthana"/>
    <s v="Talme"/>
    <s v="IT"/>
    <x v="18"/>
    <x v="5"/>
    <s v="Santosh M. Hampannawar"/>
    <s v="LWD 13 Feb 2026"/>
    <s v="santoshhampannawar0831@gmail.com"/>
    <n v="8123664856"/>
    <s v="B.E"/>
    <x v="73"/>
    <s v="KR3 information system private LTD"/>
    <s v="24 LPA"/>
    <s v="Bengaluru"/>
    <s v="Bengaluru"/>
    <s v="28 LPA (Neg)"/>
    <s v="Screening reject by HR"/>
    <s v="Portal-Naukri"/>
    <d v="2026-01-21T00:00:00"/>
    <d v="2026-01-21T00:00:00"/>
    <m/>
    <m/>
    <m/>
    <m/>
    <m/>
    <m/>
    <m/>
    <m/>
    <m/>
    <m/>
    <m/>
    <m/>
    <m/>
    <m/>
    <m/>
    <m/>
    <m/>
    <m/>
    <m/>
    <m/>
    <m/>
    <m/>
    <m/>
  </r>
  <r>
    <s v="H008"/>
    <s v="R005"/>
    <s v="Narthana"/>
    <s v="Talme"/>
    <s v="IT"/>
    <x v="18"/>
    <x v="5"/>
    <s v="Chhandashi Saha"/>
    <s v="90 days (Negotiable 30 Days)"/>
    <s v="chhandashisaha39@gmail.com"/>
    <n v="8697555167"/>
    <s v="B.Tech"/>
    <x v="22"/>
    <s v="Cognizant"/>
    <s v="7.6 LPA"/>
    <s v="Kolkata"/>
    <s v="Bengaluru"/>
    <s v="14 LPA"/>
    <s v="Screening reject by HR"/>
    <s v="Portal-Naukri"/>
    <d v="2026-01-21T00:00:00"/>
    <d v="2026-01-21T00:00:00"/>
    <m/>
    <m/>
    <m/>
    <m/>
    <m/>
    <m/>
    <m/>
    <m/>
    <m/>
    <m/>
    <m/>
    <m/>
    <m/>
    <m/>
    <m/>
    <m/>
    <m/>
    <m/>
    <m/>
    <m/>
    <m/>
    <m/>
    <m/>
  </r>
  <r>
    <s v="F001"/>
    <s v="R005"/>
    <s v="Narthana"/>
    <s v="Talme"/>
    <s v="IT"/>
    <x v="19"/>
    <x v="7"/>
    <s v="Dennis Sam"/>
    <s v="LWD 13 Dec 2025"/>
    <s v="denniarems@gmail.com"/>
    <n v="9446568194"/>
    <s v="B.E"/>
    <x v="20"/>
    <s v="DappGenie"/>
    <s v="13 LPA"/>
    <s v="Bengaluru"/>
    <s v="Bengaluru"/>
    <s v="18 LPA"/>
    <s v="Awaiting feedback from client"/>
    <s v="Portal-Naukri"/>
    <d v="2026-01-21T00:00:00"/>
    <d v="2026-01-21T00:00:00"/>
    <s v="Position Hold"/>
    <m/>
    <m/>
    <m/>
    <m/>
    <m/>
    <m/>
    <m/>
    <m/>
    <m/>
    <m/>
    <m/>
    <m/>
    <m/>
    <m/>
    <m/>
    <m/>
    <m/>
    <m/>
    <m/>
    <m/>
    <m/>
    <m/>
  </r>
  <r>
    <s v="A004"/>
    <s v="R005"/>
    <s v="Narthana"/>
    <s v="Talme"/>
    <s v="IT"/>
    <x v="7"/>
    <x v="4"/>
    <s v="Bijay Kumar Mohanty"/>
    <s v=" LWD 31 oct 2025"/>
    <s v="bijaykumarbiju070@gmail.com"/>
    <n v="9535583241"/>
    <s v="B.A"/>
    <x v="84"/>
    <s v="IT Lead Plum Benefits Pvt. Ltd"/>
    <s v="9 LPA"/>
    <s v="Bengaluru"/>
    <s v="Bengaluru"/>
    <s v="10.5 LPA"/>
    <s v="Tech 1 to be Scheduled"/>
    <s v="Portal-Naukri"/>
    <d v="2026-01-21T00:00:00"/>
    <d v="2026-01-21T00:00:00"/>
    <m/>
    <m/>
    <m/>
    <m/>
    <m/>
    <m/>
    <m/>
    <m/>
    <m/>
    <m/>
    <m/>
    <m/>
    <m/>
    <m/>
    <m/>
    <m/>
    <m/>
    <m/>
    <m/>
    <m/>
    <m/>
    <m/>
    <m/>
  </r>
  <r>
    <s v="A004"/>
    <s v="R005"/>
    <s v="Narthana"/>
    <s v="Talme"/>
    <s v="IT"/>
    <x v="7"/>
    <x v="4"/>
    <s v="Rasala Chandu Yadav"/>
    <s v="LWD 2 Jan 2026"/>
    <s v="chanduakhi888@gmail.com"/>
    <n v="9505094453"/>
    <s v="B.Sc"/>
    <x v="24"/>
    <s v="IBM"/>
    <s v="8 LPA"/>
    <s v="Hyderabad"/>
    <s v="Hyderabad"/>
    <s v="10.5 LPA"/>
    <s v="Screening reject by HR"/>
    <s v="Portal-Naukri"/>
    <d v="2026-01-21T00:00:00"/>
    <d v="2026-01-21T00:00:00"/>
    <m/>
    <m/>
    <m/>
    <m/>
    <m/>
    <m/>
    <m/>
    <m/>
    <m/>
    <m/>
    <m/>
    <m/>
    <m/>
    <m/>
    <m/>
    <m/>
    <m/>
    <m/>
    <m/>
    <m/>
    <m/>
    <m/>
    <m/>
  </r>
  <r>
    <s v="A004"/>
    <s v="R005"/>
    <s v="Narthana"/>
    <s v="Talme"/>
    <s v="IT"/>
    <x v="7"/>
    <x v="4"/>
    <s v="Shivaprasad"/>
    <s v="LWD  Aug 2025"/>
    <s v="msprasad548@gmail.com "/>
    <n v="9381023541"/>
    <s v="M.Tech"/>
    <x v="23"/>
    <s v="Infosys BPM Pvt. Ltd"/>
    <s v="4.86 LPA"/>
    <s v="Hyderabad"/>
    <s v="Hyderabad"/>
    <s v="10.5 LPA"/>
    <s v="Tech 1 to be Scheduled"/>
    <s v="Portal-Naukri"/>
    <d v="2026-01-21T00:00:00"/>
    <d v="2026-01-21T00:00:00"/>
    <m/>
    <m/>
    <m/>
    <m/>
    <m/>
    <m/>
    <m/>
    <m/>
    <m/>
    <m/>
    <m/>
    <m/>
    <m/>
    <m/>
    <m/>
    <m/>
    <m/>
    <m/>
    <m/>
    <m/>
    <m/>
    <m/>
    <m/>
  </r>
  <r>
    <s v="D001"/>
    <s v="R003"/>
    <s v="Bhoomika"/>
    <s v="Talme"/>
    <s v="Non - IT"/>
    <x v="4"/>
    <x v="3"/>
    <s v="Aishwarya"/>
    <s v="Immediately"/>
    <s v="aiswaryasreenivasan21@gmail.com"/>
    <n v="8848336965"/>
    <s v="B com"/>
    <x v="9"/>
    <s v="Inc Express Shipping Llc"/>
    <s v="1.8 LPA"/>
    <s v="Kerala"/>
    <s v="Bengaluru_x0009_"/>
    <s v="4.2 LPA"/>
    <s v="Tech 1 to be Scheduled"/>
    <s v="Portal-Naukri"/>
    <s v="21/01/2026"/>
    <s v="21/01/2026"/>
    <s v="rejected by client"/>
    <m/>
    <m/>
    <m/>
    <m/>
    <m/>
    <m/>
    <m/>
    <m/>
    <m/>
    <m/>
    <m/>
    <m/>
    <m/>
    <m/>
    <m/>
    <m/>
    <m/>
    <m/>
    <m/>
    <m/>
    <m/>
    <m/>
  </r>
  <r>
    <s v="D001"/>
    <s v="R003"/>
    <s v="Bhoomika"/>
    <s v="Talme"/>
    <s v="Non - IT"/>
    <x v="4"/>
    <x v="3"/>
    <s v="Harshitha"/>
    <s v="Immediately"/>
    <s v="mpharshitha19@gmail.com"/>
    <n v="9353419348"/>
    <s v="B.Sc"/>
    <x v="85"/>
    <s v="Tally solution Pvt Ltd"/>
    <s v="3.6 LPA"/>
    <s v="Bengaluru_x0009_"/>
    <s v="Bengaluru_x0009_"/>
    <s v="30% HIKE"/>
    <s v="Tech 1 to be Scheduled"/>
    <s v="Portal-Naukri"/>
    <s v="21/01/2026"/>
    <s v="21/01/2026"/>
    <s v="rejected by client"/>
    <m/>
    <m/>
    <m/>
    <m/>
    <m/>
    <m/>
    <m/>
    <m/>
    <m/>
    <m/>
    <m/>
    <m/>
    <m/>
    <m/>
    <m/>
    <m/>
    <m/>
    <m/>
    <m/>
    <m/>
    <m/>
    <m/>
  </r>
  <r>
    <s v="D001"/>
    <s v="R003"/>
    <s v="Bhoomika"/>
    <s v="Talme"/>
    <s v="Non - IT"/>
    <x v="4"/>
    <x v="3"/>
    <s v="Chaya Bai"/>
    <s v="30 Days"/>
    <s v="chayabai690@gmail.com"/>
    <n v="9606553939"/>
    <s v="B.Sc"/>
    <x v="40"/>
    <s v="Invoice Capture Associate"/>
    <s v="2.10 LPA"/>
    <s v="Bengaluru_x0009_"/>
    <s v="Bengaluru_x0009_"/>
    <s v="As per company standards"/>
    <s v="Tech 1 to be Scheduled"/>
    <s v="Portal-Naukri"/>
    <s v="21/01/2026"/>
    <s v="21/01/2026"/>
    <s v="rejected by client"/>
    <m/>
    <m/>
    <m/>
    <m/>
    <m/>
    <m/>
    <m/>
    <m/>
    <m/>
    <m/>
    <m/>
    <m/>
    <m/>
    <m/>
    <m/>
    <m/>
    <m/>
    <m/>
    <m/>
    <m/>
    <m/>
    <m/>
  </r>
  <r>
    <s v="E001"/>
    <s v="R003"/>
    <s v="Bhoomika"/>
    <s v="Talme"/>
    <s v="Non - IT"/>
    <x v="3"/>
    <x v="2"/>
    <s v="Tanushree shettigar"/>
    <s v="Immediately"/>
    <s v="tanushreeshettigar@gmail.com"/>
    <n v="9663474151"/>
    <s v="B.A"/>
    <x v="41"/>
    <s v="Maverick Vacuum Technologies Pvt. Ltd"/>
    <s v="2.4 LPA"/>
    <s v="Bengaluru_x0009_"/>
    <s v="Bengaluru_x0009_"/>
    <s v="3 LPA"/>
    <s v="Tech 1 to be Scheduled"/>
    <s v="Portal-LinkedIN"/>
    <d v="2026-12-01T00:00:00"/>
    <d v="2026-12-01T00:00:00"/>
    <s v="Tech 1 Reject"/>
    <m/>
    <m/>
    <m/>
    <m/>
    <m/>
    <m/>
    <m/>
    <m/>
    <m/>
    <m/>
    <m/>
    <m/>
    <m/>
    <m/>
    <m/>
    <m/>
    <m/>
    <m/>
    <m/>
    <m/>
    <m/>
    <m/>
  </r>
  <r>
    <s v="E001"/>
    <s v="R003"/>
    <s v="Bhoomika"/>
    <s v="Talme"/>
    <s v="Non - IT"/>
    <x v="3"/>
    <x v="2"/>
    <s v="Chandrika S"/>
    <s v="30 Days"/>
    <s v="chand21974@gmail.com"/>
    <n v="9606553939"/>
    <s v="B.Sc"/>
    <x v="41"/>
    <s v="GAP "/>
    <s v="2.52 LPA"/>
    <s v="Bengaluru_x0009_"/>
    <s v="Bengaluru_x0009_"/>
    <s v="3 LPA"/>
    <s v="Tech 1 to be Scheduled"/>
    <s v="Portal-LinkedIN"/>
    <d v="2026-12-01T00:00:00"/>
    <d v="2026-12-01T00:00:00"/>
    <s v="Tech 1 Reject"/>
    <m/>
    <m/>
    <m/>
    <m/>
    <m/>
    <m/>
    <m/>
    <m/>
    <m/>
    <m/>
    <m/>
    <m/>
    <m/>
    <m/>
    <m/>
    <m/>
    <m/>
    <m/>
    <m/>
    <m/>
    <m/>
    <m/>
  </r>
  <r>
    <s v="H009"/>
    <s v="R002"/>
    <s v="Harshitha"/>
    <s v="Talme"/>
    <s v="IT"/>
    <x v="20"/>
    <x v="8"/>
    <s v="Gourav Moger"/>
    <s v="60 days ( Negotiable-15 days )"/>
    <s v="gouravmoger@gmail.com"/>
    <n v="9590755833"/>
    <s v="MCA"/>
    <x v="86"/>
    <s v="iTwine Technologies"/>
    <s v="6 LPA"/>
    <s v="Bengaluru"/>
    <s v="Mangalore"/>
    <s v="10 LPA ( Negotiable )"/>
    <s v="Tech 1 to be Scheduled"/>
    <s v="Portal-LinkedIN"/>
    <d v="2026-12-01T00:00:00"/>
    <d v="2026-12-01T00:00:00"/>
    <s v="Tech 1 Reject"/>
    <m/>
    <m/>
    <m/>
    <m/>
    <m/>
    <m/>
    <m/>
    <m/>
    <m/>
    <m/>
    <m/>
    <m/>
    <m/>
    <m/>
    <m/>
    <m/>
    <m/>
    <m/>
    <m/>
    <m/>
    <m/>
    <m/>
  </r>
  <r>
    <s v="H009"/>
    <s v="R002"/>
    <s v="Harshitha"/>
    <s v="Talme"/>
    <s v="IT"/>
    <x v="20"/>
    <x v="8"/>
    <s v="Chandrushekar B"/>
    <s v="Immediate"/>
    <s v="chandrushekhar54@gmail.com"/>
    <n v="9535451575"/>
    <s v="B.E"/>
    <x v="77"/>
    <s v="BCITS Pvt. Ltd"/>
    <s v="11.6 LPA"/>
    <s v="Davangere"/>
    <s v="Mangalore"/>
    <s v="30% hike"/>
    <s v="Tech 1 to be Scheduled"/>
    <s v="Portal-LinkedIN"/>
    <d v="2026-12-01T00:00:00"/>
    <d v="2026-12-01T00:00:00"/>
    <s v="Tech 1 Reject"/>
    <m/>
    <m/>
    <m/>
    <m/>
    <m/>
    <m/>
    <m/>
    <m/>
    <m/>
    <m/>
    <m/>
    <m/>
    <m/>
    <m/>
    <m/>
    <m/>
    <m/>
    <m/>
    <m/>
    <m/>
    <m/>
    <m/>
  </r>
  <r>
    <s v="H009"/>
    <s v="R002"/>
    <s v="Harshitha"/>
    <s v="Talme"/>
    <s v="IT"/>
    <x v="20"/>
    <x v="8"/>
    <s v="SWASTHIK D"/>
    <s v="LWD-13/02/2026"/>
    <s v="swasthikdml27@gmail.com"/>
    <n v="8088752938"/>
    <s v="B.E"/>
    <x v="7"/>
    <s v="Bentley Systems"/>
    <s v="10 LPA"/>
    <s v="Mangalore"/>
    <s v="Mangalore"/>
    <s v="30% hike ( Negotiable )"/>
    <s v="Tech 1 to be Scheduled"/>
    <s v="Portal-LinkedIN"/>
    <d v="2026-12-01T00:00:00"/>
    <d v="2026-12-01T00:00:00"/>
    <s v="Tech 1 Reject"/>
    <m/>
    <m/>
    <m/>
    <m/>
    <m/>
    <m/>
    <m/>
    <m/>
    <m/>
    <m/>
    <m/>
    <m/>
    <m/>
    <m/>
    <m/>
    <m/>
    <m/>
    <m/>
    <m/>
    <m/>
    <m/>
    <m/>
  </r>
  <r>
    <s v="H006"/>
    <s v="R002"/>
    <s v="Harshitha"/>
    <s v="Talme"/>
    <s v="IT"/>
    <x v="21"/>
    <x v="9"/>
    <s v="Kalyan Giri"/>
    <s v="30 days"/>
    <s v="kalyan039@gmail.com"/>
    <n v="9449026998"/>
    <s v="B.E"/>
    <x v="32"/>
    <s v="EdgeQ"/>
    <s v="24 LPA"/>
    <s v="Bengaluru"/>
    <s v="Netherlands"/>
    <s v="4,00,000 per month"/>
    <s v="Tech 1 to be Scheduled"/>
    <s v="Portal-LinkedIN"/>
    <d v="2026-12-01T00:00:00"/>
    <d v="2026-12-01T00:00:00"/>
    <s v="Tech 1 Reject"/>
    <m/>
    <m/>
    <m/>
    <m/>
    <m/>
    <m/>
    <m/>
    <m/>
    <m/>
    <m/>
    <m/>
    <m/>
    <m/>
    <m/>
    <m/>
    <m/>
    <m/>
    <m/>
    <m/>
    <m/>
    <m/>
    <m/>
  </r>
  <r>
    <s v="H006"/>
    <s v="R002"/>
    <s v="Harshitha"/>
    <s v="Talme"/>
    <s v="IT"/>
    <x v="21"/>
    <x v="9"/>
    <s v="Vishwajeet Kumar Singh"/>
    <s v="LWD-01/03/2026"/>
    <s v="Kumarsinghvishwajeet77@gmail.com"/>
    <n v="7905390512"/>
    <s v="B.E"/>
    <x v="25"/>
    <s v="TCTSL"/>
    <s v="8 LPA"/>
    <s v="Pune"/>
    <s v="Netherlands"/>
    <s v="1,50,000 per month"/>
    <s v="Tech 1 to be Scheduled"/>
    <s v="Portal-LinkedIN"/>
    <d v="2026-12-01T00:00:00"/>
    <d v="2026-12-01T00:00:00"/>
    <s v="Tech 1 Reject"/>
    <m/>
    <m/>
    <m/>
    <m/>
    <m/>
    <m/>
    <m/>
    <m/>
    <m/>
    <m/>
    <m/>
    <m/>
    <m/>
    <m/>
    <m/>
    <m/>
    <m/>
    <m/>
    <m/>
    <m/>
    <m/>
    <m/>
  </r>
  <r>
    <s v="H001"/>
    <s v="R003"/>
    <s v="Bhoomika"/>
    <s v="Talme"/>
    <s v="Non - IT"/>
    <x v="1"/>
    <x v="10"/>
    <s v="Rajkumar Bodakuntla"/>
    <s v="5 Days"/>
    <s v="rajkumarbodakuntla9@gmail.com"/>
    <n v="9550203194"/>
    <s v="BCOM"/>
    <x v="34"/>
    <s v="Kapil Knowledge Hub Pvt Ltd"/>
    <s v="2.7 lpa"/>
    <s v="Hyderabad"/>
    <s v="Bengaluru_x0009_"/>
    <s v="3.5 lpa"/>
    <s v="Tech 1 to be Scheduled"/>
    <s v="Portal-LinkedIN"/>
    <d v="2026-12-01T00:00:00"/>
    <d v="2026-12-01T00:00:00"/>
    <s v="Tech 1 Reject"/>
    <m/>
    <m/>
    <m/>
    <m/>
    <m/>
    <m/>
    <m/>
    <m/>
    <m/>
    <m/>
    <m/>
    <m/>
    <m/>
    <m/>
    <m/>
    <m/>
    <m/>
    <m/>
    <m/>
    <m/>
    <m/>
    <m/>
  </r>
  <r>
    <s v="H001"/>
    <s v="R003"/>
    <s v="Bhoomika"/>
    <s v="Talme"/>
    <s v="Non - IT"/>
    <x v="1"/>
    <x v="10"/>
    <s v="Shwetha V"/>
    <s v="30 Days"/>
    <s v="shwethav132@gmail.com"/>
    <n v="8310634289"/>
    <s v="B.Tech"/>
    <x v="87"/>
    <s v="L&amp;T Technology Services"/>
    <s v="2.7 lpa"/>
    <s v="Chennai"/>
    <s v="Bengaluru_x0009_"/>
    <s v="4 lpa"/>
    <s v="Tech 1 to be Scheduled"/>
    <s v="Portal-LinkedIN"/>
    <d v="2026-12-01T00:00:00"/>
    <d v="2026-12-01T00:00:00"/>
    <s v="Tech 1 Reject"/>
    <m/>
    <m/>
    <m/>
    <m/>
    <m/>
    <m/>
    <m/>
    <m/>
    <m/>
    <m/>
    <m/>
    <m/>
    <m/>
    <m/>
    <m/>
    <m/>
    <m/>
    <m/>
    <m/>
    <m/>
    <m/>
    <m/>
  </r>
  <r>
    <s v="H001"/>
    <s v="R003"/>
    <s v="Bhoomika"/>
    <s v="Talme"/>
    <s v="Non - IT"/>
    <x v="1"/>
    <x v="10"/>
    <s v="Swaraj Vivek Deshmukh"/>
    <s v="Immediately"/>
    <s v="swarajdeshmukh27@gmail.com"/>
    <n v="9766899792"/>
    <s v="MBA"/>
    <x v="88"/>
    <s v="SymX InfoSolution Pvt. Ltd"/>
    <s v="3.5 lpa"/>
    <s v="Maharashtra"/>
    <s v="Bengaluru_x0009_"/>
    <s v="4 lpa"/>
    <s v="Tech 1 to be Scheduled"/>
    <s v="Portal-LinkedIN"/>
    <d v="2026-12-01T00:00:00"/>
    <d v="2026-12-01T00:00:00"/>
    <s v="Tech 1 Reject"/>
    <m/>
    <m/>
    <m/>
    <m/>
    <m/>
    <m/>
    <m/>
    <m/>
    <m/>
    <m/>
    <m/>
    <m/>
    <m/>
    <m/>
    <m/>
    <m/>
    <m/>
    <m/>
    <m/>
    <m/>
    <m/>
    <m/>
  </r>
  <r>
    <s v="H001"/>
    <s v="R003"/>
    <s v="Bhoomika"/>
    <s v="Talme"/>
    <s v="Non - IT"/>
    <x v="1"/>
    <x v="10"/>
    <s v="Vijay mahantesh Harlapur"/>
    <s v="Immediately"/>
    <s v="harlapurvijay@gmail.com"/>
    <n v="8892816236"/>
    <s v="BCA"/>
    <x v="33"/>
    <s v="Byju's"/>
    <s v="2.7 lpa"/>
    <s v="Hubli"/>
    <s v="Bengaluru_x0009_"/>
    <s v="5 lpa"/>
    <s v="Tech 1 to be Scheduled"/>
    <s v="Portal-LinkedIN"/>
    <d v="2026-12-01T00:00:00"/>
    <d v="2026-12-01T00:00:00"/>
    <s v="Tech 1 Reject"/>
    <m/>
    <m/>
    <m/>
    <m/>
    <m/>
    <m/>
    <m/>
    <m/>
    <m/>
    <m/>
    <m/>
    <m/>
    <m/>
    <m/>
    <m/>
    <m/>
    <m/>
    <m/>
    <m/>
    <m/>
    <m/>
    <m/>
  </r>
  <r>
    <s v="H001"/>
    <s v="R003"/>
    <s v="Bhoomika"/>
    <s v="Talme"/>
    <s v="Non - IT"/>
    <x v="1"/>
    <x v="10"/>
    <s v="Sarthak Sharma"/>
    <s v="60 days ( negotiable )"/>
    <s v="reachsarthaksharma@gmail.com"/>
    <n v="7986635219"/>
    <s v="MBA"/>
    <x v="89"/>
    <s v="Arcesium"/>
    <s v="2.8  LPA"/>
    <s v="Bengaluru"/>
    <s v="Bengaluru"/>
    <s v="3.6 LPA"/>
    <s v="Tech 1 to be Scheduled"/>
    <s v="Portal-LinkedIN"/>
    <d v="2026-12-01T00:00:00"/>
    <d v="2026-12-01T00:00:00"/>
    <s v="Tech 1 Reject"/>
    <m/>
    <m/>
    <m/>
    <m/>
    <m/>
    <m/>
    <m/>
    <m/>
    <m/>
    <m/>
    <m/>
    <m/>
    <m/>
    <m/>
    <m/>
    <m/>
    <m/>
    <m/>
    <m/>
    <m/>
    <m/>
    <m/>
  </r>
  <r>
    <s v="H002"/>
    <s v="R003"/>
    <s v="Bhoomika"/>
    <s v="Talme"/>
    <s v="Non - IT"/>
    <x v="2"/>
    <x v="10"/>
    <s v="Charulatha P G"/>
    <s v="Immediate"/>
    <s v="pgcharulatha@gmail.com"/>
    <n v="6379808234"/>
    <s v="MBA"/>
    <x v="81"/>
    <s v="KSD Advisory"/>
    <s v="5 k"/>
    <s v="Tamil Nadu"/>
    <s v="Bengaluru"/>
    <s v="20K"/>
    <s v="Tech 1 to be Scheduled"/>
    <s v="Portal-LinkedIN"/>
    <d v="2026-12-01T00:00:00"/>
    <d v="2026-12-01T00:00:00"/>
    <s v="Tech 1 Reject"/>
    <m/>
    <m/>
    <m/>
    <m/>
    <m/>
    <m/>
    <m/>
    <m/>
    <m/>
    <m/>
    <m/>
    <m/>
    <m/>
    <m/>
    <m/>
    <m/>
    <m/>
    <m/>
    <m/>
    <m/>
    <m/>
    <m/>
  </r>
  <r>
    <s v="E001"/>
    <s v="R003"/>
    <s v="Bhoomika"/>
    <s v="Talme"/>
    <s v="Non - IT"/>
    <x v="3"/>
    <x v="2"/>
    <s v="Jilson Joseph"/>
    <s v="Immediately"/>
    <s v="jilsonjoseph98@gmail.com"/>
    <n v="7975360642"/>
    <s v="b.sc"/>
    <x v="90"/>
    <s v="Superion Technologies"/>
    <s v="NIL"/>
    <s v="Mangaluru"/>
    <s v="Banglore"/>
    <n v="20000"/>
    <s v="Tech 1 to be Scheduled"/>
    <s v="Portal-LinkedIN"/>
    <d v="2026-12-01T00:00:00"/>
    <d v="2026-12-01T00:00:00"/>
    <s v="Tech 1 Reject"/>
    <m/>
    <m/>
    <m/>
    <m/>
    <m/>
    <m/>
    <m/>
    <m/>
    <m/>
    <m/>
    <m/>
    <m/>
    <m/>
    <m/>
    <m/>
    <m/>
    <m/>
    <m/>
    <m/>
    <m/>
    <m/>
    <m/>
  </r>
  <r>
    <s v="E001"/>
    <s v="R003"/>
    <s v="Bhoomika"/>
    <s v="Talme"/>
    <s v="Non - IT"/>
    <x v="3"/>
    <x v="2"/>
    <s v="Marguerite"/>
    <s v="Immediately"/>
    <s v="margueritemargie28@gmail.com"/>
    <n v="7204648055"/>
    <s v="Motion Graphic Design, Arena Animation"/>
    <x v="90"/>
    <s v="Freelance graphic designer, Cimpress India pvt ltd"/>
    <s v="NIL"/>
    <s v="Bengaluru"/>
    <s v="Banglore"/>
    <n v="20000"/>
    <s v="Tech 1 to be Scheduled"/>
    <s v="Portal-LinkedIN"/>
    <d v="2026-12-01T00:00:00"/>
    <d v="2026-12-01T00:00:00"/>
    <s v="Tech 1 Reject"/>
    <m/>
    <m/>
    <m/>
    <m/>
    <m/>
    <m/>
    <m/>
    <m/>
    <m/>
    <m/>
    <m/>
    <m/>
    <m/>
    <m/>
    <m/>
    <m/>
    <m/>
    <m/>
    <m/>
    <m/>
    <m/>
    <m/>
  </r>
  <r>
    <s v="E002"/>
    <s v="R004"/>
    <s v="Pooja"/>
    <s v="Talme"/>
    <s v="Non - IT"/>
    <x v="16"/>
    <x v="2"/>
    <s v="Rashmi S"/>
    <s v=" Immediate"/>
    <s v="rashmism2307@gmall.com"/>
    <n v="9632853411"/>
    <s v=" MBA"/>
    <x v="46"/>
    <s v=" Bharti Airtel "/>
    <s v="13 LPA"/>
    <s v="Bengaluru"/>
    <s v=" Bengaluru"/>
    <s v=" As per company standard"/>
    <s v="Sourced"/>
    <s v="Portal-LinkedIN"/>
    <d v="2026-01-22T00:00:00"/>
    <d v="2026-01-22T00:00:00"/>
    <m/>
    <m/>
    <m/>
    <m/>
    <m/>
    <m/>
    <m/>
    <m/>
    <m/>
    <m/>
    <m/>
    <m/>
    <m/>
    <m/>
    <m/>
    <m/>
    <m/>
    <m/>
    <m/>
    <m/>
    <m/>
    <m/>
    <m/>
  </r>
  <r>
    <s v="D002"/>
    <s v="R004"/>
    <s v="Pooja"/>
    <s v="Talme"/>
    <s v="Non - IT"/>
    <x v="5"/>
    <x v="3"/>
    <s v="Anuj Kumar Chand"/>
    <s v=" Immediate"/>
    <s v=" anujchand27@gmail.com"/>
    <n v="8093310777"/>
    <s v=" B.Tech"/>
    <x v="91"/>
    <s v=" Cult.Fit"/>
    <s v="2.64 LPA"/>
    <s v="Bengaluru"/>
    <s v=" Bengaluru"/>
    <s v="3.5 LPA"/>
    <s v="Sourced"/>
    <s v="Portal-Naukri"/>
    <d v="2026-01-22T00:00:00"/>
    <d v="2026-01-22T00:00:00"/>
    <m/>
    <m/>
    <m/>
    <m/>
    <m/>
    <m/>
    <m/>
    <m/>
    <m/>
    <m/>
    <m/>
    <m/>
    <m/>
    <m/>
    <m/>
    <m/>
    <m/>
    <m/>
    <m/>
    <m/>
    <m/>
    <m/>
    <m/>
  </r>
  <r>
    <s v="D002"/>
    <s v="R004"/>
    <s v="Pooja"/>
    <s v="Talme"/>
    <s v="Non - IT"/>
    <x v="5"/>
    <x v="3"/>
    <s v="Mohammed Nawaz"/>
    <s v=" 30 Days"/>
    <s v=" mohammednawaz.95t@gmail.com"/>
    <n v="6366347478"/>
    <s v=" B.Com"/>
    <x v="92"/>
    <s v="Urban Company"/>
    <s v="33 K"/>
    <s v=" Bengaluru"/>
    <s v=" Bengaluru"/>
    <s v=" 10% Hike"/>
    <s v="Sourced"/>
    <s v="Portal-Naukri"/>
    <d v="2026-01-22T00:00:00"/>
    <d v="2026-01-22T00:00:00"/>
    <m/>
    <m/>
    <m/>
    <m/>
    <m/>
    <m/>
    <m/>
    <m/>
    <m/>
    <m/>
    <m/>
    <m/>
    <m/>
    <m/>
    <m/>
    <m/>
    <m/>
    <m/>
    <m/>
    <m/>
    <m/>
    <m/>
    <m/>
  </r>
  <r>
    <s v="D001"/>
    <s v="R004"/>
    <s v="Pooja"/>
    <s v="Talme"/>
    <s v="Non - IT"/>
    <x v="4"/>
    <x v="3"/>
    <s v="Karan T"/>
    <s v=" 10 Days"/>
    <s v=" karan.mrvk@gmail.com"/>
    <n v="7010736331"/>
    <s v=" BCA"/>
    <x v="76"/>
    <s v=" Evoxilation Technologies"/>
    <s v="15 K"/>
    <s v=" Bengaluru"/>
    <s v=" Bengaluru"/>
    <s v=" 30 K(Negotiable)"/>
    <s v="Sourced"/>
    <s v="Portal-Naukri"/>
    <d v="2026-01-22T00:00:00"/>
    <d v="2026-01-22T00:00:00"/>
    <m/>
    <m/>
    <m/>
    <m/>
    <m/>
    <m/>
    <m/>
    <m/>
    <m/>
    <m/>
    <m/>
    <m/>
    <m/>
    <m/>
    <m/>
    <m/>
    <m/>
    <m/>
    <m/>
    <m/>
    <m/>
    <m/>
    <m/>
  </r>
  <r>
    <s v="D001"/>
    <s v="R004"/>
    <s v="Pooja"/>
    <s v="Talme"/>
    <s v="Non - IT"/>
    <x v="4"/>
    <x v="3"/>
    <s v="Naveen G"/>
    <s v=" Immediate"/>
    <s v=" naveenparker11@gmail.com"/>
    <n v="9902882781"/>
    <s v=" MBA"/>
    <x v="93"/>
    <s v="Asian Paints Ltd."/>
    <s v="28 K"/>
    <s v="Bengaluru"/>
    <s v=" Bengaluru"/>
    <s v=" 30 to 35 K"/>
    <s v="Sourced"/>
    <s v="Portal-Naukri"/>
    <d v="2026-01-22T00:00:00"/>
    <d v="2026-01-22T00:00:00"/>
    <m/>
    <m/>
    <m/>
    <m/>
    <m/>
    <m/>
    <m/>
    <m/>
    <m/>
    <m/>
    <m/>
    <m/>
    <m/>
    <m/>
    <m/>
    <m/>
    <m/>
    <m/>
    <m/>
    <m/>
    <m/>
    <m/>
    <m/>
  </r>
  <r>
    <s v="D001"/>
    <s v="R003"/>
    <s v="Bhoomika"/>
    <s v="Talme"/>
    <s v="Non - IT"/>
    <x v="4"/>
    <x v="3"/>
    <s v="Vijay Kumar Reddy Nossam"/>
    <s v="Immediately"/>
    <s v="vijaynossam248@gmail.com"/>
    <n v="7993739582"/>
    <s v="B.Tech"/>
    <x v="94"/>
    <s v="Apnnaghar Property Management"/>
    <s v="2.9 LPA"/>
    <s v="Bengaluru_x0009_"/>
    <s v="Bengaluru_x0009_"/>
    <s v="3 LPA"/>
    <s v="Sourced"/>
    <s v="Portal-Naukri"/>
    <s v="22/01/2026"/>
    <s v="22/01/2026"/>
    <m/>
    <m/>
    <m/>
    <m/>
    <m/>
    <m/>
    <m/>
    <m/>
    <m/>
    <m/>
    <m/>
    <m/>
    <m/>
    <m/>
    <m/>
    <m/>
    <m/>
    <m/>
    <m/>
    <m/>
    <m/>
    <m/>
    <m/>
  </r>
  <r>
    <s v="D001"/>
    <s v="R003"/>
    <s v="Bhoomika"/>
    <s v="Talme"/>
    <s v="Non - IT"/>
    <x v="4"/>
    <x v="3"/>
    <s v="Eshwar Reddy"/>
    <s v="15 Days"/>
    <s v="sruthi3593@gmail.com"/>
    <n v="8309164084"/>
    <s v="B Tech"/>
    <x v="95"/>
    <s v="Ajr Info System"/>
    <s v="3.5 LPA"/>
    <s v="Hyderabad"/>
    <s v="Bengaluru_x0009_"/>
    <s v="4 LPA"/>
    <s v="Sourced"/>
    <s v="Portal-Naukri"/>
    <s v="22/01/2026"/>
    <s v="22/01/2026"/>
    <m/>
    <m/>
    <m/>
    <m/>
    <m/>
    <m/>
    <m/>
    <m/>
    <m/>
    <m/>
    <m/>
    <m/>
    <m/>
    <m/>
    <m/>
    <m/>
    <m/>
    <m/>
    <m/>
    <m/>
    <m/>
    <m/>
    <m/>
  </r>
  <r>
    <s v="D001"/>
    <s v="R003"/>
    <s v="Bhoomika"/>
    <s v="Talme"/>
    <s v="Non - IT"/>
    <x v="4"/>
    <x v="3"/>
    <s v="Sowmya Narayan"/>
    <s v="30 Days"/>
    <s v="narayanan25112002@gmail.co"/>
    <n v="9159651352"/>
    <s v="MBA"/>
    <x v="96"/>
    <s v="Lakshmi Ceramics Madurai"/>
    <s v="3.5 LPA"/>
    <s v="Madurai"/>
    <s v="Bengaluru_x0009_"/>
    <s v="4 LPA"/>
    <s v="Sourced"/>
    <s v="Portal-Naukri"/>
    <s v="22/01/2026"/>
    <s v="22/01/2026"/>
    <m/>
    <m/>
    <m/>
    <m/>
    <m/>
    <m/>
    <m/>
    <m/>
    <m/>
    <m/>
    <m/>
    <m/>
    <m/>
    <m/>
    <m/>
    <m/>
    <m/>
    <m/>
    <m/>
    <m/>
    <m/>
    <m/>
    <m/>
  </r>
  <r>
    <s v="H009"/>
    <s v="R005"/>
    <s v="Narthana"/>
    <s v="Talme"/>
    <s v="IT"/>
    <x v="20"/>
    <x v="8"/>
    <s v="Vinod Kumar Reddy"/>
    <s v="60 Days(Neg 30 days)"/>
    <s v="vinod.tech47@gmail.com"/>
    <s v="96427 64261"/>
    <s v="MCA"/>
    <x v="72"/>
    <s v="Bank Genie"/>
    <s v="6.7 LPA"/>
    <s v="Mysore"/>
    <s v="Mangalore"/>
    <s v="11 LPA"/>
    <s v="Sourced"/>
    <s v="Portal-Naukri"/>
    <d v="2026-01-22T00:00:00"/>
    <d v="2026-01-22T00:00:00"/>
    <m/>
    <m/>
    <m/>
    <m/>
    <m/>
    <m/>
    <m/>
    <m/>
    <m/>
    <m/>
    <m/>
    <m/>
    <m/>
    <m/>
    <m/>
    <m/>
    <m/>
    <m/>
    <m/>
    <m/>
    <m/>
    <m/>
    <m/>
  </r>
  <r>
    <s v="H009"/>
    <s v="R005"/>
    <s v="Narthana"/>
    <s v="Talme"/>
    <s v="IT"/>
    <x v="20"/>
    <x v="8"/>
    <s v="Shilpa Poojary"/>
    <s v="LWD 17 Jan 2026"/>
    <s v="shilpapoojary15@gmail.com"/>
    <n v="9880445578"/>
    <s v="B.E"/>
    <x v="19"/>
    <s v="Manipal Payment &amp; Identity solution Ltd"/>
    <s v="5.5 LPA"/>
    <s v="Udupi"/>
    <s v="Mangalore"/>
    <s v="10 LPA"/>
    <s v="Sourced"/>
    <s v="Portal-Naukri"/>
    <d v="2026-01-22T00:00:00"/>
    <d v="2026-01-22T00:00:00"/>
    <m/>
    <m/>
    <m/>
    <m/>
    <m/>
    <m/>
    <m/>
    <m/>
    <m/>
    <m/>
    <m/>
    <m/>
    <m/>
    <m/>
    <m/>
    <m/>
    <m/>
    <m/>
    <m/>
    <m/>
    <m/>
    <m/>
    <m/>
  </r>
  <r>
    <s v="C003"/>
    <s v="R005"/>
    <s v="Narthana"/>
    <s v="Talme"/>
    <s v="IT"/>
    <x v="22"/>
    <x v="5"/>
    <s v="Sarannya"/>
    <s v="90 Days(Neg 30 Days)"/>
    <s v="srnsep9@gmail.com"/>
    <n v="9400601973"/>
    <s v="M.Tech"/>
    <x v="52"/>
    <s v="IBM-Honda"/>
    <s v="15 LPA"/>
    <s v="Kochi"/>
    <s v="Kochi"/>
    <s v="22 LPA"/>
    <s v="Screening Reject by Client"/>
    <s v="Portal-Naukri"/>
    <d v="2026-01-22T00:00:00"/>
    <d v="2026-01-22T00:00:00"/>
    <s v="due to Notice period "/>
    <m/>
    <m/>
    <m/>
    <m/>
    <m/>
    <m/>
    <m/>
    <m/>
    <m/>
    <m/>
    <m/>
    <m/>
    <m/>
    <m/>
    <m/>
    <m/>
    <m/>
    <m/>
    <m/>
    <m/>
    <m/>
    <m/>
  </r>
  <r>
    <s v="A004"/>
    <s v="R005"/>
    <s v="Narthana"/>
    <s v="Talme"/>
    <s v="IT"/>
    <x v="7"/>
    <x v="4"/>
    <s v="Gautam Kumar"/>
    <s v="LWD Oct 2025"/>
    <s v="gautihit@gmail.com"/>
    <n v="8227077132"/>
    <s v="B.Tech"/>
    <x v="20"/>
    <s v="Coforge Limited"/>
    <s v="5 LPA"/>
    <s v="Gurgaon"/>
    <s v="Noida"/>
    <s v="8 LPA"/>
    <s v="Sourced"/>
    <s v="Portal-Naukri"/>
    <d v="2026-01-22T00:00:00"/>
    <d v="2026-01-22T00:00:00"/>
    <m/>
    <m/>
    <m/>
    <m/>
    <m/>
    <m/>
    <m/>
    <m/>
    <m/>
    <m/>
    <m/>
    <m/>
    <m/>
    <m/>
    <m/>
    <m/>
    <m/>
    <m/>
    <m/>
    <m/>
    <m/>
    <m/>
    <m/>
  </r>
  <r>
    <s v="A004"/>
    <s v="R005"/>
    <s v="Narthana"/>
    <s v="Talme"/>
    <s v="IT"/>
    <x v="7"/>
    <x v="4"/>
    <s v="Marthala Madhava"/>
    <s v="15 Days"/>
    <s v="madhava.m0896@gmail.com"/>
    <n v="9880930454"/>
    <s v="B.Tech"/>
    <x v="97"/>
    <s v="Jukshio innovation Technology Pvt.Ltd,"/>
    <s v="5 LPA"/>
    <s v="Hyderabad"/>
    <s v="Hyderabad"/>
    <s v="8 LPA"/>
    <s v="Sourced"/>
    <s v="Portal-Naukri"/>
    <d v="2026-01-22T00:00:00"/>
    <d v="2026-01-22T00:00:00"/>
    <m/>
    <m/>
    <m/>
    <m/>
    <m/>
    <m/>
    <m/>
    <m/>
    <m/>
    <m/>
    <m/>
    <m/>
    <m/>
    <m/>
    <m/>
    <m/>
    <m/>
    <m/>
    <m/>
    <m/>
    <m/>
    <m/>
    <m/>
  </r>
  <r>
    <s v="A003"/>
    <s v="R002"/>
    <s v="Harshitha"/>
    <s v="Talme"/>
    <s v="IT"/>
    <x v="6"/>
    <x v="4"/>
    <s v="Nitin Kumar Srivastava"/>
    <s v="Immediate"/>
    <s v="nitin07.gkp@gmail.com"/>
    <n v="7503509721"/>
    <s v="MCA"/>
    <x v="98"/>
    <s v=" McKinsey &amp; Company"/>
    <s v="35 LPA"/>
    <s v="Noida"/>
    <s v="Noida"/>
    <s v="48LPA"/>
    <s v="Screening Reject by Client"/>
    <s v="Portal-Naukri"/>
    <s v="22/01/2026"/>
    <s v="22/01/2026"/>
    <m/>
    <m/>
    <m/>
    <m/>
    <m/>
    <m/>
    <m/>
    <m/>
    <m/>
    <m/>
    <m/>
    <m/>
    <m/>
    <m/>
    <m/>
    <m/>
    <m/>
    <m/>
    <m/>
    <m/>
    <m/>
    <m/>
    <m/>
  </r>
  <r>
    <s v="A003"/>
    <s v="R002"/>
    <s v="Harshitha"/>
    <s v="Talme"/>
    <s v="IT"/>
    <x v="6"/>
    <x v="4"/>
    <s v="Anupama Bajpai"/>
    <s v="LWD-15/02/2026"/>
    <s v="bajpaianupama01@gmail.com"/>
    <n v="8887786193"/>
    <s v="M.Com"/>
    <x v="61"/>
    <s v="Persistent"/>
    <s v="27 LPA"/>
    <s v="Noida"/>
    <s v="Noida"/>
    <s v="40 LPA"/>
    <s v="Tech 1 Reject"/>
    <s v="Portal-Naukri"/>
    <s v="22/01/2026"/>
    <s v="22/01/2026"/>
    <m/>
    <s v="23/01/2026"/>
    <s v="Reject"/>
    <m/>
    <m/>
    <m/>
    <m/>
    <m/>
    <m/>
    <m/>
    <m/>
    <m/>
    <m/>
    <m/>
    <m/>
    <m/>
    <m/>
    <m/>
    <m/>
    <m/>
    <m/>
    <m/>
    <m/>
  </r>
  <r>
    <s v="A003"/>
    <s v="R002"/>
    <s v="Harshitha"/>
    <s v="Talme"/>
    <s v="IT"/>
    <x v="6"/>
    <x v="4"/>
    <s v="Abhilash Mandaloju"/>
    <s v="60 days ( On bench- 15 days )"/>
    <s v="abhilashmandaloju@gmail.com"/>
    <n v="8686888442"/>
    <s v="B.Tech"/>
    <x v="61"/>
    <s v="EPAM Systems"/>
    <s v="42 LPA"/>
    <s v="Hyderabad"/>
    <s v="Hyderabad"/>
    <s v="55 LPA"/>
    <s v="Tech 1 to be Scheduled"/>
    <s v="Portal-Naukri"/>
    <s v="22/01/2026"/>
    <s v="22/01/2026"/>
    <m/>
    <s v="23/01/2026"/>
    <s v="No Show"/>
    <m/>
    <m/>
    <m/>
    <m/>
    <m/>
    <m/>
    <m/>
    <m/>
    <m/>
    <m/>
    <m/>
    <m/>
    <m/>
    <m/>
    <m/>
    <m/>
    <m/>
    <m/>
    <m/>
    <m/>
  </r>
  <r>
    <s v="A003"/>
    <s v="R002"/>
    <s v="Harshitha"/>
    <s v="Talme"/>
    <s v="IT"/>
    <x v="6"/>
    <x v="4"/>
    <s v="Aditya Vinay Achar"/>
    <s v="Immediate"/>
    <s v="adityavinayachar@gmail.com"/>
    <n v="9820474880"/>
    <s v="MCA"/>
    <x v="99"/>
    <s v="OPENHOUSE"/>
    <s v="32.5 LPA"/>
    <s v="Bengaluru"/>
    <s v="Bengaluru"/>
    <s v="45 LPA"/>
    <s v="Tech 1 to be Scheduled"/>
    <s v="Portal-Naukri"/>
    <s v="22/01/2026"/>
    <s v="22/01/2026"/>
    <m/>
    <s v="23/01/2026"/>
    <m/>
    <m/>
    <m/>
    <m/>
    <m/>
    <m/>
    <m/>
    <m/>
    <m/>
    <m/>
    <m/>
    <m/>
    <m/>
    <m/>
    <m/>
    <m/>
    <m/>
    <m/>
    <m/>
    <m/>
    <m/>
  </r>
  <r>
    <s v="D001"/>
    <s v="R003"/>
    <s v="Bhoomika"/>
    <s v="Talme"/>
    <s v="Non - IT"/>
    <x v="4"/>
    <x v="3"/>
    <s v="Gangadharyadav"/>
    <m/>
    <m/>
    <n v="7981958780"/>
    <m/>
    <x v="1"/>
    <m/>
    <m/>
    <m/>
    <m/>
    <m/>
    <s v="Screening Reject"/>
    <s v="Portal-Naukri"/>
    <s v="22/01/2026"/>
    <s v="22/01/2026"/>
    <m/>
    <m/>
    <m/>
    <m/>
    <m/>
    <m/>
    <m/>
    <m/>
    <m/>
    <m/>
    <m/>
    <m/>
    <m/>
    <m/>
    <m/>
    <m/>
    <m/>
    <m/>
    <m/>
    <m/>
    <m/>
    <m/>
    <m/>
  </r>
  <r>
    <s v="D001"/>
    <s v="R003"/>
    <s v="Bhoomika"/>
    <s v="Talme"/>
    <s v="Non - IT"/>
    <x v="4"/>
    <x v="3"/>
    <s v="Payal Kumari"/>
    <m/>
    <m/>
    <n v="8777822079"/>
    <m/>
    <x v="1"/>
    <m/>
    <m/>
    <m/>
    <m/>
    <m/>
    <s v="Screening Reject"/>
    <s v="Portal-Naukri"/>
    <s v="22/01/2026"/>
    <s v="22/01/2026"/>
    <m/>
    <m/>
    <m/>
    <m/>
    <m/>
    <m/>
    <m/>
    <m/>
    <m/>
    <m/>
    <m/>
    <m/>
    <m/>
    <m/>
    <m/>
    <m/>
    <m/>
    <m/>
    <m/>
    <m/>
    <m/>
    <m/>
    <m/>
  </r>
  <r>
    <s v="D001"/>
    <s v="R003"/>
    <s v="Bhoomika"/>
    <s v="Talme"/>
    <s v="Non - IT"/>
    <x v="4"/>
    <x v="3"/>
    <s v="THIRUVAYIPATI.MANI"/>
    <m/>
    <m/>
    <n v="7386279796"/>
    <m/>
    <x v="1"/>
    <m/>
    <m/>
    <m/>
    <m/>
    <m/>
    <s v="Screening Reject"/>
    <s v="Portal-Naukri"/>
    <s v="22/01/2026"/>
    <s v="22/01/2026"/>
    <m/>
    <m/>
    <m/>
    <m/>
    <m/>
    <m/>
    <m/>
    <m/>
    <m/>
    <m/>
    <m/>
    <m/>
    <m/>
    <m/>
    <m/>
    <m/>
    <m/>
    <m/>
    <m/>
    <m/>
    <m/>
    <m/>
    <m/>
  </r>
  <r>
    <s v="D001"/>
    <s v="R003"/>
    <s v="Bhoomika"/>
    <s v="Talme"/>
    <s v="Non - IT"/>
    <x v="4"/>
    <x v="3"/>
    <s v="Anuj Patwari"/>
    <m/>
    <m/>
    <n v="8619684999"/>
    <m/>
    <x v="1"/>
    <m/>
    <m/>
    <m/>
    <m/>
    <m/>
    <s v="Screening Reject"/>
    <s v="Portal-Naukri"/>
    <s v="22/01/2026"/>
    <s v="22/01/2026"/>
    <m/>
    <m/>
    <m/>
    <m/>
    <m/>
    <m/>
    <m/>
    <m/>
    <m/>
    <m/>
    <m/>
    <m/>
    <m/>
    <m/>
    <m/>
    <m/>
    <m/>
    <m/>
    <m/>
    <m/>
    <m/>
    <m/>
    <m/>
  </r>
  <r>
    <s v="D001"/>
    <s v="R003"/>
    <s v="Bhoomika"/>
    <s v="Talme"/>
    <s v="Non - IT"/>
    <x v="4"/>
    <x v="3"/>
    <s v=" Ushashree"/>
    <m/>
    <m/>
    <n v="6303461301"/>
    <m/>
    <x v="1"/>
    <m/>
    <m/>
    <m/>
    <m/>
    <m/>
    <s v="Screening Reject"/>
    <s v="Portal-Naukri"/>
    <s v="22/01/2026"/>
    <s v="22/01/2026"/>
    <m/>
    <m/>
    <m/>
    <m/>
    <m/>
    <m/>
    <m/>
    <m/>
    <m/>
    <m/>
    <m/>
    <m/>
    <m/>
    <m/>
    <m/>
    <m/>
    <m/>
    <m/>
    <m/>
    <m/>
    <m/>
    <m/>
    <m/>
  </r>
  <r>
    <s v="D001"/>
    <s v="R003"/>
    <s v="Bhoomika"/>
    <s v="Talme"/>
    <s v="Non - IT"/>
    <x v="4"/>
    <x v="3"/>
    <s v="Shaik abdul"/>
    <m/>
    <m/>
    <n v="9110376608"/>
    <m/>
    <x v="1"/>
    <m/>
    <m/>
    <m/>
    <m/>
    <m/>
    <s v="Screening Reject"/>
    <s v="Portal-Naukri"/>
    <s v="22/01/2026"/>
    <s v="22/01/2026"/>
    <m/>
    <m/>
    <m/>
    <m/>
    <m/>
    <m/>
    <m/>
    <m/>
    <m/>
    <m/>
    <m/>
    <m/>
    <m/>
    <m/>
    <m/>
    <m/>
    <m/>
    <m/>
    <m/>
    <m/>
    <m/>
    <m/>
    <m/>
  </r>
  <r>
    <s v="D001"/>
    <s v="R003"/>
    <s v="Bhoomika"/>
    <s v="Talme"/>
    <s v="Non - IT"/>
    <x v="4"/>
    <x v="3"/>
    <s v="Gediya Amit"/>
    <m/>
    <m/>
    <n v="9427566678"/>
    <m/>
    <x v="1"/>
    <m/>
    <m/>
    <m/>
    <m/>
    <m/>
    <s v="Screening Reject"/>
    <s v="Portal-Naukri"/>
    <s v="22/01/2026"/>
    <s v="22/01/2026"/>
    <m/>
    <m/>
    <m/>
    <m/>
    <m/>
    <m/>
    <m/>
    <m/>
    <m/>
    <m/>
    <m/>
    <m/>
    <m/>
    <m/>
    <m/>
    <m/>
    <m/>
    <m/>
    <m/>
    <m/>
    <m/>
    <m/>
    <m/>
  </r>
  <r>
    <s v="D001"/>
    <s v="R003"/>
    <s v="Bhoomika"/>
    <s v="Talme"/>
    <s v="Non - IT"/>
    <x v="4"/>
    <x v="3"/>
    <s v="ARSHIYA M"/>
    <m/>
    <m/>
    <n v="9742750868"/>
    <m/>
    <x v="1"/>
    <m/>
    <m/>
    <m/>
    <m/>
    <m/>
    <s v="Screening Reject"/>
    <s v="Portal-Naukri"/>
    <s v="22/01/2026"/>
    <s v="22/01/2026"/>
    <m/>
    <m/>
    <m/>
    <m/>
    <m/>
    <m/>
    <m/>
    <m/>
    <m/>
    <m/>
    <m/>
    <m/>
    <m/>
    <m/>
    <m/>
    <m/>
    <m/>
    <m/>
    <m/>
    <m/>
    <m/>
    <m/>
    <m/>
  </r>
  <r>
    <s v="D001"/>
    <s v="R003"/>
    <s v="Bhoomika"/>
    <s v="Talme"/>
    <s v="Non - IT"/>
    <x v="4"/>
    <x v="3"/>
    <s v="Manimala R"/>
    <m/>
    <m/>
    <n v="7349644736"/>
    <m/>
    <x v="1"/>
    <m/>
    <m/>
    <m/>
    <m/>
    <m/>
    <s v="Screening Reject"/>
    <s v="Portal-Naukri"/>
    <s v="22/01/2026"/>
    <s v="22/01/2026"/>
    <m/>
    <m/>
    <m/>
    <m/>
    <m/>
    <m/>
    <m/>
    <m/>
    <m/>
    <m/>
    <m/>
    <m/>
    <m/>
    <m/>
    <m/>
    <m/>
    <m/>
    <m/>
    <m/>
    <m/>
    <m/>
    <m/>
    <m/>
  </r>
  <r>
    <s v="D001"/>
    <s v="R003"/>
    <s v="Bhoomika"/>
    <s v="Talme"/>
    <s v="Non - IT"/>
    <x v="4"/>
    <x v="3"/>
    <s v="KUBERALAKSHMI M"/>
    <m/>
    <m/>
    <n v="8778442454"/>
    <m/>
    <x v="1"/>
    <m/>
    <m/>
    <m/>
    <m/>
    <m/>
    <s v="Screening Reject"/>
    <s v="Portal-Naukri"/>
    <s v="23/01/2026"/>
    <s v="23/01/2026"/>
    <m/>
    <m/>
    <m/>
    <m/>
    <m/>
    <m/>
    <m/>
    <m/>
    <m/>
    <m/>
    <m/>
    <m/>
    <m/>
    <m/>
    <m/>
    <m/>
    <m/>
    <m/>
    <m/>
    <m/>
    <m/>
    <m/>
    <m/>
  </r>
  <r>
    <s v="H010"/>
    <s v="R004"/>
    <s v="Pooja"/>
    <s v="Talme"/>
    <s v="IT"/>
    <x v="23"/>
    <x v="8"/>
    <s v="Sowmnya Shet"/>
    <s v=" 30 Days( 15 days Negotiable)"/>
    <s v="shetsowmya@gmail.com"/>
    <n v="9844763905"/>
    <s v=" B.E"/>
    <x v="55"/>
    <s v=" Maya Solutions "/>
    <s v="10 LPA"/>
    <s v=" Manglore"/>
    <s v=" Manglore"/>
    <s v=" 12 LPA"/>
    <s v="Tech 1 to be Scheduled"/>
    <s v="Portal-Naukri"/>
    <s v="23/01/2026"/>
    <s v="23/01/2026"/>
    <m/>
    <m/>
    <m/>
    <m/>
    <m/>
    <m/>
    <m/>
    <m/>
    <m/>
    <m/>
    <m/>
    <m/>
    <m/>
    <m/>
    <m/>
    <m/>
    <m/>
    <m/>
    <m/>
    <m/>
    <m/>
    <m/>
    <m/>
  </r>
  <r>
    <s v="E004"/>
    <s v="R004"/>
    <s v="Pooja"/>
    <s v="Talme"/>
    <s v="Non - IT"/>
    <x v="12"/>
    <x v="2"/>
    <s v="Sandeep govind ambig"/>
    <s v=" Immediate"/>
    <s v=" sandeepambig0@gmail.com"/>
    <n v="8277659130"/>
    <s v=" MBA"/>
    <x v="100"/>
    <s v=" TRENT LTD (TATA Retail Enterprise) "/>
    <s v="20 K"/>
    <s v="Bengaluru"/>
    <s v=" Bengaluru"/>
    <s v=" As per company standard"/>
    <s v="Sourced"/>
    <s v="Portal-Naukri"/>
    <s v="23/01/2026"/>
    <s v="23/01/2026"/>
    <m/>
    <m/>
    <m/>
    <m/>
    <m/>
    <m/>
    <m/>
    <m/>
    <m/>
    <m/>
    <m/>
    <m/>
    <m/>
    <m/>
    <m/>
    <m/>
    <m/>
    <m/>
    <m/>
    <m/>
    <m/>
    <m/>
    <m/>
  </r>
  <r>
    <s v="E004"/>
    <s v="R004"/>
    <s v="Pooja"/>
    <s v="Talme"/>
    <s v="Non - IT"/>
    <x v="12"/>
    <x v="2"/>
    <s v="Somu Bailakoor"/>
    <s v=" 15 Days"/>
    <s v=" bailakoorsomu5@gmail.com"/>
    <n v="8546823904"/>
    <s v=" B.Com"/>
    <x v="101"/>
    <s v=" "/>
    <s v=" "/>
    <s v=" Bengaluru"/>
    <s v="Bengaluru"/>
    <s v=" 20 k"/>
    <s v="Sourced"/>
    <s v="Portal-Naukri"/>
    <s v="23/01/2026"/>
    <s v="23/01/2026"/>
    <m/>
    <m/>
    <m/>
    <m/>
    <m/>
    <m/>
    <m/>
    <m/>
    <m/>
    <m/>
    <m/>
    <m/>
    <m/>
    <m/>
    <m/>
    <m/>
    <m/>
    <m/>
    <m/>
    <m/>
    <m/>
    <m/>
    <m/>
  </r>
  <r>
    <s v="D001"/>
    <s v="R004"/>
    <s v="Pooja"/>
    <s v="Talme"/>
    <s v="Non - IT"/>
    <x v="4"/>
    <x v="3"/>
    <s v="Venkatesh"/>
    <s v="Immediate"/>
    <s v=" venkateshakon777@gmail.com"/>
    <n v="8074114576"/>
    <s v=" MBA"/>
    <x v="75"/>
    <s v=" Bosch Ltd"/>
    <s v="3.2 LPA"/>
    <s v="Bengaluru"/>
    <s v=" Bengaluru"/>
    <s v=" As per company standard"/>
    <s v="Tech 1 to be Scheduled"/>
    <s v="Portal-Naukri"/>
    <s v="23/01/2026"/>
    <s v="23/01/2026"/>
    <m/>
    <m/>
    <m/>
    <m/>
    <m/>
    <m/>
    <m/>
    <m/>
    <m/>
    <m/>
    <m/>
    <m/>
    <m/>
    <m/>
    <m/>
    <m/>
    <m/>
    <m/>
    <m/>
    <m/>
    <m/>
    <m/>
    <m/>
  </r>
  <r>
    <s v="D001"/>
    <s v="R003"/>
    <s v="Bhoomika"/>
    <s v="Talme"/>
    <s v="Non - IT"/>
    <x v="4"/>
    <x v="3"/>
    <s v="Pruthvi"/>
    <s v="15 Days"/>
    <s v="pruthvi4371@gmail.com"/>
    <n v="9398774371"/>
    <s v="B.Tech"/>
    <x v="102"/>
    <s v="Blue Chip Informatics Pvt. Ltd"/>
    <s v="3 LPA"/>
    <s v="Bengaluru"/>
    <s v="Bengaluru"/>
    <s v="3.8 LPA"/>
    <s v="Sourced"/>
    <s v="Portal-LinkedIN"/>
    <s v="23/01/2026"/>
    <s v="23/01/2026"/>
    <m/>
    <m/>
    <m/>
    <m/>
    <m/>
    <m/>
    <m/>
    <m/>
    <m/>
    <m/>
    <m/>
    <m/>
    <m/>
    <m/>
    <m/>
    <m/>
    <m/>
    <m/>
    <m/>
    <m/>
    <m/>
    <m/>
    <m/>
  </r>
  <r>
    <s v="H010"/>
    <s v="R003"/>
    <s v="Bhoomika"/>
    <s v="Talme"/>
    <s v="Non - IT"/>
    <x v="23"/>
    <x v="8"/>
    <s v=" Kishore Kumar"/>
    <s v="Immediate"/>
    <s v="kishorekumar.selvaraja13@gmail.com"/>
    <n v="9092954409"/>
    <s v="B.Sc"/>
    <x v="32"/>
    <s v="Smart Irrigation &amp; Farm Monitoring Platform"/>
    <s v="20.5 LPA"/>
    <s v="Chennai"/>
    <s v="Bengaluru_x0009_"/>
    <s v="24 LPA"/>
    <s v="Sourced"/>
    <s v="Portal-LinkedIN"/>
    <s v="23/01/2026"/>
    <s v="23/01/2026"/>
    <m/>
    <m/>
    <m/>
    <m/>
    <m/>
    <m/>
    <m/>
    <m/>
    <m/>
    <m/>
    <m/>
    <m/>
    <m/>
    <m/>
    <m/>
    <m/>
    <m/>
    <m/>
    <m/>
    <m/>
    <m/>
    <m/>
    <m/>
  </r>
  <r>
    <s v="E004"/>
    <s v="R003"/>
    <s v="Bhoomika"/>
    <s v="Talme"/>
    <s v="Non - IT"/>
    <x v="12"/>
    <x v="2"/>
    <s v="S Mohammed Tufail Alam"/>
    <s v="Immediately"/>
    <s v="tufailalam8073@gmail.com"/>
    <n v="8073616339"/>
    <s v="BBA"/>
    <x v="103"/>
    <s v="Electronics and gift store"/>
    <s v="2.28 LPA"/>
    <s v="Mumbai"/>
    <s v="Bengaluru_x0009_"/>
    <s v="3 LPA"/>
    <s v="Sourced"/>
    <s v="Portal-Naukri"/>
    <s v="23/01/2026"/>
    <s v="23/01/2026"/>
    <m/>
    <m/>
    <m/>
    <m/>
    <m/>
    <m/>
    <m/>
    <m/>
    <m/>
    <m/>
    <m/>
    <m/>
    <m/>
    <m/>
    <m/>
    <m/>
    <m/>
    <m/>
    <m/>
    <m/>
    <m/>
    <m/>
    <m/>
  </r>
  <r>
    <s v="A004"/>
    <s v="R005"/>
    <s v="Narthana"/>
    <s v="Talme"/>
    <s v="IT"/>
    <x v="7"/>
    <x v="4"/>
    <s v="Shriya Hanchinal"/>
    <s v="LWD 5 Feb 2026"/>
    <s v="shriyahanchinal99@gmail.com"/>
    <n v="9110818359"/>
    <s v="BCA"/>
    <x v="22"/>
    <s v="Infosys"/>
    <s v="4.32 LPA"/>
    <s v="Bengaluru"/>
    <s v="Bangaluru"/>
    <s v="7.5 LPA"/>
    <s v="Sourced"/>
    <s v="Portal-Naukri"/>
    <s v="23/01/2026"/>
    <s v="23/01/2026"/>
    <m/>
    <m/>
    <m/>
    <m/>
    <m/>
    <m/>
    <m/>
    <m/>
    <m/>
    <m/>
    <m/>
    <m/>
    <m/>
    <m/>
    <m/>
    <m/>
    <m/>
    <m/>
    <m/>
    <m/>
    <m/>
    <m/>
    <m/>
  </r>
  <r>
    <s v="A004"/>
    <s v="R005"/>
    <s v="Narthana"/>
    <s v="Talme"/>
    <s v="IT"/>
    <x v="7"/>
    <x v="4"/>
    <s v="Rajkumar Singh"/>
    <s v="LWD 30 Jan 2026"/>
    <s v="rksvm.win@gmail.com"/>
    <n v="9036245818"/>
    <s v="MBA"/>
    <x v="25"/>
    <s v="Webstream India Pvt Ltd- "/>
    <s v="7.5 LPA"/>
    <s v="Bengaluru"/>
    <s v="Bangaluru"/>
    <s v="10.5 LPA"/>
    <s v="Sourced"/>
    <s v="Portal-Naukri"/>
    <s v="23/01/2026"/>
    <s v="23/01/2026"/>
    <m/>
    <m/>
    <m/>
    <m/>
    <m/>
    <m/>
    <m/>
    <m/>
    <m/>
    <m/>
    <m/>
    <m/>
    <m/>
    <m/>
    <m/>
    <m/>
    <m/>
    <m/>
    <m/>
    <m/>
    <m/>
    <m/>
    <m/>
  </r>
  <r>
    <s v="A004"/>
    <s v="R005"/>
    <s v="Narthana"/>
    <s v="Talme"/>
    <s v="IT"/>
    <x v="7"/>
    <x v="4"/>
    <s v="Dandu Siva Naga Varma"/>
    <s v="LWD  5 Nov  2025"/>
    <s v="DSNV.wintel@gmail.com"/>
    <n v="8142922732"/>
    <s v="B.Sc"/>
    <x v="20"/>
    <s v="Innoplix Software Private Limited"/>
    <s v="5.5 LPA"/>
    <s v="Andra Pradesh"/>
    <s v="Hyderabad"/>
    <s v="8.5 LPA"/>
    <s v="Sourced"/>
    <s v="Portal-Naukri"/>
    <s v="23/01/2026"/>
    <s v="23/01/2026"/>
    <m/>
    <m/>
    <m/>
    <m/>
    <m/>
    <m/>
    <m/>
    <m/>
    <m/>
    <m/>
    <m/>
    <m/>
    <m/>
    <m/>
    <m/>
    <m/>
    <m/>
    <m/>
    <m/>
    <m/>
    <m/>
    <m/>
    <m/>
  </r>
  <r>
    <s v="H009"/>
    <s v="R005"/>
    <s v="Narthana"/>
    <s v="Talme"/>
    <s v="IT"/>
    <x v="20"/>
    <x v="8"/>
    <s v="Nandarapu Devarajulu"/>
    <s v="LWD Sep 2025"/>
    <s v="devarajulu1000@gmail.com"/>
    <n v="7674987032"/>
    <s v="B.Sc"/>
    <x v="104"/>
    <s v="Satra Services &amp; Solution Pvt. Ltd."/>
    <s v="8.15 LPA"/>
    <s v="Bangalore"/>
    <s v="Mangalore"/>
    <s v="12 LPA"/>
    <s v="Sourced"/>
    <s v="Portal-Naukri"/>
    <s v="23/01/2026"/>
    <s v="23/01/2026"/>
    <m/>
    <m/>
    <m/>
    <m/>
    <m/>
    <m/>
    <m/>
    <m/>
    <m/>
    <m/>
    <m/>
    <m/>
    <m/>
    <m/>
    <m/>
    <m/>
    <m/>
    <m/>
    <m/>
    <m/>
    <m/>
    <m/>
    <m/>
  </r>
  <r>
    <s v="H009"/>
    <s v="R005"/>
    <s v="Narthana"/>
    <s v="Talme"/>
    <s v="IT"/>
    <x v="20"/>
    <x v="8"/>
    <s v="Pavithra"/>
    <s v="60 Days Neg(30 days)"/>
    <s v="pavithrakotian.1997@gmail.com"/>
    <n v="9731350835"/>
    <s v="B.E"/>
    <x v="105"/>
    <s v="Manipal Technology Limited"/>
    <s v="4.8 LPA"/>
    <s v="Udupi"/>
    <s v="Mangalore"/>
    <s v="9 LPA"/>
    <s v="Sourced"/>
    <s v="Portal-Naukri"/>
    <s v="23/01/2026"/>
    <s v="23/01/2026"/>
    <m/>
    <m/>
    <m/>
    <m/>
    <m/>
    <m/>
    <m/>
    <m/>
    <m/>
    <m/>
    <m/>
    <m/>
    <m/>
    <m/>
    <m/>
    <m/>
    <m/>
    <m/>
    <m/>
    <m/>
    <m/>
    <m/>
    <m/>
  </r>
  <r>
    <s v="H009"/>
    <s v="R005"/>
    <s v="Narthana"/>
    <s v="Talme"/>
    <s v="IT"/>
    <x v="20"/>
    <x v="8"/>
    <s v="Sunil Shetty"/>
    <s v="45 Days"/>
    <s v="sunilsshetty21@gmail.com"/>
    <n v="7019865533"/>
    <s v="B.Sc"/>
    <x v="7"/>
    <s v="Infosys"/>
    <s v="6.2  LPA"/>
    <s v="Udupi"/>
    <s v="Mangalore"/>
    <s v="9 LPA"/>
    <s v="Sourced"/>
    <s v="Portal-Naukri"/>
    <s v="23/01/2026"/>
    <s v="23/01/2026"/>
    <m/>
    <m/>
    <m/>
    <m/>
    <m/>
    <m/>
    <m/>
    <m/>
    <m/>
    <m/>
    <m/>
    <m/>
    <m/>
    <m/>
    <m/>
    <m/>
    <m/>
    <m/>
    <m/>
    <m/>
    <m/>
    <m/>
    <m/>
  </r>
  <r>
    <s v="H004"/>
    <s v="R002"/>
    <s v="Harshitha"/>
    <s v="Talme"/>
    <s v="IT"/>
    <x v="14"/>
    <x v="5"/>
    <s v="Kunal"/>
    <s v="Immediate"/>
    <s v="kunal249prasad@gmail.com"/>
    <n v="9572712542"/>
    <m/>
    <x v="20"/>
    <s v="Innova Solutions"/>
    <s v="35 LPA"/>
    <s v="Bengaluru"/>
    <s v="Bengaluru"/>
    <s v="45 LPA"/>
    <s v="Sourced"/>
    <s v="Portal-Naukri"/>
    <s v="23/01/2026"/>
    <s v="23/01/2026"/>
    <m/>
    <m/>
    <m/>
    <m/>
    <m/>
    <m/>
    <m/>
    <m/>
    <m/>
    <m/>
    <m/>
    <m/>
    <m/>
    <m/>
    <m/>
    <m/>
    <m/>
    <m/>
    <m/>
    <m/>
    <m/>
    <m/>
    <m/>
  </r>
  <r>
    <s v="H004"/>
    <s v="R002"/>
    <s v="Harshitha"/>
    <s v="Talme"/>
    <s v="IT"/>
    <x v="14"/>
    <x v="5"/>
    <s v="Ashutosh Kumar"/>
    <s v="60 days ( On bench )"/>
    <s v="ashutoshrex@gmail.com"/>
    <n v="7903362293"/>
    <m/>
    <x v="21"/>
    <s v=" Publicis Sapient "/>
    <s v="31 LPA"/>
    <s v="Bengaluru"/>
    <s v="Bengaluru"/>
    <s v="42 LPA"/>
    <s v="Sourced"/>
    <s v="Portal-Naukri"/>
    <s v="23/01/2026"/>
    <s v="23/01/2026"/>
    <m/>
    <m/>
    <m/>
    <m/>
    <m/>
    <m/>
    <m/>
    <m/>
    <m/>
    <m/>
    <m/>
    <m/>
    <m/>
    <m/>
    <m/>
    <m/>
    <m/>
    <m/>
    <m/>
    <m/>
    <m/>
    <m/>
    <m/>
  </r>
  <r>
    <s v="H004"/>
    <s v="R002"/>
    <s v="Harshitha"/>
    <s v="Talme"/>
    <s v="IT"/>
    <x v="14"/>
    <x v="5"/>
    <s v="Mahesh G"/>
    <s v="Immediate"/>
    <s v="mahesh.datasolutions@gmail.com"/>
    <n v="9035495665"/>
    <m/>
    <x v="18"/>
    <s v="Visionet Systems "/>
    <s v="32 LPA"/>
    <s v="Bengaluru"/>
    <s v="Bengaluru"/>
    <s v="45 LPA"/>
    <s v="Sourced"/>
    <s v="Portal-Naukri"/>
    <s v="23/01/2026"/>
    <s v="23/01/2026"/>
    <m/>
    <m/>
    <m/>
    <m/>
    <m/>
    <m/>
    <m/>
    <m/>
    <m/>
    <m/>
    <m/>
    <m/>
    <m/>
    <m/>
    <m/>
    <m/>
    <m/>
    <m/>
    <m/>
    <m/>
    <m/>
    <m/>
    <m/>
  </r>
  <r>
    <s v="H004"/>
    <s v="R001"/>
    <s v="Harish"/>
    <s v="Talme"/>
    <s v="IT"/>
    <x v="14"/>
    <x v="5"/>
    <s v="Kushal Sen"/>
    <s v="Immediate"/>
    <s v="ksenlaskar.in@gmail.com"/>
    <n v="9449477994"/>
    <m/>
    <x v="15"/>
    <s v="Tiger Analytics"/>
    <s v="40 LPA"/>
    <s v="Bengaluru"/>
    <s v="Bengaluru"/>
    <s v="As per the company standars"/>
    <s v="Tech 1 to be Scheduled"/>
    <s v="Portal-Naukri"/>
    <s v="23/01/2026"/>
    <s v="23/01/2026"/>
    <m/>
    <m/>
    <m/>
    <m/>
    <m/>
    <m/>
    <m/>
    <m/>
    <m/>
    <m/>
    <m/>
    <m/>
    <m/>
    <m/>
    <m/>
    <m/>
    <m/>
    <m/>
    <m/>
    <m/>
    <m/>
    <m/>
    <m/>
  </r>
  <r>
    <s v="H004"/>
    <s v="R001"/>
    <s v="Harish"/>
    <s v="Talme"/>
    <s v="IT"/>
    <x v="14"/>
    <x v="5"/>
    <s v="Niranjan"/>
    <s v="LWD: 06-02-2026"/>
    <s v="nannanavar@gmail.com"/>
    <n v="9480750606"/>
    <m/>
    <x v="106"/>
    <s v="Infogain"/>
    <s v="33.5 LPA"/>
    <s v="Bengaluru"/>
    <s v="Bengaluru"/>
    <s v="45 LPA"/>
    <s v="Tech 1 to be Scheduled"/>
    <s v="Portal-Naukri"/>
    <s v="23/01/2026"/>
    <s v="23/01/2026"/>
    <m/>
    <m/>
    <m/>
    <m/>
    <m/>
    <m/>
    <m/>
    <m/>
    <m/>
    <m/>
    <m/>
    <m/>
    <m/>
    <m/>
    <m/>
    <m/>
    <m/>
    <m/>
    <m/>
    <m/>
    <m/>
    <m/>
    <m/>
  </r>
  <r>
    <s v="H004"/>
    <s v="R001"/>
    <s v="Harish"/>
    <s v="Talme"/>
    <s v="IT"/>
    <x v="14"/>
    <x v="5"/>
    <s v="Sudhakar"/>
    <s v="30 Days"/>
    <s v="ssr6691@gmail.com"/>
    <n v="9066403771"/>
    <m/>
    <x v="32"/>
    <s v="Zeiss Group "/>
    <s v="39 LPA"/>
    <s v="Bengaluru"/>
    <s v="Bengaluru"/>
    <s v="As per the company standards"/>
    <s v="Screening Reject by Client"/>
    <s v="Portal-Naukri"/>
    <s v="23/01/2026"/>
    <s v="23/01/2026"/>
    <m/>
    <m/>
    <m/>
    <m/>
    <m/>
    <m/>
    <m/>
    <m/>
    <m/>
    <m/>
    <m/>
    <m/>
    <m/>
    <m/>
    <m/>
    <m/>
    <m/>
    <m/>
    <m/>
    <m/>
    <m/>
    <m/>
    <m/>
  </r>
  <r>
    <s v="H009"/>
    <s v="R001"/>
    <s v="Harish"/>
    <s v="Talme"/>
    <s v="IT"/>
    <x v="20"/>
    <x v="8"/>
    <s v="Maheshwari"/>
    <s v="Immediate Joiner"/>
    <s v="mahesfxit@gmail.com"/>
    <n v="8973261436"/>
    <s v="B.Tech"/>
    <x v="21"/>
    <s v="Data Software research company"/>
    <s v="12 LPA"/>
    <s v="Mangalore"/>
    <s v="Mangalore"/>
    <s v="20% Hike (Negotibale)"/>
    <s v="Tech 1 to be Scheduled"/>
    <s v="Portal-Naukri"/>
    <s v="23/01/2026"/>
    <s v="23/01/2026"/>
    <m/>
    <m/>
    <m/>
    <m/>
    <m/>
    <m/>
    <m/>
    <m/>
    <m/>
    <m/>
    <m/>
    <m/>
    <m/>
    <m/>
    <m/>
    <m/>
    <m/>
    <m/>
    <m/>
    <m/>
    <m/>
    <m/>
    <m/>
  </r>
  <r>
    <s v="H009"/>
    <s v="R001"/>
    <s v="Harish"/>
    <s v="Talme"/>
    <s v="IT"/>
    <x v="20"/>
    <x v="8"/>
    <s v="Vinu Nair"/>
    <s v="Immediate Joiner"/>
    <s v="vinunairuthaman@gmail.com"/>
    <n v="9901723443"/>
    <s v="MCA"/>
    <x v="22"/>
    <s v="Infologics"/>
    <s v="5.4 LPA"/>
    <s v="Mangalore"/>
    <s v="Mangalore"/>
    <s v="9 LPA"/>
    <s v="Tech 1 to be Scheduled"/>
    <s v="Portal-Naukri"/>
    <s v="23/01/2026"/>
    <s v="23/01/2026"/>
    <m/>
    <m/>
    <m/>
    <m/>
    <m/>
    <m/>
    <m/>
    <m/>
    <m/>
    <m/>
    <m/>
    <m/>
    <m/>
    <m/>
    <m/>
    <m/>
    <m/>
    <m/>
    <m/>
    <m/>
    <m/>
    <m/>
    <m/>
  </r>
  <r>
    <s v="H009"/>
    <s v="R001"/>
    <s v="Harish"/>
    <s v="Talme"/>
    <s v="IT"/>
    <x v="20"/>
    <x v="8"/>
    <s v="Ninad Bhaskar"/>
    <s v="30 Days"/>
    <s v="raininad@gmail.com"/>
    <n v="9972311546"/>
    <s v="MBA"/>
    <x v="7"/>
    <s v="EGDK"/>
    <s v="10 LPA"/>
    <s v="Mangalore"/>
    <s v="Mangalore"/>
    <s v="20% Hike (Negotibale)"/>
    <s v="Tech 1 to be Scheduled"/>
    <s v="Portal-Naukri"/>
    <s v="23/01/2026"/>
    <s v="23/01/2026"/>
    <m/>
    <m/>
    <m/>
    <m/>
    <m/>
    <m/>
    <m/>
    <m/>
    <m/>
    <m/>
    <m/>
    <m/>
    <m/>
    <m/>
    <m/>
    <m/>
    <m/>
    <m/>
    <m/>
    <m/>
    <m/>
    <m/>
    <m/>
  </r>
  <r>
    <s v="H009"/>
    <s v="R001"/>
    <s v="Harish"/>
    <s v="Talme"/>
    <s v="IT"/>
    <x v="20"/>
    <x v="8"/>
    <s v="Abhishek Nayak"/>
    <s v="45 Days (Buyout option is available)"/>
    <s v="nayakabhishek55@gmail.com"/>
    <n v="8971152062"/>
    <s v="B.Tech"/>
    <x v="107"/>
    <s v="EGDK"/>
    <s v="10 LPA"/>
    <s v="Mangalore"/>
    <s v="Mangalore"/>
    <s v="20% Hike (Negotibale)"/>
    <s v="Tech 1 to be Scheduled"/>
    <s v="Portal-Naukri"/>
    <s v="23/01/2026"/>
    <s v="23/01/2026"/>
    <m/>
    <m/>
    <m/>
    <m/>
    <m/>
    <m/>
    <m/>
    <m/>
    <m/>
    <m/>
    <m/>
    <m/>
    <m/>
    <m/>
    <m/>
    <m/>
    <m/>
    <m/>
    <m/>
    <m/>
    <m/>
    <m/>
    <m/>
  </r>
  <r>
    <s v="H009"/>
    <s v="R001"/>
    <s v="Harish"/>
    <s v="Talme"/>
    <s v="IT"/>
    <x v="20"/>
    <x v="8"/>
    <s v="Deeksha"/>
    <s v="30 Days"/>
    <s v="deekshas934@gmail.com"/>
    <n v="9535979478"/>
    <s v="B.E"/>
    <x v="72"/>
    <s v="Bix Bytes Solution"/>
    <s v="5.5 LPA"/>
    <s v="Mangalore"/>
    <s v="Mangalore"/>
    <s v="9 LPA"/>
    <s v="Tech 1 to be Scheduled"/>
    <s v="Portal-Naukri"/>
    <s v="23/01/2026"/>
    <s v="23/01/2026"/>
    <m/>
    <m/>
    <m/>
    <m/>
    <m/>
    <m/>
    <m/>
    <m/>
    <m/>
    <m/>
    <m/>
    <m/>
    <m/>
    <m/>
    <m/>
    <m/>
    <m/>
    <m/>
    <m/>
    <m/>
    <m/>
    <m/>
    <m/>
  </r>
  <r>
    <s v="H005"/>
    <s v="R001"/>
    <s v="Harish"/>
    <s v="Talme"/>
    <s v="IT"/>
    <x v="17"/>
    <x v="4"/>
    <s v="Nagendra"/>
    <s v="30 Days (Negotiable)"/>
    <s v="mnagendra1892@gmail.com"/>
    <n v="9705631269"/>
    <s v="MCA"/>
    <x v="26"/>
    <s v="Prodeco Technologies"/>
    <m/>
    <s v="Hyderabad"/>
    <s v="Bangalore"/>
    <m/>
    <s v="Tech 1 to be Scheduled"/>
    <s v="Portal-Naukri"/>
    <s v="23/01/2026"/>
    <s v="23/01/2026"/>
    <m/>
    <m/>
    <m/>
    <m/>
    <m/>
    <m/>
    <m/>
    <m/>
    <m/>
    <m/>
    <m/>
    <m/>
    <m/>
    <m/>
    <m/>
    <m/>
    <m/>
    <m/>
    <m/>
    <m/>
    <m/>
    <m/>
    <m/>
  </r>
  <r>
    <s v="H005"/>
    <s v="R001"/>
    <s v="Harish"/>
    <s v="Talme"/>
    <s v="IT"/>
    <x v="17"/>
    <x v="4"/>
    <s v="Adarsh"/>
    <s v="30 Days"/>
    <s v="aadarshsingh0105@gmail.com"/>
    <n v="8292471853"/>
    <s v="B.Tech"/>
    <x v="108"/>
    <s v="Agnito Technologies"/>
    <m/>
    <s v="Bhopal"/>
    <s v="Bangalore"/>
    <m/>
    <s v="Tech 1 to be Scheduled"/>
    <s v="Portal-Naukri"/>
    <s v="23/01/2026"/>
    <s v="23/01/2026"/>
    <m/>
    <m/>
    <m/>
    <m/>
    <m/>
    <m/>
    <m/>
    <m/>
    <m/>
    <m/>
    <m/>
    <m/>
    <m/>
    <m/>
    <m/>
    <m/>
    <m/>
    <m/>
    <m/>
    <m/>
    <m/>
    <m/>
    <m/>
  </r>
  <r>
    <s v="H005"/>
    <s v="R001"/>
    <s v="Harish"/>
    <s v="Talme"/>
    <s v="IT"/>
    <x v="17"/>
    <x v="4"/>
    <s v="Mani Bharathi"/>
    <s v="LWD: 07-2-26"/>
    <s v="manibharathipalani@gmail.com"/>
    <n v="9080051086"/>
    <s v="B.E"/>
    <x v="77"/>
    <s v="Cognizant"/>
    <m/>
    <s v="Chennai"/>
    <s v="Bangalore"/>
    <m/>
    <s v="Tech 1 to be Scheduled"/>
    <s v="Portal-Naukri"/>
    <s v="23/01/2026"/>
    <s v="23/01/2026"/>
    <m/>
    <m/>
    <m/>
    <m/>
    <m/>
    <m/>
    <m/>
    <m/>
    <m/>
    <m/>
    <m/>
    <m/>
    <m/>
    <m/>
    <m/>
    <m/>
    <m/>
    <m/>
    <m/>
    <m/>
    <m/>
    <m/>
    <m/>
  </r>
  <r>
    <s v="H005"/>
    <s v="R001"/>
    <s v="Harish"/>
    <s v="Talme"/>
    <s v="IT"/>
    <x v="17"/>
    <x v="4"/>
    <s v="Arun Deepak"/>
    <s v="Immediate Joiner"/>
    <s v="arundeepak23cse@gmail.com"/>
    <n v="8778090614"/>
    <s v="B.E"/>
    <x v="108"/>
    <s v="Helyxon Healthcare Solutions"/>
    <m/>
    <s v="Tamil Nadu"/>
    <s v="Bangalore"/>
    <m/>
    <s v="Tech 1 to be Scheduled"/>
    <s v="Portal-Naukri"/>
    <s v="23/01/2026"/>
    <s v="23/01/2026"/>
    <m/>
    <m/>
    <m/>
    <m/>
    <m/>
    <m/>
    <m/>
    <m/>
    <m/>
    <m/>
    <m/>
    <m/>
    <m/>
    <m/>
    <m/>
    <m/>
    <m/>
    <m/>
    <m/>
    <m/>
    <m/>
    <m/>
    <m/>
  </r>
  <r>
    <s v="H005"/>
    <s v="R001"/>
    <s v="Harish"/>
    <s v="Talme"/>
    <s v="IT"/>
    <x v="17"/>
    <x v="4"/>
    <s v="Manoj Kumar"/>
    <s v="30 Days"/>
    <s v=" manojkumar22.devraj@gmail.com"/>
    <n v="9066229144"/>
    <s v="B.Tech"/>
    <x v="107"/>
    <s v="Scientific Games"/>
    <m/>
    <s v="Bangalore"/>
    <s v="Bangalore"/>
    <m/>
    <s v="Tech 1 to be Scheduled"/>
    <s v="Portal-Naukri"/>
    <s v="23/01/2026"/>
    <s v="23/01/2026"/>
    <m/>
    <m/>
    <m/>
    <m/>
    <m/>
    <m/>
    <m/>
    <m/>
    <m/>
    <m/>
    <m/>
    <m/>
    <m/>
    <m/>
    <m/>
    <m/>
    <m/>
    <m/>
    <m/>
    <m/>
    <m/>
    <m/>
    <m/>
  </r>
  <r>
    <s v="H009"/>
    <s v="R004"/>
    <s v="Pooja"/>
    <s v="Talme"/>
    <s v="IT"/>
    <x v="20"/>
    <x v="8"/>
    <s v="Rameesh Mon M"/>
    <s v=" 30 Days"/>
    <s v="rameesh333221@gmail.com"/>
    <n v="7403317365"/>
    <s v=" ECE"/>
    <x v="68"/>
    <s v=" EG India"/>
    <s v=" 8 LPA"/>
    <s v=" Manglore"/>
    <s v="Manglore"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s v=""/>
    <s v=""/>
    <s v=""/>
    <x v="24"/>
    <x v="11"/>
    <m/>
    <m/>
    <m/>
    <s v=" 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s v=""/>
    <s v=""/>
    <s v=""/>
    <x v="24"/>
    <x v="11"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s v=""/>
    <s v=""/>
    <s v=""/>
    <x v="24"/>
    <x v="11"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s v=""/>
    <s v=""/>
    <s v=""/>
    <x v="24"/>
    <x v="11"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s v=""/>
    <s v=""/>
    <s v=""/>
    <x v="24"/>
    <x v="11"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s v=""/>
    <s v=""/>
    <s v=""/>
    <x v="24"/>
    <x v="11"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s v=""/>
    <s v=""/>
    <s v=""/>
    <x v="24"/>
    <x v="11"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s v=""/>
    <s v=""/>
    <s v=""/>
    <x v="24"/>
    <x v="11"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s v=""/>
    <s v=""/>
    <s v=""/>
    <x v="24"/>
    <x v="11"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s v=""/>
    <s v=""/>
    <s v=""/>
    <x v="24"/>
    <x v="11"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s v=""/>
    <s v=""/>
    <s v=""/>
    <x v="24"/>
    <x v="11"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s v=""/>
    <s v=""/>
    <s v=""/>
    <x v="24"/>
    <x v="11"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s v=""/>
    <s v=""/>
    <s v=""/>
    <x v="24"/>
    <x v="11"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s v=""/>
    <s v=""/>
    <s v=""/>
    <x v="24"/>
    <x v="11"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s v=""/>
    <s v=""/>
    <s v=""/>
    <x v="24"/>
    <x v="11"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s v=""/>
    <s v=""/>
    <s v=""/>
    <x v="24"/>
    <x v="11"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s v=""/>
    <s v=""/>
    <s v=""/>
    <x v="24"/>
    <x v="11"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s v=""/>
    <s v=""/>
    <s v=""/>
    <x v="24"/>
    <x v="11"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s v=""/>
    <s v=""/>
    <s v=""/>
    <x v="24"/>
    <x v="11"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s v=""/>
    <s v=""/>
    <s v=""/>
    <x v="24"/>
    <x v="11"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s v=""/>
    <s v=""/>
    <s v=""/>
    <x v="24"/>
    <x v="11"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s v=""/>
    <s v=""/>
    <s v=""/>
    <x v="24"/>
    <x v="11"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s v=""/>
    <s v=""/>
    <s v=""/>
    <x v="24"/>
    <x v="11"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s v=""/>
    <s v=""/>
    <s v=""/>
    <x v="24"/>
    <x v="11"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B3BB09-C5D7-234E-9C03-BC2335F1B535}" name="PivotTable1" cacheId="2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181" firstHeaderRow="1" firstDataRow="1" firstDataCol="2"/>
  <pivotFields count="4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13">
        <item x="11"/>
        <item x="2"/>
        <item x="4"/>
        <item x="7"/>
        <item x="0"/>
        <item x="9"/>
        <item x="3"/>
        <item x="1"/>
        <item x="10"/>
        <item x="8"/>
        <item x="6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110">
        <item x="0"/>
        <item x="2"/>
        <item x="4"/>
        <item x="3"/>
        <item x="5"/>
        <item x="75"/>
        <item x="100"/>
        <item x="76"/>
        <item x="66"/>
        <item x="45"/>
        <item x="62"/>
        <item x="91"/>
        <item x="59"/>
        <item x="35"/>
        <item x="68"/>
        <item x="70"/>
        <item x="48"/>
        <item x="46"/>
        <item x="69"/>
        <item x="67"/>
        <item x="55"/>
        <item x="64"/>
        <item x="53"/>
        <item x="74"/>
        <item x="33"/>
        <item x="40"/>
        <item x="102"/>
        <item x="8"/>
        <item x="95"/>
        <item x="92"/>
        <item x="6"/>
        <item x="34"/>
        <item x="94"/>
        <item x="87"/>
        <item x="82"/>
        <item x="93"/>
        <item x="27"/>
        <item x="16"/>
        <item x="31"/>
        <item x="30"/>
        <item x="54"/>
        <item x="17"/>
        <item x="61"/>
        <item x="38"/>
        <item x="106"/>
        <item x="29"/>
        <item x="32"/>
        <item x="98"/>
        <item x="99"/>
        <item x="15"/>
        <item x="28"/>
        <item x="88"/>
        <item x="9"/>
        <item x="13"/>
        <item x="85"/>
        <item x="83"/>
        <item x="103"/>
        <item x="81"/>
        <item x="96"/>
        <item x="14"/>
        <item x="89"/>
        <item x="108"/>
        <item x="79"/>
        <item x="78"/>
        <item x="11"/>
        <item x="7"/>
        <item x="12"/>
        <item x="86"/>
        <item x="72"/>
        <item x="71"/>
        <item x="77"/>
        <item x="73"/>
        <item x="107"/>
        <item x="47"/>
        <item x="22"/>
        <item x="60"/>
        <item x="97"/>
        <item x="51"/>
        <item x="26"/>
        <item x="24"/>
        <item x="19"/>
        <item x="104"/>
        <item x="50"/>
        <item x="101"/>
        <item x="10"/>
        <item x="80"/>
        <item x="90"/>
        <item x="56"/>
        <item x="20"/>
        <item x="42"/>
        <item x="105"/>
        <item x="36"/>
        <item x="52"/>
        <item x="43"/>
        <item x="37"/>
        <item x="23"/>
        <item x="57"/>
        <item x="21"/>
        <item x="58"/>
        <item x="39"/>
        <item x="49"/>
        <item x="65"/>
        <item x="44"/>
        <item x="18"/>
        <item x="25"/>
        <item x="84"/>
        <item x="41"/>
        <item x="6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6"/>
    <field x="12"/>
  </rowFields>
  <rowItems count="179">
    <i>
      <x/>
      <x v="108"/>
    </i>
    <i t="default">
      <x/>
    </i>
    <i>
      <x v="1"/>
      <x v="108"/>
    </i>
    <i r="1">
      <x v="20"/>
    </i>
    <i r="1">
      <x v="17"/>
    </i>
    <i r="1">
      <x v="24"/>
    </i>
    <i r="1">
      <x v="106"/>
    </i>
    <i r="1">
      <x v="97"/>
    </i>
    <i r="1">
      <x v="73"/>
    </i>
    <i r="1">
      <x v="65"/>
    </i>
    <i r="1">
      <x v="8"/>
    </i>
    <i r="1">
      <x v="86"/>
    </i>
    <i r="1">
      <x v="25"/>
    </i>
    <i r="1">
      <x v="104"/>
    </i>
    <i r="1">
      <x v="103"/>
    </i>
    <i r="1">
      <x v="22"/>
    </i>
    <i r="1">
      <x v="10"/>
    </i>
    <i r="1">
      <x v="93"/>
    </i>
    <i r="1">
      <x v="7"/>
    </i>
    <i r="1">
      <x v="83"/>
    </i>
    <i r="1">
      <x v="30"/>
    </i>
    <i r="1">
      <x v="88"/>
    </i>
    <i r="1">
      <x v="31"/>
    </i>
    <i r="1">
      <x v="23"/>
    </i>
    <i r="1">
      <x v="34"/>
    </i>
    <i r="1">
      <x v="74"/>
    </i>
    <i r="1">
      <x v="36"/>
    </i>
    <i r="1">
      <x v="85"/>
    </i>
    <i r="1">
      <x v="6"/>
    </i>
    <i r="1">
      <x v="87"/>
    </i>
    <i r="1">
      <x v="102"/>
    </i>
    <i r="1">
      <x v="89"/>
    </i>
    <i r="1">
      <x v="19"/>
    </i>
    <i r="1">
      <x v="94"/>
    </i>
    <i r="1">
      <x v="57"/>
    </i>
    <i r="1">
      <x v="98"/>
    </i>
    <i r="1">
      <x v="16"/>
    </i>
    <i r="1">
      <x v="21"/>
    </i>
    <i r="1">
      <x v="5"/>
    </i>
    <i r="1">
      <x v="12"/>
    </i>
    <i r="1">
      <x v="56"/>
    </i>
    <i r="1">
      <x v="37"/>
    </i>
    <i r="1">
      <x v="52"/>
    </i>
    <i t="default">
      <x v="1"/>
    </i>
    <i>
      <x v="2"/>
      <x v="74"/>
    </i>
    <i r="1">
      <x v="88"/>
    </i>
    <i r="1">
      <x v="97"/>
    </i>
    <i r="1">
      <x v="104"/>
    </i>
    <i r="1">
      <x v="42"/>
    </i>
    <i r="1">
      <x v="49"/>
    </i>
    <i r="1">
      <x v="99"/>
    </i>
    <i r="1">
      <x v="79"/>
    </i>
    <i r="1">
      <x v="95"/>
    </i>
    <i r="1">
      <x v="37"/>
    </i>
    <i r="1">
      <x v="68"/>
    </i>
    <i r="1">
      <x v="78"/>
    </i>
    <i r="1">
      <x v="96"/>
    </i>
    <i r="1">
      <x v="80"/>
    </i>
    <i r="1">
      <x v="46"/>
    </i>
    <i r="1">
      <x v="91"/>
    </i>
    <i r="1">
      <x v="61"/>
    </i>
    <i r="1">
      <x v="65"/>
    </i>
    <i r="1">
      <x v="14"/>
    </i>
    <i r="1">
      <x v="69"/>
    </i>
    <i r="1">
      <x v="103"/>
    </i>
    <i r="1">
      <x v="70"/>
    </i>
    <i r="1">
      <x v="71"/>
    </i>
    <i r="1">
      <x v="10"/>
    </i>
    <i r="1">
      <x v="76"/>
    </i>
    <i r="1">
      <x v="15"/>
    </i>
    <i r="1">
      <x v="48"/>
    </i>
    <i r="1">
      <x v="50"/>
    </i>
    <i r="1">
      <x v="101"/>
    </i>
    <i r="1">
      <x v="41"/>
    </i>
    <i r="1">
      <x v="77"/>
    </i>
    <i r="1">
      <x v="18"/>
    </i>
    <i r="1">
      <x v="107"/>
    </i>
    <i r="1">
      <x v="82"/>
    </i>
    <i r="1">
      <x v="100"/>
    </i>
    <i r="1">
      <x v="45"/>
    </i>
    <i r="1">
      <x v="75"/>
    </i>
    <i r="1">
      <x v="36"/>
    </i>
    <i r="1">
      <x v="105"/>
    </i>
    <i r="1">
      <x v="94"/>
    </i>
    <i r="1">
      <x v="47"/>
    </i>
    <i r="1">
      <x v="72"/>
    </i>
    <i t="default">
      <x v="2"/>
    </i>
    <i>
      <x v="3"/>
      <x v="88"/>
    </i>
    <i t="default">
      <x v="3"/>
    </i>
    <i>
      <x v="4"/>
      <x v="108"/>
    </i>
    <i r="1">
      <x v="4"/>
    </i>
    <i r="1">
      <x v="103"/>
    </i>
    <i r="1">
      <x v="92"/>
    </i>
    <i r="1">
      <x v="88"/>
    </i>
    <i r="1">
      <x v="3"/>
    </i>
    <i r="1">
      <x v="99"/>
    </i>
    <i r="1">
      <x v="104"/>
    </i>
    <i r="1">
      <x v="2"/>
    </i>
    <i r="1">
      <x v="1"/>
    </i>
    <i r="1">
      <x/>
    </i>
    <i r="1">
      <x v="43"/>
    </i>
    <i t="default">
      <x v="4"/>
    </i>
    <i>
      <x v="5"/>
      <x v="104"/>
    </i>
    <i r="1">
      <x v="46"/>
    </i>
    <i t="default">
      <x v="5"/>
    </i>
    <i>
      <x v="6"/>
      <x v="108"/>
    </i>
    <i r="1">
      <x v="52"/>
    </i>
    <i r="1">
      <x v="25"/>
    </i>
    <i r="1">
      <x v="30"/>
    </i>
    <i r="1">
      <x v="64"/>
    </i>
    <i r="1">
      <x v="58"/>
    </i>
    <i r="1">
      <x v="53"/>
    </i>
    <i r="1">
      <x v="26"/>
    </i>
    <i r="1">
      <x v="62"/>
    </i>
    <i r="1">
      <x v="27"/>
    </i>
    <i r="1">
      <x v="13"/>
    </i>
    <i r="1">
      <x v="28"/>
    </i>
    <i r="1">
      <x v="54"/>
    </i>
    <i r="1">
      <x v="29"/>
    </i>
    <i r="1">
      <x v="59"/>
    </i>
    <i r="1">
      <x v="66"/>
    </i>
    <i r="1">
      <x v="63"/>
    </i>
    <i r="1">
      <x v="84"/>
    </i>
    <i r="1">
      <x v="7"/>
    </i>
    <i r="1">
      <x v="11"/>
    </i>
    <i r="1">
      <x v="88"/>
    </i>
    <i r="1">
      <x v="32"/>
    </i>
    <i r="1">
      <x v="5"/>
    </i>
    <i r="1">
      <x v="35"/>
    </i>
    <i t="default">
      <x v="6"/>
    </i>
    <i>
      <x v="7"/>
      <x v="108"/>
    </i>
    <i r="1">
      <x v="30"/>
    </i>
    <i r="1">
      <x v="65"/>
    </i>
    <i t="default">
      <x v="7"/>
    </i>
    <i>
      <x v="8"/>
      <x v="51"/>
    </i>
    <i r="1">
      <x v="60"/>
    </i>
    <i r="1">
      <x v="57"/>
    </i>
    <i r="1">
      <x v="31"/>
    </i>
    <i r="1">
      <x v="24"/>
    </i>
    <i r="1">
      <x v="33"/>
    </i>
    <i t="default">
      <x v="8"/>
    </i>
    <i>
      <x v="9"/>
      <x v="65"/>
    </i>
    <i r="1">
      <x v="68"/>
    </i>
    <i r="1">
      <x v="80"/>
    </i>
    <i r="1">
      <x v="72"/>
    </i>
    <i r="1">
      <x v="90"/>
    </i>
    <i r="1">
      <x v="20"/>
    </i>
    <i r="1">
      <x v="74"/>
    </i>
    <i r="1">
      <x v="67"/>
    </i>
    <i r="1">
      <x v="81"/>
    </i>
    <i r="1">
      <x v="97"/>
    </i>
    <i r="1">
      <x v="46"/>
    </i>
    <i r="1">
      <x v="14"/>
    </i>
    <i r="1">
      <x v="70"/>
    </i>
    <i t="default">
      <x v="9"/>
    </i>
    <i>
      <x v="10"/>
      <x v="106"/>
    </i>
    <i r="1">
      <x v="108"/>
    </i>
    <i r="1">
      <x v="25"/>
    </i>
    <i t="default">
      <x v="10"/>
    </i>
    <i>
      <x v="11"/>
      <x v="49"/>
    </i>
    <i r="1">
      <x v="46"/>
    </i>
    <i r="1">
      <x v="20"/>
    </i>
    <i r="1">
      <x v="9"/>
    </i>
    <i r="1">
      <x v="71"/>
    </i>
    <i r="1">
      <x v="97"/>
    </i>
    <i r="1">
      <x v="88"/>
    </i>
    <i r="1">
      <x v="40"/>
    </i>
    <i r="1">
      <x v="39"/>
    </i>
    <i r="1">
      <x v="44"/>
    </i>
    <i r="1">
      <x v="74"/>
    </i>
    <i r="1">
      <x v="22"/>
    </i>
    <i r="1">
      <x v="92"/>
    </i>
    <i r="1">
      <x v="103"/>
    </i>
    <i r="1">
      <x v="102"/>
    </i>
    <i r="1">
      <x v="38"/>
    </i>
    <i r="1">
      <x v="65"/>
    </i>
    <i r="1">
      <x v="55"/>
    </i>
    <i t="default">
      <x v="11"/>
    </i>
    <i t="grand">
      <x/>
    </i>
  </rowItems>
  <colItems count="1">
    <i/>
  </colItems>
  <dataFields count="1">
    <dataField name="Count of Client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FA6E13-ACD0-844A-B533-101DCCC65C99}" name="PivotTable2" cacheId="2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28" firstHeaderRow="1" firstDataRow="1" firstDataCol="1"/>
  <pivotFields count="4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26">
        <item x="24"/>
        <item x="20"/>
        <item x="21"/>
        <item x="0"/>
        <item x="17"/>
        <item x="12"/>
        <item x="19"/>
        <item x="1"/>
        <item x="8"/>
        <item x="15"/>
        <item x="5"/>
        <item x="2"/>
        <item x="3"/>
        <item x="10"/>
        <item x="18"/>
        <item x="9"/>
        <item x="4"/>
        <item x="13"/>
        <item x="11"/>
        <item x="14"/>
        <item x="22"/>
        <item x="6"/>
        <item x="16"/>
        <item x="23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26">
    <i>
      <x v="24"/>
    </i>
    <i>
      <x v="16"/>
    </i>
    <i>
      <x v="22"/>
    </i>
    <i>
      <x v="18"/>
    </i>
    <i>
      <x v="4"/>
    </i>
    <i>
      <x v="21"/>
    </i>
    <i>
      <x v="3"/>
    </i>
    <i>
      <x v="12"/>
    </i>
    <i>
      <x v="13"/>
    </i>
    <i>
      <x v="1"/>
    </i>
    <i>
      <x v="19"/>
    </i>
    <i>
      <x v="7"/>
    </i>
    <i>
      <x v="5"/>
    </i>
    <i>
      <x v="8"/>
    </i>
    <i>
      <x v="14"/>
    </i>
    <i>
      <x v="10"/>
    </i>
    <i>
      <x v="9"/>
    </i>
    <i>
      <x v="11"/>
    </i>
    <i>
      <x v="2"/>
    </i>
    <i>
      <x v="23"/>
    </i>
    <i>
      <x v="6"/>
    </i>
    <i>
      <x v="15"/>
    </i>
    <i>
      <x v="20"/>
    </i>
    <i>
      <x v="17"/>
    </i>
    <i>
      <x/>
    </i>
    <i t="grand">
      <x/>
    </i>
  </rowItems>
  <colItems count="1">
    <i/>
  </colItems>
  <dataFields count="1">
    <dataField name="Count of Job 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7B6F4B-7211-0A49-ADB6-F50BB9023027}" name="PivotTable3" cacheId="2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B15" firstHeaderRow="1" firstDataRow="1" firstDataCol="1"/>
  <pivotFields count="4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13">
        <item x="11"/>
        <item x="2"/>
        <item x="4"/>
        <item x="7"/>
        <item x="0"/>
        <item x="9"/>
        <item x="3"/>
        <item x="1"/>
        <item x="10"/>
        <item x="8"/>
        <item x="6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13">
    <i>
      <x v="2"/>
    </i>
    <i>
      <x v="1"/>
    </i>
    <i>
      <x v="6"/>
    </i>
    <i>
      <x v="11"/>
    </i>
    <i>
      <x v="4"/>
    </i>
    <i>
      <x v="9"/>
    </i>
    <i>
      <x v="10"/>
    </i>
    <i>
      <x v="7"/>
    </i>
    <i>
      <x v="8"/>
    </i>
    <i>
      <x v="5"/>
    </i>
    <i>
      <x v="3"/>
    </i>
    <i>
      <x/>
    </i>
    <i t="grand">
      <x/>
    </i>
  </rowItems>
  <colItems count="1">
    <i/>
  </colItems>
  <dataFields count="1">
    <dataField name="Count of Job Id" fld="0" subtotal="count" baseField="0" baseItem="0"/>
  </dataFields>
  <chartFormats count="3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60B543-1641-48DE-8A75-9BBDD5B3A41C}" name="Table1" displayName="Table1" ref="AE1:AS397" totalsRowShown="0" headerRowDxfId="18" dataDxfId="17" headerRowBorderDxfId="15" tableBorderDxfId="16">
  <autoFilter ref="AE1:AS397" xr:uid="{D660B543-1641-48DE-8A75-9BBDD5B3A41C}"/>
  <tableColumns count="15">
    <tableColumn id="31" xr3:uid="{390E499E-B7FE-4674-8CCD-33D4868117AD}" name="Tech 2 Panel" dataDxfId="14"/>
    <tableColumn id="32" xr3:uid="{4EEF7654-50C2-4A7C-A126-A563EBAEEC7E}" name="Tech 3 date" dataDxfId="13"/>
    <tableColumn id="33" xr3:uid="{A6ABBE52-5299-4EA4-91E2-9072F45D6F3F}" name="Tech 3 Status" dataDxfId="12"/>
    <tableColumn id="34" xr3:uid="{DC4FA9F5-3676-452A-9BD9-D430E4403968}" name="Tech 3 Remarks" dataDxfId="11"/>
    <tableColumn id="35" xr3:uid="{436EEFB3-54A3-4D82-BA19-3A13164D80BF}" name="Tech 3 Panel" dataDxfId="10"/>
    <tableColumn id="36" xr3:uid="{BEE715A3-37A0-4AFD-A1C5-48F45537AD7F}" name="Offer Stage Input date" dataDxfId="9"/>
    <tableColumn id="37" xr3:uid="{D82B88EE-A58F-4174-86A5-239C278EEC4F}" name="Date of Document Collection" dataDxfId="8"/>
    <tableColumn id="38" xr3:uid="{05256582-E9F3-402D-93B9-5AF20F1C6296}" name="Date of Approval" dataDxfId="7"/>
    <tableColumn id="39" xr3:uid="{34DAC02E-86BF-4350-A870-F8C892D470B1}" name="Offer Date" dataDxfId="6"/>
    <tableColumn id="40" xr3:uid="{7FE526A0-E06E-4310-A6C6-3EA185E5328A}" name="Offer Status" dataDxfId="5"/>
    <tableColumn id="41" xr3:uid="{9915F1A6-747F-43A0-86C3-C42D28771535}" name="Date of Offer Accept/Reject" dataDxfId="4"/>
    <tableColumn id="1" xr3:uid="{CAD775C1-4510-48FC-9923-756759E35BD2}" name="Offer Accept Status" dataDxfId="3"/>
    <tableColumn id="2" xr3:uid="{62CA2523-ABED-4E68-8114-768DBA8D186B}" name="Date Of Joining" dataDxfId="2"/>
    <tableColumn id="3" xr3:uid="{495C6871-CDCA-4CFE-A2B1-FFB42156D854}" name="Joining Status" dataDxfId="1"/>
    <tableColumn id="4" xr3:uid="{84633DD3-D8DD-4B5E-90ED-EB70C44BF5D8}" name="CTC Offer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tufailalam8073@gmail.com" TargetMode="External"/><Relationship Id="rId21" Type="http://schemas.openxmlformats.org/officeDocument/2006/relationships/hyperlink" Target="mailto:narayansatyajr6@gmail.com" TargetMode="External"/><Relationship Id="rId324" Type="http://schemas.openxmlformats.org/officeDocument/2006/relationships/hyperlink" Target="mailto:pmpraveenkumar22@gmail.com" TargetMode="External"/><Relationship Id="rId531" Type="http://schemas.openxmlformats.org/officeDocument/2006/relationships/hyperlink" Target="https://resdex.naukri.com/v3/preview?tabKey=profile&amp;sid=8447051639&amp;paramString=8b485a994a0b1f7d419bf11cc53a6d4b13106&amp;hfFlowName=search&amp;commentSearchType=comment-my,comment-others&amp;totalResumes=62004&amp;hiringForFlowId=08a076013e4e964d08380a1e7173e662&amp;pFlow=SEARCH_ID&amp;pFlowId=08a076013e4e964d08380a1e7173e662&amp;tupleIndex=11&amp;storageKey=8447051639-1&amp;parentHighLightingKey=8447051639-1&amp;activeIn=7&amp;parentSid=8447051639&amp;sidGroupId=08a076013e4e964d08380a1e7173e662&amp;uresid=1bac26be89c9a9824d272e20ca0c9c46595e0158421308180202405f5a0c544e1a0e150402405c5a00554b110a186&amp;elasticType=es7&amp;uniqId=746e7f073c3247e4caa59cdd672d906c095a095919475f4302121750595c521f1a5a420a4249595508584d400044571052595a0e544f17001607165209094f6" TargetMode="External"/><Relationship Id="rId170" Type="http://schemas.openxmlformats.org/officeDocument/2006/relationships/hyperlink" Target="mailto:sunithasu2001@gmail.com" TargetMode="External"/><Relationship Id="rId268" Type="http://schemas.openxmlformats.org/officeDocument/2006/relationships/hyperlink" Target="https://resdex.naukri.com/v3/preview?tabKey=profile&amp;sid=8306555516&amp;paramString=8b485a994a0b1f7d419bf11cc53a6d4b13106&amp;hfFlowName=search&amp;commentSearchType=comment-my,comment-others&amp;totalResumes=1360&amp;hiringForFlowId=9250c4de4454a4b8e72cc990365a1006&amp;pFlow=SEARCH_ID&amp;pFlowId=9250c4de4454a4b8e72cc990365a1006&amp;tupleIndex=44&amp;storageKey=8306555516-1&amp;parentHighLightingKey=8306555516-1&amp;activeIn=7&amp;parentSid=8306555516&amp;sidGroupId=9250c4de4454a4b8e72cc990365a1006&amp;uresid=a23bcd3ad2f23d7aca6a4d1b587390ad5a5e0d53481a00160602405f5a09594a1409190202435c5a0c574e140a126&amp;elasticType=es7&amp;uniqId=c2145530327db71a728961e6e2057d3f0b5f585849100c170b12155c5900551b1a0c170a14425c5d080443160c10001052595a0e5142130e110b105209094f6" TargetMode="External"/><Relationship Id="rId475" Type="http://schemas.openxmlformats.org/officeDocument/2006/relationships/hyperlink" Target="https://resdex.naukri.com/v3/preview?tabKey=profile&amp;sid=8429554841&amp;paramString=8b485a994a0b1f7d419bf11cc53a6d4b13106&amp;hfFlowName=search&amp;commentSearchType=comment-my,comment-others&amp;totalResumes=13807&amp;hiringForFlowId=1827e49aba3fa90308a54aa7796f14c1&amp;pFlow=SEARCH_ID&amp;pFlowId=1827e49aba3fa90308a54aa7796f14c1&amp;tupleIndex=5&amp;storageKey=8429554841-1&amp;parentHighLightingKey=8429554841-1&amp;activeIn=7&amp;parentSid=8429554841&amp;sidGroupId=1827e49aba3fa90308a54aa7796f14c1&amp;uresid=b3fefa60bcc2ed3df413f00dfcf801f85b54095648160f141010465f5900554e170c17101441595b0b534c166&amp;elasticType=es7&amp;uniqId=4475aa6576b59e1802fde354842337725e555b534c415d440612120c5e00001b130e020216465c540d554e160f025245076" TargetMode="External"/><Relationship Id="rId32" Type="http://schemas.openxmlformats.org/officeDocument/2006/relationships/hyperlink" Target="mailto:chandanababu2003@gmail.com" TargetMode="External"/><Relationship Id="rId128" Type="http://schemas.openxmlformats.org/officeDocument/2006/relationships/hyperlink" Target="mailto:noelnitindsouza1998@gmail.com" TargetMode="External"/><Relationship Id="rId335" Type="http://schemas.openxmlformats.org/officeDocument/2006/relationships/hyperlink" Target="mailto:sailjagruti99@gmail.com" TargetMode="External"/><Relationship Id="rId542" Type="http://schemas.openxmlformats.org/officeDocument/2006/relationships/hyperlink" Target="mailto:gowthams2309@gmail.com" TargetMode="External"/><Relationship Id="rId181" Type="http://schemas.openxmlformats.org/officeDocument/2006/relationships/hyperlink" Target="mailto:venkatgurajala91@gmail.com" TargetMode="External"/><Relationship Id="rId402" Type="http://schemas.openxmlformats.org/officeDocument/2006/relationships/hyperlink" Target="mailto:sheikh.firmwaredeveloper@gmail.com" TargetMode="External"/><Relationship Id="rId279" Type="http://schemas.openxmlformats.org/officeDocument/2006/relationships/hyperlink" Target="mailto:msnehitha020@gmail.com" TargetMode="External"/><Relationship Id="rId486" Type="http://schemas.openxmlformats.org/officeDocument/2006/relationships/hyperlink" Target="mailto:abhi13kumaryadav@gmail.com" TargetMode="External"/><Relationship Id="rId43" Type="http://schemas.openxmlformats.org/officeDocument/2006/relationships/hyperlink" Target="mailto:phani3bhushan@gmail.com" TargetMode="External"/><Relationship Id="rId139" Type="http://schemas.openxmlformats.org/officeDocument/2006/relationships/hyperlink" Target="mailto:rohit0701yadav@gmail.com" TargetMode="External"/><Relationship Id="rId346" Type="http://schemas.openxmlformats.org/officeDocument/2006/relationships/hyperlink" Target="mailto:rohitchavan8558@gmail.com" TargetMode="External"/><Relationship Id="rId553" Type="http://schemas.openxmlformats.org/officeDocument/2006/relationships/hyperlink" Target="https://resdex.naukri.com/v3/preview?tabKey=profile&amp;sid=8447084663&amp;hfFlowName=simcv&amp;totalResumes=45&amp;pageUid=3d9023d50491293e65df4c42e0c2f66b595a08564b100b150302405f5a0c544f130912020240505f0f514d1700196&amp;hiringForFlowId=08a076013e4e964d08380a1e7173e662&amp;pFlow=SEARCH_ID&amp;pFlowId=08a076013e4e964d08380a1e7173e662&amp;tupleIndex=13&amp;storageKey=8447084663-1&amp;parentHighLightingKey=8447082391-1&amp;refineHighlightKey=8447084663&amp;activeIn=7&amp;parentSid=8447084663&amp;sidGroupId=08a076013e4e964d08380a1e7173e662&amp;principalUserId=182607498&amp;uresid=74d506c7ae76414a4eedb5d054387af8595a0f584c1301100102405f5a0c544f130914000240505509564b140e176&amp;parentActiveSimCvSource=collab&amp;parentSimCvCount=195&amp;parentContextSimCvCount=100&amp;parentSimCvSource=collab&amp;elasticType=es7&amp;simcvModelTag=it_68_v1_rerankedV0&amp;simCvSource=collab&amp;uniqId=8ff8cb48fd852b9b5badbee95d8a110c0a590c5642160c450447475c59015242410912034714505858584a470019071652595a0e544f16091106125209094f6&amp;parentSearchType=simcv" TargetMode="External"/><Relationship Id="rId192" Type="http://schemas.openxmlformats.org/officeDocument/2006/relationships/hyperlink" Target="mailto:prem.akkireddy0007@gmail.com" TargetMode="External"/><Relationship Id="rId206" Type="http://schemas.openxmlformats.org/officeDocument/2006/relationships/hyperlink" Target="mailto:shashankgowdanh10@gmail.com" TargetMode="External"/><Relationship Id="rId413" Type="http://schemas.openxmlformats.org/officeDocument/2006/relationships/hyperlink" Target="https://resdex.naukri.com/v3/preview?tabKey=profile&amp;sid=8407604453&amp;paramString=8b485a994a0b1f7d419bf11cc53a6d4b13106&amp;hfFlowName=search&amp;commentSearchType=comment-my,comment-others&amp;totalResumes=37544&amp;hiringForFlowId=d135352ac905eaea7f1581cfcd540f00&amp;pFlow=SEARCH_ID&amp;pFlowId=d135352ac905eaea7f1581cfcd540f00&amp;tupleIndex=0&amp;storageKey=8407604453-1&amp;parentHighLightingKey=8407604453-1&amp;activeIn=7&amp;parentSid=8407604453&amp;sidGroupId=d135352ac905eaea7f1581cfcd540f00&amp;uresid=7a85762ae35387af0e6edc2d03ff21a15a590e5842130d140502405f5a0d534f1000180a02435e5c0d584b1b09136&amp;elasticType=es7&amp;uniqId=6b729e9f1a09c157bed924ddae34c8965b5e0e564b170b130317425e595b02421a5b17031842095d01031b450143564552595a0e5548160a180a185209094f6" TargetMode="External"/><Relationship Id="rId497" Type="http://schemas.openxmlformats.org/officeDocument/2006/relationships/hyperlink" Target="https://resdex.naukri.com/v3/preview?tabKey=profile&amp;hfFlowName=contextcv&amp;totalResumes=100&amp;pageUid=1c865e1d6631471a181eb7a73a7b63da5e5e0c53481b01111010465f5809524b11011310164251590055481b6&amp;hiringForFlowId=e74fdbfdc16506c14be78b12db971c18&amp;pFlow=SEARCH_ID&amp;pFlowId=e74fdbfdc16506c14be78b12db971c18&amp;tupleIndex=3&amp;storageKey=1c865e1d6631471a181eb7a73a7b63da5e5e0c53481b01111010465f5809524b11011310164251590055481b6-1&amp;parentHighLightingKey=8432890221-1&amp;activeIn=3650&amp;parentSid=8432890221&amp;sidGroupId=e74fdbfdc16506c14be78b12db971c18&amp;principalUserId=73949428&amp;uresid=040a5ee853cd768a3d603b6c341c14f35b5f0956491608180302405f5a0c5149120b190a02425b5c0e584a1301196&amp;parentActiveSimCvSource=content&amp;parentSimCvCount=115&amp;parentContextSimCvCount=100&amp;parentSimCvSource=content&amp;elasticType=es7&amp;simcvModelTag=it_retV2_modelV2_spark_rerankedV0&amp;simCvSource=content&amp;uniqId=f024795ba4effa106b7c69ec401fa33b5f5a0d05181201190b47410d595c564c1a5d420615415c5f5d5243415d110b4252595a0e544a1008130b185209094f6&amp;parentSearchType=adv" TargetMode="External"/><Relationship Id="rId357" Type="http://schemas.openxmlformats.org/officeDocument/2006/relationships/hyperlink" Target="mailto:chellam8660738269@gmail.com" TargetMode="External"/><Relationship Id="rId54" Type="http://schemas.openxmlformats.org/officeDocument/2006/relationships/hyperlink" Target="mailto:subodh.m33@gmail.com" TargetMode="External"/><Relationship Id="rId217" Type="http://schemas.openxmlformats.org/officeDocument/2006/relationships/hyperlink" Target="https://resdex.naukri.com/v3/preview?tabKey=profile&amp;sid=8282538994&amp;paramString=8b485a994a0b1f7d419bf11cc53a6d4b13106&amp;hfFlowName=search&amp;commentSearchType=comment-my,comment-others&amp;totalResumes=57&amp;hiringForFlowId=5bcefa870fe0bd1eff20e1f521970243&amp;pFlow=SEARCH_ID&amp;pFlowId=5bcefa870fe0bd1eff20e1f521970243&amp;tupleIndex=31&amp;storageKey=8282538994-1&amp;parentHighLightingKey=8282538994-1&amp;activeIn=7&amp;parentSid=8282538994&amp;sidGroupId=5bcefa870fe0bd1eff20e1f521970243&amp;uresid=affc9a168f2fd38ab7e63c323716550f59580c5348100e130a02405f5a09504a100f16050248515b00584f120a6&amp;elasticType=es7&amp;uniqId=6cc810500c8e0b2757cdc96976b1ed17580f08024c120014044213585e5c59491b0902021646585c09524c140f025245076" TargetMode="External"/><Relationship Id="rId564" Type="http://schemas.openxmlformats.org/officeDocument/2006/relationships/hyperlink" Target="mailto:sravangogu28@gmail.com" TargetMode="External"/><Relationship Id="rId424" Type="http://schemas.openxmlformats.org/officeDocument/2006/relationships/hyperlink" Target="https://resdex.naukri.com/v3/preview?tabKey=profile&amp;sid=8414473089&amp;paramString=8b485a994a0b1f7d419bf11cc53a6d4b13106&amp;hfFlowName=search&amp;commentSearchType=comment-my,comment-others&amp;totalResumes=1495&amp;hiringForFlowId=504a01f4123749ab98fb4c4549243c8a&amp;pFlow=SEARCH_ID&amp;pFlowId=504a01f4123749ab98fb4c4549243c8a&amp;tupleIndex=58&amp;storageKey=8414473089-1&amp;parentHighLightingKey=8414473089-1&amp;activeIn=15&amp;parentSid=8414473089&amp;sidGroupId=504a01f4123749ab98fb4c4549243c8a&amp;uresid=99ea0dc896ad8110770df300c9222f885a5c08584b1108170702405f5a0d5548170e170202435a580c534a1b0f116&amp;elasticType=es7&amp;uniqId=ecb83a380d845c4d22617e06b9b6b06b0d0c0f504d155f160a114909590b554d4100435012140a555d574c110917071752595a0e554e110d1605105209094f6" TargetMode="External"/><Relationship Id="rId270" Type="http://schemas.openxmlformats.org/officeDocument/2006/relationships/hyperlink" Target="mailto:Sundaramsamdarshy11@gmail.com" TargetMode="External"/><Relationship Id="rId65" Type="http://schemas.openxmlformats.org/officeDocument/2006/relationships/hyperlink" Target="mailto:gouravrajsingh775@gmail.com" TargetMode="External"/><Relationship Id="rId130" Type="http://schemas.openxmlformats.org/officeDocument/2006/relationships/hyperlink" Target="mailto:madhukarmadz43@gmail.com" TargetMode="External"/><Relationship Id="rId368" Type="http://schemas.openxmlformats.org/officeDocument/2006/relationships/hyperlink" Target="mailto:arunkumar939195@gmail.com" TargetMode="External"/><Relationship Id="rId575" Type="http://schemas.openxmlformats.org/officeDocument/2006/relationships/hyperlink" Target="mailto:poojanagur94@gmail.com" TargetMode="External"/><Relationship Id="rId228" Type="http://schemas.openxmlformats.org/officeDocument/2006/relationships/hyperlink" Target="https://resdex.naukri.com/v3/preview?tabKey=profile&amp;hfFlowName=simcv&amp;totalResumes=296&amp;pageUid=f7e16ff3e15aa5dbc9d15c8e6c7bb6785b5c0a564d1500140702405f5a0950431201100b02425a590152481400156&amp;hiringForFlowId=efceea52b6e652a4f1e84f3ffe140afc&amp;pFlow=SEARCH_ID&amp;pFlowId=efceea52b6e652a4f1e84f3ffe140afc&amp;tupleIndex=2&amp;storageKey=f7e16ff3e15aa5dbc9d15c8e6c7bb6785b5c0a564d1500140702405f5a0950431201100b02425a590152481400156-1&amp;parentHighLightingKey=8286177008-1&amp;activeIn=3650&amp;parentSid=8286177008&amp;sidGroupId=efceea52b6e652a4f1e84f3ffe140afc&amp;principalUserId=324832794&amp;uresid=b0073873886d069ad61b0a0dd93d105a59580855491600190602405f5a0950431201170b02405e5c0f534c160a146&amp;parentActiveSimCvSource=collab&amp;parentSimCvCount=296&amp;parentContextSimCvCount=100&amp;parentSimCvSource=collab&amp;elasticType=es7&amp;simcvModelTag=sales_77_v1_rerankedV0&amp;simCvSource=collab&amp;uniqId=b034538a160007d6c640eb60b39b36790e095c521b4200455712400a590b07191a08135713155e5e0a59481b0d13501052595a0e514b1a081905195209094f6&amp;parentSearchType=adv" TargetMode="External"/><Relationship Id="rId435" Type="http://schemas.openxmlformats.org/officeDocument/2006/relationships/hyperlink" Target="mailto:rathnakeradama82@gmail.com" TargetMode="External"/><Relationship Id="rId281" Type="http://schemas.openxmlformats.org/officeDocument/2006/relationships/hyperlink" Target="mailto:er.sravana.sandhya@gmail.com" TargetMode="External"/><Relationship Id="rId502" Type="http://schemas.openxmlformats.org/officeDocument/2006/relationships/hyperlink" Target="mailto:sahumanoj.8050@gmail.com" TargetMode="External"/><Relationship Id="rId76" Type="http://schemas.openxmlformats.org/officeDocument/2006/relationships/hyperlink" Target="mailto:chanduakhi888@gmail.com" TargetMode="External"/><Relationship Id="rId141" Type="http://schemas.openxmlformats.org/officeDocument/2006/relationships/hyperlink" Target="mailto:Thiriveedhi850@gmail.com" TargetMode="External"/><Relationship Id="rId379" Type="http://schemas.openxmlformats.org/officeDocument/2006/relationships/hyperlink" Target="mailto:muthupandidhanush388@gmail.com" TargetMode="External"/><Relationship Id="rId586" Type="http://schemas.openxmlformats.org/officeDocument/2006/relationships/hyperlink" Target="mailto:nikhiltayade11.nt@gmail.com" TargetMode="External"/><Relationship Id="rId7" Type="http://schemas.openxmlformats.org/officeDocument/2006/relationships/hyperlink" Target="mailto:salonisingh0877@gmail.com" TargetMode="External"/><Relationship Id="rId239" Type="http://schemas.openxmlformats.org/officeDocument/2006/relationships/hyperlink" Target="mailto:Sahanacthotigar@gmail.com" TargetMode="External"/><Relationship Id="rId446" Type="http://schemas.openxmlformats.org/officeDocument/2006/relationships/hyperlink" Target="mailto:tyagi0001veer@gmail.com" TargetMode="External"/><Relationship Id="rId292" Type="http://schemas.openxmlformats.org/officeDocument/2006/relationships/hyperlink" Target="mailto:allamsushma302@gmail.com" TargetMode="External"/><Relationship Id="rId306" Type="http://schemas.openxmlformats.org/officeDocument/2006/relationships/hyperlink" Target="mailto:yeshyadav1624@gmail.com" TargetMode="External"/><Relationship Id="rId45" Type="http://schemas.openxmlformats.org/officeDocument/2006/relationships/hyperlink" Target="mailto:mallikarjun002hiremath@gmail,com" TargetMode="External"/><Relationship Id="rId87" Type="http://schemas.openxmlformats.org/officeDocument/2006/relationships/hyperlink" Target="mailto:dhanushmraj2004@gmail.com" TargetMode="External"/><Relationship Id="rId110" Type="http://schemas.openxmlformats.org/officeDocument/2006/relationships/hyperlink" Target="https://resdex.naukri.com/v3/preview?tabKey=profile&amp;sid=8256293299&amp;paramString=8b485a994a0b1f7d419bf11cc53a6d4b13106&amp;hfFlowName=search&amp;commentSearchType=comment-my,comment-others&amp;totalResumes=793&amp;hiringForFlowId=1b392fad0e86c3044c0413f14bb291b9&amp;pFlow=SEARCH_ID&amp;pFlowId=1b392fad0e86c3044c0413f14bb291b9&amp;tupleIndex=24&amp;storageKey=8256293299-1&amp;parentHighLightingKey=8256293299-1&amp;activeIn=15&amp;parentSid=8256293299&amp;sidGroupId=1b392fad0e86c3044c0413f14bb291b9&amp;uresid=3a8b7d778155849278ee96d3cf1e718b5a5409504e170e110102405f5b00514d1a0e15070242585c0b5149140e136&amp;elasticType=es7&amp;uniqId=7f35075219c90f2a902978731c7c89fd5e5c58541810014451181558590a57181a5b160a10485c0801544c405b17571552595a0f584a14001607155209094f6" TargetMode="External"/><Relationship Id="rId348" Type="http://schemas.openxmlformats.org/officeDocument/2006/relationships/hyperlink" Target="mailto:amanrodriguez6529@gmail.com" TargetMode="External"/><Relationship Id="rId513" Type="http://schemas.openxmlformats.org/officeDocument/2006/relationships/hyperlink" Target="mailto:priyankaisdynamics@gmail.com" TargetMode="External"/><Relationship Id="rId555" Type="http://schemas.openxmlformats.org/officeDocument/2006/relationships/hyperlink" Target="https://resdex.naukri.com/v3/preview?tabKey=profile&amp;sid=8454132251&amp;paramString=8b485a994a0b1f7d419bf11cc53a6d4b13106&amp;hfFlowName=search&amp;commentSearchType=comment-my,comment-others&amp;totalResumes=62466&amp;hiringForFlowId=b48e4fe1e03a653f63572c0cdb76ca75&amp;pFlow=SEARCH_ID&amp;pFlowId=b48e4fe1e03a653f63572c0cdb76ca75&amp;tupleIndex=3&amp;storageKey=8454132251-1&amp;parentHighLightingKey=8454132251-1&amp;activeIn=7&amp;parentSid=8454132251&amp;sidGroupId=b48e4fe1e03a653f63572c0cdb76ca75&amp;uresid=103a7673210f391ecdc165bf8224026d51580057491101101010465f580e5348140f191010415c590e544a1b086&amp;elasticType=es7&amp;uniqId=d2def55041451b621b85a152d3671b425f090c511b1300470742100c585a051f170e020216465d5a0b534d1501025245076" TargetMode="External"/><Relationship Id="rId152" Type="http://schemas.openxmlformats.org/officeDocument/2006/relationships/hyperlink" Target="mailto:srinivaspallala6@gmail.com" TargetMode="External"/><Relationship Id="rId194" Type="http://schemas.openxmlformats.org/officeDocument/2006/relationships/hyperlink" Target="https://resdex.naukri.com/v3/preview?tabKey=profile&amp;sid=8277268298&amp;paramString=8b485a994a0b1f7d419bf11cc53a6d4b13106&amp;hfFlowName=search&amp;commentSearchType=comment-my,comment-others&amp;totalResumes=1175&amp;hiringForFlowId=057cee527d560d2317f5b0718726505c&amp;pFlow=SEARCH_ID&amp;pFlowId=057cee527d560d2317f5b0718726505c&amp;tupleIndex=0&amp;storageKey=8277268298-1&amp;parentHighLightingKey=8277268298-1&amp;activeIn=7&amp;parentSid=8277268298&amp;sidGroupId=057cee527d560d2317f5b0718726505c&amp;uresid=379c527cd4ec30d2ae64fe8ac63e4d325a5f0b574d100c150b02405f5b00594e170e170502435b5800504a1a01136&amp;elasticType=es7&amp;uniqId=596ae78db69f666567fc09325825becf095e09511c125f4507111259595a004a415f435643145c0c0e0419170016571752595a0f5842170d1605175209094f6" TargetMode="External"/><Relationship Id="rId208" Type="http://schemas.openxmlformats.org/officeDocument/2006/relationships/hyperlink" Target="https://resdex.naukri.com/v3/preview?tabKey=profile&amp;hfFlowName=simcv&amp;totalResumes=35&amp;pageUid=c947a981a4939cec6bb580403de010aa595508584d160c170102405f5a09514b1b0d16020240515e0b58491600116&amp;hiringForFlowId=7cd979ffc3cbdf5c344f4c1b2e9b5eaa&amp;pFlow=SEARCH_ID&amp;pFlowId=7cd979ffc3cbdf5c344f4c1b2e9b5eaa&amp;tupleIndex=5&amp;storageKey=c947a981a4939cec6bb580403de010aa595508584d160c170102405f5a09514b1b0d16020240515e0b58491600116-1&amp;parentHighLightingKey=8279268380-1&amp;refineHighlightKey=8279284112&amp;activeIn=3650&amp;parentSid=8279268380&amp;sidGroupId=7cd979ffc3cbdf5c344f4c1b2e9b5eaa&amp;principalUserId=193293590&amp;uresid=680409b7dc10d1b46cb99f1f052108895b5c0e554a1708160702405f5a09514b1a0f100302425a550d574a1200136&amp;parentActiveSimCvSource=collab&amp;parentSimCvCount=35&amp;parentContextSimCvCount=100&amp;parentSimCvSource=content&amp;elasticType=es7&amp;simcvModelTag=it_58_v2_rerankedV0&amp;simCvSource=content&amp;uniqId=a72d4c28bcd01c2231b5ffe11f14c1ee515a0a561c410b120b47145f590f544d1a58125118100d5d0c024d4701180b1152595a0e514a12001702115209094f6&amp;parentSearchType=simcv" TargetMode="External"/><Relationship Id="rId415" Type="http://schemas.openxmlformats.org/officeDocument/2006/relationships/hyperlink" Target="https://resdex.naukri.com/v3/preview?tabKey=profile&amp;sid=8407643971&amp;paramString=8b485a994a0b1f7d419bf11cc53a6d4b13106&amp;hfFlowName=search&amp;commentSearchType=comment-my,comment-others&amp;totalResumes=212&amp;hiringForFlowId=d135352ac905eaea7f1581cfcd540f00&amp;pFlow=SEARCH_ID&amp;pFlowId=d135352ac905eaea7f1581cfcd540f00&amp;tupleIndex=7&amp;storageKey=8407643971-1&amp;parentHighLightingKey=8407643971-1&amp;activeIn=7&amp;parentSid=8407643971&amp;sidGroupId=d135352ac905eaea7f1581cfcd540f00&amp;uresid=17a8d7e699f5df81d866eb6c0e8c2b085a5b085843160a180102405f5a0d534f170d110502435f5f00584e1601176&amp;elasticType=es7&amp;uniqId=e3f671718480652f909f40d51c379e1c5a5e5a574a160f1100161459590b584d410e170417130d5d0d591b400b18554752595a0e5548160d1503175209094f6" TargetMode="External"/><Relationship Id="rId457" Type="http://schemas.openxmlformats.org/officeDocument/2006/relationships/hyperlink" Target="mailto:2000kumarprashant@gmail.com" TargetMode="External"/><Relationship Id="rId261" Type="http://schemas.openxmlformats.org/officeDocument/2006/relationships/hyperlink" Target="mailto:shankarhm01@gmail.com" TargetMode="External"/><Relationship Id="rId499" Type="http://schemas.openxmlformats.org/officeDocument/2006/relationships/hyperlink" Target="https://resdex.naukri.com/v3/preview?tabKey=profile&amp;sid=8432957083&amp;hfFlowName=contextcv&amp;totalResumes=85&amp;pageUid=f7a9fc5358947987b7bc29b926185f925b5f0956491608180302405f5a0c51491201170002425b5c0e584a1301196&amp;hiringForFlowId=e74fdbfdc16506c14be78b12db971c18&amp;pFlow=SEARCH_ID&amp;pFlowId=e74fdbfdc16506c14be78b12db971c18&amp;tupleIndex=9&amp;storageKey=8432957083-1&amp;parentHighLightingKey=8432890221-1&amp;refineHighlightKey=8432957083&amp;activeIn=15&amp;parentSid=8432957083&amp;sidGroupId=e74fdbfdc16506c14be78b12db971c18&amp;principalUserId=331790088&amp;uresid=e24ae3737537b21aad8b2097c9899827595f0f544c160d190a02405f5a0c51491200150302405b580a514c110b166&amp;parentActiveSimCvSource=content&amp;parentSimCvCount=13&amp;parentContextSimCvCount=100&amp;parentSimCvSource=content&amp;elasticType=es7&amp;simcvModelTag=purchase_retV1_modelV1_spark_rerankingCohortSkipped&amp;simCvSource=content&amp;uniqId=22853ca2e8ebe6dad112d971e534b1d95c580f521b120a160b15400c595b574f410915564444505f0f071b100114011352595a0e544a10081807115209094f6&amp;parentSearchType=simcv" TargetMode="External"/><Relationship Id="rId14" Type="http://schemas.openxmlformats.org/officeDocument/2006/relationships/hyperlink" Target="mailto:gautamjamshedpur@gmail.com" TargetMode="External"/><Relationship Id="rId56" Type="http://schemas.openxmlformats.org/officeDocument/2006/relationships/hyperlink" Target="mailto:radhakrishnank.nitt@gmail.com" TargetMode="External"/><Relationship Id="rId317" Type="http://schemas.openxmlformats.org/officeDocument/2006/relationships/hyperlink" Target="mailto:kumar1555sushant@gmail.com%20" TargetMode="External"/><Relationship Id="rId359" Type="http://schemas.openxmlformats.org/officeDocument/2006/relationships/hyperlink" Target="https://resdex.naukri.com/v3/preview?tabKey=profile&amp;sid=8352066690&amp;paramString=8b485a994a0b1f7d419bf11cc53a6d4b13106&amp;hfFlowName=search&amp;commentSearchType=comment-my,comment-others&amp;totalResumes=1081&amp;hiringForFlowId=02a2c9da684085f62e93578610546cb9&amp;pFlow=SEARCH_ID&amp;pFlowId=02a2c9da684085f62e93578610546cb9&amp;tupleIndex=7&amp;storageKey=8352066690-3&amp;parentHighLightingKey=8352066690-3&amp;activeIn=7&amp;parentSid=8352066690&amp;sidGroupId=02a2c9da684085f62e93578610546cb9&amp;uresid=7b07f6cdd854f43dc2d93855ac4378b25a5c08594c110b160302405f5a0b574a150e140102435a580d584c1500196&amp;elasticType=es7&amp;uniqId=cb5d0434b66e8574c75265bdf731f9db0d0f5a024a1109140b42470d590c5319425d15014441595b5f001b165a16514052595a0e534c130f1606135209094f6" TargetMode="External"/><Relationship Id="rId524" Type="http://schemas.openxmlformats.org/officeDocument/2006/relationships/hyperlink" Target="mailto:cbaskaran123@gmail.com" TargetMode="External"/><Relationship Id="rId566" Type="http://schemas.openxmlformats.org/officeDocument/2006/relationships/hyperlink" Target="mailto:vaishakchemmenchery7@gmail.com" TargetMode="External"/><Relationship Id="rId98" Type="http://schemas.openxmlformats.org/officeDocument/2006/relationships/hyperlink" Target="mailto:chayabai690@gmail.com" TargetMode="External"/><Relationship Id="rId121" Type="http://schemas.openxmlformats.org/officeDocument/2006/relationships/hyperlink" Target="mailto:devarajulu1000@gmail.com" TargetMode="External"/><Relationship Id="rId163" Type="http://schemas.openxmlformats.org/officeDocument/2006/relationships/hyperlink" Target="mailto:pardhe.m30@gmail.com" TargetMode="External"/><Relationship Id="rId219" Type="http://schemas.openxmlformats.org/officeDocument/2006/relationships/hyperlink" Target="mailto:tusharnalawade68@gmail.com" TargetMode="External"/><Relationship Id="rId370" Type="http://schemas.openxmlformats.org/officeDocument/2006/relationships/hyperlink" Target="mailto:Subhashreesahoo287@gmail.com" TargetMode="External"/><Relationship Id="rId426" Type="http://schemas.openxmlformats.org/officeDocument/2006/relationships/hyperlink" Target="https://resdex.naukri.com/v3/preview?tabKey=profile&amp;sid=8414732239&amp;paramString=8b485a994a0b1f7d419bf11cc53a6d4b13106&amp;hfFlowName=search&amp;commentSearchType=comment-my,comment-others&amp;totalResumes=20712&amp;hiringForFlowId=4fbf1388c2405bfae0efc2c01a2fcbaa&amp;pFlow=SEARCH_ID&amp;pFlowId=4fbf1388c2405bfae0efc2c01a2fcbaa&amp;tupleIndex=8&amp;storageKey=8414732239-1&amp;parentHighLightingKey=8414732239-1&amp;activeIn=7&amp;parentSid=8414732239&amp;sidGroupId=4fbf1388c2405bfae0efc2c01a2fcbaa&amp;uresid=b5fd0e4534700ef25ae62f552f01a827595809514d120f140a02405f5a0d5548140b190702405b55085749130c106&amp;elasticType=es7&amp;uniqId=081fa190bf74de075a741ae22aa8083858090a591e400d115019440e590d024f1a0b11024413515b5a56491b0b42071152595a0e554e110e130b155209094f6" TargetMode="External"/><Relationship Id="rId230" Type="http://schemas.openxmlformats.org/officeDocument/2006/relationships/hyperlink" Target="mailto:Gautam05nov@gmail.com" TargetMode="External"/><Relationship Id="rId468" Type="http://schemas.openxmlformats.org/officeDocument/2006/relationships/hyperlink" Target="mailto:kumarsantha88@gmail.com" TargetMode="External"/><Relationship Id="rId25" Type="http://schemas.openxmlformats.org/officeDocument/2006/relationships/hyperlink" Target="mailto:manu.dn03@gmail.com" TargetMode="External"/><Relationship Id="rId67" Type="http://schemas.openxmlformats.org/officeDocument/2006/relationships/hyperlink" Target="mailto:reddylakshmi8296@gamil.com" TargetMode="External"/><Relationship Id="rId272" Type="http://schemas.openxmlformats.org/officeDocument/2006/relationships/hyperlink" Target="mailto:madhureddylucky@gmail.com" TargetMode="External"/><Relationship Id="rId328" Type="http://schemas.openxmlformats.org/officeDocument/2006/relationships/hyperlink" Target="mailto:nomasreesai@gmail.com" TargetMode="External"/><Relationship Id="rId535" Type="http://schemas.openxmlformats.org/officeDocument/2006/relationships/hyperlink" Target="mailto:saipranithavinti2468@gmail.com" TargetMode="External"/><Relationship Id="rId577" Type="http://schemas.openxmlformats.org/officeDocument/2006/relationships/hyperlink" Target="mailto:mohitiissar@gmail.com" TargetMode="External"/><Relationship Id="rId132" Type="http://schemas.openxmlformats.org/officeDocument/2006/relationships/hyperlink" Target="mailto:sk.karanth@gmail.com" TargetMode="External"/><Relationship Id="rId174" Type="http://schemas.openxmlformats.org/officeDocument/2006/relationships/hyperlink" Target="https://resdex.naukri.com/v3/preview?tabKey=profile&amp;sid=8277268298&amp;paramString=8b485a994a0b1f7d419bf11cc53a6d4b13106&amp;hfFlowName=search&amp;commentSearchType=comment-my,comment-others&amp;totalResumes=1175&amp;hiringForFlowId=057cee527d560d2317f5b0718726505c&amp;pFlow=SEARCH_ID&amp;pFlowId=057cee527d560d2317f5b0718726505c&amp;tupleIndex=0&amp;storageKey=8277268298-1&amp;parentHighLightingKey=8277268298-1&amp;activeIn=7&amp;parentSid=8277268298&amp;sidGroupId=057cee527d560d2317f5b0718726505c&amp;uresid=379c527cd4ec30d2ae64fe8ac63e4d325a5f0b574d100c150b02405f5b00594e170e170502435b5800504a1a01136&amp;elasticType=es7&amp;uniqId=596ae78db69f666567fc09325825becf095e09511c125f4507111259595a004a415f435643145c0c0e0419170016571752595a0f5842170d1605175209094f6" TargetMode="External"/><Relationship Id="rId381" Type="http://schemas.openxmlformats.org/officeDocument/2006/relationships/hyperlink" Target="https://resdex.naukri.com/v3/preview?tabKey=profile&amp;sid=8371004640&amp;paramString=8b485a994a0b1f7d419bf11cc53a6d4b13106&amp;hfFlowName=search&amp;commentSearchType=comment-my,comment-others&amp;totalResumes=25&amp;hiringForFlowId=bd41fcb3c0ffcccbbdf915a7d328cdd6&amp;pFlow=SEARCH_ID&amp;pFlowId=bd41fcb3c0ffcccbbdf915a7d328cdd6&amp;tupleIndex=8&amp;storageKey=8371004640-1&amp;parentHighLightingKey=8371004640-1&amp;activeIn=7&amp;parentSid=8371004640&amp;sidGroupId=bd41fcb3c0ffcccbbdf915a7d328cdd6&amp;uresid=e236fa57ef74406d53d875d611020b165a5f0f54431000180002405f5a0a51491a0f100102435b5401594c160a106&amp;elasticType=es7&amp;uniqId=46d0f0d661daabf418c43f97c9c2f0fe0b550e5918450b435240445a595f03181a0911011140500e085342405840524352595a0e524a10001702135209094f6" TargetMode="External"/><Relationship Id="rId241" Type="http://schemas.openxmlformats.org/officeDocument/2006/relationships/hyperlink" Target="mailto:sunilroyal290@gmail.com" TargetMode="External"/><Relationship Id="rId437" Type="http://schemas.openxmlformats.org/officeDocument/2006/relationships/hyperlink" Target="https://resdex.naukri.com/v3/preview?tabKey=profile&amp;sid=8419924723&amp;paramString=8b485a994a0b1f7d419bf11cc53a6d4b13106&amp;hfFlowName=search&amp;commentSearchType=comment-my,comment-others&amp;totalResumes=400&amp;hiringForFlowId=1840bc3fa51ef86d9058a067adf08091&amp;pFlow=SEARCH_ID&amp;pFlowId=1840bc3fa51ef86d9058a067adf08091&amp;tupleIndex=1&amp;storageKey=8419924723-3&amp;parentHighLightingKey=8419924723-3&amp;activeIn=7&amp;parentSid=8419924723&amp;sidGroupId=1840bc3fa51ef86d9058a067adf08091&amp;uresid=43cf6f5a2493a7cd780fe7d9d6e192e95b5b0957421000101010465f590c524b1101181015465a5f0d5742146&amp;elasticType=es7&amp;uniqId=7eaeb1727d074528d952215a15ac6a54595c08501f410842051247595c5a07481709020216465c580a50481b00025245076" TargetMode="External"/><Relationship Id="rId479" Type="http://schemas.openxmlformats.org/officeDocument/2006/relationships/hyperlink" Target="https://resdex.naukri.com/v3/preview?tabKey=profile&amp;sid=8429550747&amp;paramString=8b485a994a0b1f7d419bf11cc53a6d4b13106&amp;hfFlowName=search&amp;commentSearchType=comment-my,comment-others&amp;totalResumes=1&amp;hiringForFlowId=1827e49aba3fa90308a54aa7796f14c1&amp;pFlow=SEARCH_ID&amp;pFlowId=1827e49aba3fa90308a54aa7796f14c1&amp;tupleIndex=0&amp;storageKey=8429550747-1&amp;parentHighLightingKey=8429550747-1&amp;activeIn=7&amp;parentSid=8429550747&amp;sidGroupId=1827e49aba3fa90308a54aa7796f14c1&amp;uresid=bfd7b43edf677efcadb1e827452664f05e5e0c53481b01111010465f5900554e17081710164251590055481b6&amp;elasticType=es7&amp;uniqId=674ce1b82e3cde95a2d9e727cef6c1e35a5501024e165a420745415f090954481308020216465c540d554e120f025245076" TargetMode="External"/><Relationship Id="rId36" Type="http://schemas.openxmlformats.org/officeDocument/2006/relationships/hyperlink" Target="mailto:nagendradeva999@gmail.com" TargetMode="External"/><Relationship Id="rId283" Type="http://schemas.openxmlformats.org/officeDocument/2006/relationships/hyperlink" Target="mailto:gpavankmr7@gmail.com" TargetMode="External"/><Relationship Id="rId339" Type="http://schemas.openxmlformats.org/officeDocument/2006/relationships/hyperlink" Target="mailto:kssaiswaroop22@gmail.com" TargetMode="External"/><Relationship Id="rId490" Type="http://schemas.openxmlformats.org/officeDocument/2006/relationships/hyperlink" Target="mailto:rahulombairagi@gmail.com" TargetMode="External"/><Relationship Id="rId504" Type="http://schemas.openxmlformats.org/officeDocument/2006/relationships/hyperlink" Target="mailto:aravig@gmail.com" TargetMode="External"/><Relationship Id="rId546" Type="http://schemas.openxmlformats.org/officeDocument/2006/relationships/hyperlink" Target="mailto:pandharesuraj47@gmail.com" TargetMode="External"/><Relationship Id="rId78" Type="http://schemas.openxmlformats.org/officeDocument/2006/relationships/hyperlink" Target="mailto:rajkumarbodakuntla9@gmail.com" TargetMode="External"/><Relationship Id="rId101" Type="http://schemas.openxmlformats.org/officeDocument/2006/relationships/hyperlink" Target="https://resdex.naukri.com/v3/preview?tabKey=profile&amp;sid=8256256173&amp;paramString=8b485a994a0b1f7d419bf11cc53a6d4b13106&amp;hfFlowName=search&amp;commentSearchType=comment-my,comment-others&amp;totalResumes=43&amp;hiringForFlowId=5ebf43d072d0dd06936e38e2b8af2f22&amp;pFlow=SEARCH_ID&amp;pFlowId=5ebf43d072d0dd06936e38e2b8af2f22&amp;tupleIndex=2&amp;storageKey=8256256173-1&amp;parentHighLightingKey=8256256173-1&amp;activeIn=15&amp;parentSid=8256256173&amp;sidGroupId=5ebf43d072d0dd06936e38e2b8af2f22&amp;uresid=2649ee8eeb090bede35b1d0e983c8f415a580e5748140f180502405f5b00514d1a0b170402435e550f554f120a176&amp;elasticType=es7&amp;uniqId=f673528a70ec3ba1209078746b8e78ec5d5a01051b1a5f13571940585909044d4109140640140d545c0543470c47551252595a0f584a14001305165209094f6" TargetMode="External"/><Relationship Id="rId143" Type="http://schemas.openxmlformats.org/officeDocument/2006/relationships/hyperlink" Target="https://resdex.naukri.com/v3/preview?tabKey=profile&amp;sid=8272296397&amp;paramString=8b485a994a0b1f7d419bf11cc53a6d4b13106&amp;hfFlowName=search&amp;commentSearchType=comment-my,comment-others&amp;totalResumes=1216&amp;hiringForFlowId=e3914da04a9ee77bef28392746d7c8ce&amp;pFlow=SEARCH_ID&amp;pFlowId=e3914da04a9ee77bef28392746d7c8ce&amp;tupleIndex=1&amp;storageKey=8272296397-1&amp;parentHighLightingKey=8272296397-1&amp;activeIn=23&amp;parentSid=8272296397&amp;sidGroupId=e3914da04a9ee77bef28392746d7c8ce&amp;uresid=8f231f7e3b52d82f38d1388325a9f01959590058431a0b190202405f5b0057421a0c180602405d54005449160f106&amp;elasticType=es7&amp;uniqId=3a94e63fa306c4fee1a2e542c9426c98585808521e455f155045400b5958571f1a0c110018135e5c09564a450d45511452595a0f584c1b00140a145209094f6" TargetMode="External"/><Relationship Id="rId185" Type="http://schemas.openxmlformats.org/officeDocument/2006/relationships/hyperlink" Target="mailto:maharana.kk@gmail.com" TargetMode="External"/><Relationship Id="rId350" Type="http://schemas.openxmlformats.org/officeDocument/2006/relationships/hyperlink" Target="mailto:iambharath2003kid@gmail.com" TargetMode="External"/><Relationship Id="rId406" Type="http://schemas.openxmlformats.org/officeDocument/2006/relationships/hyperlink" Target="mailto:suhaiillahmedd@gmail.com" TargetMode="External"/><Relationship Id="rId588" Type="http://schemas.openxmlformats.org/officeDocument/2006/relationships/hyperlink" Target="mailto:adityapandeymanju1107@gmail.com" TargetMode="External"/><Relationship Id="rId9" Type="http://schemas.openxmlformats.org/officeDocument/2006/relationships/hyperlink" Target="mailto:yasmeenmadiha524@gmail.com" TargetMode="External"/><Relationship Id="rId210" Type="http://schemas.openxmlformats.org/officeDocument/2006/relationships/hyperlink" Target="mailto:gangabhavanan.e@gmail.com" TargetMode="External"/><Relationship Id="rId392" Type="http://schemas.openxmlformats.org/officeDocument/2006/relationships/hyperlink" Target="https://resdex.naukri.com/v3/preview?tabKey=profile&amp;sid=8371017834&amp;paramString=8b485a994a0b1f7d419bf11cc53a6d4b13106&amp;hfFlowName=search&amp;commentSearchType=comment-my,comment-others&amp;totalResumes=3674&amp;hiringForFlowId=bd41fcb3c0ffcccbbdf915a7d328cdd6&amp;pFlow=SEARCH_ID&amp;pFlowId=bd41fcb3c0ffcccbbdf915a7d328cdd6&amp;tupleIndex=20&amp;storageKey=8371017834-1&amp;parentHighLightingKey=8371017834-1&amp;activeIn=7&amp;parentSid=8371017834&amp;sidGroupId=bd41fcb3c0ffcccbbdf915a7d328cdd6&amp;uresid=99e98062d87eefd45e090453d2a56b565b5d0b554c1508190502405f5a0a514e130916070242595e0c534a140f196&amp;elasticType=es7&amp;uniqId=37da7b685bf96d1dfe20652301878f7e5c0e0a071f450e1407151458590a04191b5d420b4042580b5f594f160811521852595a0e524a17091104155209094f6" TargetMode="External"/><Relationship Id="rId448" Type="http://schemas.openxmlformats.org/officeDocument/2006/relationships/hyperlink" Target="mailto:Tinku.krishnan28@gmail.com" TargetMode="External"/><Relationship Id="rId252" Type="http://schemas.openxmlformats.org/officeDocument/2006/relationships/hyperlink" Target="mailto:garg.shruti9190@gmail.com" TargetMode="External"/><Relationship Id="rId294" Type="http://schemas.openxmlformats.org/officeDocument/2006/relationships/hyperlink" Target="https://resdex.naukri.com/v3/preview?tabKey=profile&amp;sid=8317170592&amp;paramString=8b485a994a0b1f7d419bf11cc53a6d4b13106&amp;hfFlowName=search&amp;commentSearchType=comment-my,comment-others&amp;totalResumes=139&amp;hiringForFlowId=2ca73708064629dd398b04557eac57f2&amp;pFlow=SEARCH_ID&amp;pFlowId=2ca73708064629dd398b04557eac57f2&amp;tupleIndex=4&amp;storageKey=8317170592-2&amp;parentHighLightingKey=8317170592-2&amp;activeIn=7&amp;parentSid=8317170592&amp;sidGroupId=2ca73708064629dd398b04557eac57f2&amp;uresid=e014fabc99e9396b63dd42f99cb1a5ea5a5b0c564b1b00120702405f5a0853481b09160402435f5b0e5648170a176&amp;elasticType=es7&amp;uniqId=51047900ebb300bd92794afb49465f760b5a00004b1a00425640445a595b531c1a5c110312400d5b0f511b155842554252595a0e504811011104165209094f6" TargetMode="External"/><Relationship Id="rId308" Type="http://schemas.openxmlformats.org/officeDocument/2006/relationships/hyperlink" Target="mailto:mhkiran98@gmail.com" TargetMode="External"/><Relationship Id="rId515" Type="http://schemas.openxmlformats.org/officeDocument/2006/relationships/hyperlink" Target="mailto:vijayalakshmimullamuri94@gmail.com" TargetMode="External"/><Relationship Id="rId47" Type="http://schemas.openxmlformats.org/officeDocument/2006/relationships/hyperlink" Target="mailto:orasaravana@gmail.com" TargetMode="External"/><Relationship Id="rId89" Type="http://schemas.openxmlformats.org/officeDocument/2006/relationships/hyperlink" Target="mailto:rakshagowda1803@gmail.com" TargetMode="External"/><Relationship Id="rId112" Type="http://schemas.openxmlformats.org/officeDocument/2006/relationships/hyperlink" Target="https://resdex.naukri.com/v3/preview?tabKey=profile&amp;sid=8256293299&amp;paramString=8b485a994a0b1f7d419bf11cc53a6d4b13106&amp;hfFlowName=search&amp;commentSearchType=comment-my,comment-others&amp;totalResumes=793&amp;hiringForFlowId=1b392fad0e86c3044c0413f14bb291b9&amp;pFlow=SEARCH_ID&amp;pFlowId=1b392fad0e86c3044c0413f14bb291b9&amp;tupleIndex=31&amp;storageKey=8256293299-1&amp;parentHighLightingKey=8256293299-1&amp;activeIn=15&amp;parentSid=8256293299&amp;sidGroupId=1b392fad0e86c3044c0413f14bb291b9&amp;uresid=683c0cfae459c7dd10eca1b956b26ef95b5f08574a160d190702405f5b00514d1a0e150702425b5f0f574a1101156&amp;elasticType=es7&amp;uniqId=37c879095fdcb11c9d6fb701b375e2975b0e0b544c150f130511155b5909514a1b5f1005424851585a051f100f13021052595a0f584a14001607155209094f6" TargetMode="External"/><Relationship Id="rId154" Type="http://schemas.openxmlformats.org/officeDocument/2006/relationships/hyperlink" Target="mailto:ranjanashish254@gmail.com" TargetMode="External"/><Relationship Id="rId361" Type="http://schemas.openxmlformats.org/officeDocument/2006/relationships/hyperlink" Target="mailto:spsneha209@gmail.com" TargetMode="External"/><Relationship Id="rId557" Type="http://schemas.openxmlformats.org/officeDocument/2006/relationships/hyperlink" Target="https://resdex.naukri.com/v3/preview?tabKey=profile&amp;sid=8455664219&amp;paramString=8b485a994a0b1f7d419bf11cc53a6d4b13106&amp;hfFlowName=search&amp;commentSearchType=comment-my,comment-others&amp;totalResumes=3495&amp;hiringForFlowId=6ae071182888e0b4e8d950d178b10105&amp;pFlow=SEARCH_ID&amp;pFlowId=6ae071182888e0b4e8d950d178b10105&amp;tupleIndex=2&amp;storageKey=8455664219-1&amp;parentHighLightingKey=8455664219-1&amp;activeIn=7&amp;parentSid=8455664219&amp;sidGroupId=6ae071182888e0b4e8d950d178b10105&amp;uresid=d06fd399939075326491dd6ac8add3675a5909514c120b120602405f5a0c5649140a180702435d5e0d5548110b146&amp;elasticType=es7&amp;uniqId=1e67f8f32e93e58b80f601f5f61d112e59095f55181b0e175718480a590b024d1b5d130a10440d555c074a140118021152595a0e544d100e120a155209094f6" TargetMode="External"/><Relationship Id="rId196" Type="http://schemas.openxmlformats.org/officeDocument/2006/relationships/hyperlink" Target="https://resdex.naukri.com/v3/preview?tabKey=profile&amp;hfFlowName=contextcv&amp;totalResumes=100&amp;pageUid=906649f60eca111fc8cb41ff6d4e33505a540d564f1201140702405f5a09514b150a1400024258580151421a09116&amp;hiringForFlowId=057cee527d560d2317f5b0718726505c&amp;pFlow=SEARCH_ID&amp;pFlowId=057cee527d560d2317f5b0718726505c&amp;tupleIndex=1&amp;storageKey=906649f60eca111fc8cb41ff6d4e33505a540d564f1201140702405f5a09514b150a1400024258580151421a09116-1&amp;parentHighLightingKey=8279154428-1&amp;activeIn=3650&amp;parentSid=8279154428&amp;sidGroupId=057cee527d560d2317f5b0718726505c&amp;principalUserId=305808900&amp;uresid=a035c746a2b7e57ee1d16764783ae8cc5a5a0e54431101130702405f5a09514b150c1407024350550f544f1a0b116&amp;parentActiveSimCvSource=content&amp;parentSimCvCount=174&amp;parentContextSimCvCount=100&amp;parentSimCvSource=content&amp;elasticType=es7&amp;simcvModelTag=it_retV2_modelV2_spark_rerankedV0&amp;simCvSource=content&amp;uniqId=0ac15c4245f5b31207484b342b90752b505f0c05184001135714420e590d051e425c100745420b5c08551b110917551852595a0e514a120f1406155209094f6&amp;parentSearchType=adv" TargetMode="External"/><Relationship Id="rId417" Type="http://schemas.openxmlformats.org/officeDocument/2006/relationships/hyperlink" Target="mailto:antonyjb2001@gmail.com" TargetMode="External"/><Relationship Id="rId459" Type="http://schemas.openxmlformats.org/officeDocument/2006/relationships/hyperlink" Target="mailto:suryajyothirmai@gmail.com" TargetMode="External"/><Relationship Id="rId16" Type="http://schemas.openxmlformats.org/officeDocument/2006/relationships/hyperlink" Target="mailto:km.manjunath.krishna21@gmail.com" TargetMode="External"/><Relationship Id="rId221" Type="http://schemas.openxmlformats.org/officeDocument/2006/relationships/hyperlink" Target="mailto:parameswaranios2k14@gmail.com" TargetMode="External"/><Relationship Id="rId263" Type="http://schemas.openxmlformats.org/officeDocument/2006/relationships/hyperlink" Target="mailto:s.sharvarip@gmail.com" TargetMode="External"/><Relationship Id="rId319" Type="http://schemas.openxmlformats.org/officeDocument/2006/relationships/hyperlink" Target="mailto:gubireanusha90@gmail.com" TargetMode="External"/><Relationship Id="rId470" Type="http://schemas.openxmlformats.org/officeDocument/2006/relationships/hyperlink" Target="mailto:sameerwawa4@gmail.com" TargetMode="External"/><Relationship Id="rId526" Type="http://schemas.openxmlformats.org/officeDocument/2006/relationships/hyperlink" Target="mailto:sahilsiddiquiss789@gmail.com" TargetMode="External"/><Relationship Id="rId58" Type="http://schemas.openxmlformats.org/officeDocument/2006/relationships/hyperlink" Target="mailto:munikishore23@gmail.com" TargetMode="External"/><Relationship Id="rId123" Type="http://schemas.openxmlformats.org/officeDocument/2006/relationships/hyperlink" Target="mailto:sunilsshetty21@gmail.com" TargetMode="External"/><Relationship Id="rId330" Type="http://schemas.openxmlformats.org/officeDocument/2006/relationships/hyperlink" Target="mailto:Sagartarnalli59@gmail.com" TargetMode="External"/><Relationship Id="rId568" Type="http://schemas.openxmlformats.org/officeDocument/2006/relationships/hyperlink" Target="mailto:nimmakayalabadri143@gmail.com" TargetMode="External"/><Relationship Id="rId165" Type="http://schemas.openxmlformats.org/officeDocument/2006/relationships/hyperlink" Target="mailto:mohdzaidv35@gmail.com" TargetMode="External"/><Relationship Id="rId372" Type="http://schemas.openxmlformats.org/officeDocument/2006/relationships/hyperlink" Target="mailto:shajahan.shaike@gmail.com" TargetMode="External"/><Relationship Id="rId428" Type="http://schemas.openxmlformats.org/officeDocument/2006/relationships/hyperlink" Target="https://resdex.naukri.com/v3/preview?tabKey=profile&amp;sid=8418425467&amp;paramString=8b485a994a0b1f7d419bf11cc53a6d4b13106&amp;hfFlowName=search&amp;commentSearchType=comment-my,comment-others&amp;totalResumes=6&amp;hiringForFlowId=02bc0c0158f37c2dbe3ce08cf06d8c0e&amp;pFlow=SEARCH_ID&amp;pFlowId=02bc0c0158f37c2dbe3ce08cf06d8c0e&amp;tupleIndex=0&amp;storageKey=8418425467-1&amp;parentHighLightingKey=8418425467-1&amp;activeIn=7&amp;parentSid=8418425467&amp;sidGroupId=02bc0c0158f37c2dbe3ce08cf06d8c0e&amp;uresid=9646f1cd110b1cba75a4c85a0c01b93f5a5e00584b1b08130602405f5a0d544b160a170102435d5e0b584c150a126&amp;elasticType=es7&amp;uniqId=693083a49afcc1a28a9806f79b028be24b5c0e564e1608140017434b0c5d176" TargetMode="External"/><Relationship Id="rId232" Type="http://schemas.openxmlformats.org/officeDocument/2006/relationships/hyperlink" Target="mailto:divyamonisri@gmail.com" TargetMode="External"/><Relationship Id="rId274" Type="http://schemas.openxmlformats.org/officeDocument/2006/relationships/hyperlink" Target="mailto:nayeem7822@gmail.com" TargetMode="External"/><Relationship Id="rId481" Type="http://schemas.openxmlformats.org/officeDocument/2006/relationships/hyperlink" Target="mailto:Prithvi.Jalamanchili94@gmail.com" TargetMode="External"/><Relationship Id="rId27" Type="http://schemas.openxmlformats.org/officeDocument/2006/relationships/hyperlink" Target="mailto:shruthirajsk0@gmail.com" TargetMode="External"/><Relationship Id="rId69" Type="http://schemas.openxmlformats.org/officeDocument/2006/relationships/hyperlink" Target="mailto:mohammedshaheed757@gmail.com" TargetMode="External"/><Relationship Id="rId134" Type="http://schemas.openxmlformats.org/officeDocument/2006/relationships/hyperlink" Target="mailto:ec2k97@gmail.com" TargetMode="External"/><Relationship Id="rId537" Type="http://schemas.openxmlformats.org/officeDocument/2006/relationships/hyperlink" Target="https://resdex.naukri.com/v3/preview?tabKey=profile&amp;sid=8450185939&amp;paramString=8b485a994a0b1f7d419bf11cc53a6d4b13106&amp;hfFlowName=search&amp;commentSearchType=comment-my,comment-others&amp;totalResumes=391&amp;hiringForFlowId=2a8a0573ebb576e185080958c3ca2b22&amp;pFlow=SEARCH_ID&amp;pFlowId=2a8a0573ebb576e185080958c3ca2b22&amp;tupleIndex=18&amp;storageKey=8450185939-1&amp;parentHighLightingKey=8450185939-1&amp;activeIn=7&amp;parentSid=8450185939&amp;sidGroupId=2a8a0573ebb576e185080958c3ca2b22&amp;uresid=c8fbf67d069acc8f9f57512571e11cf959550b504b1500130702405f5a0c5749130f18020240515e0d524c110f116&amp;elasticType=es7&amp;uniqId=3a29ae15d285274d639f3a138697cbe40e5f580042120e1100131009595d534e425d140240470c5b0f5719410116571352595a0e544c1009170a105209094f6" TargetMode="External"/><Relationship Id="rId579" Type="http://schemas.openxmlformats.org/officeDocument/2006/relationships/hyperlink" Target="mailto:pnirav174@gmail.com" TargetMode="External"/><Relationship Id="rId80" Type="http://schemas.openxmlformats.org/officeDocument/2006/relationships/hyperlink" Target="mailto:shwethav132@gmail.com" TargetMode="External"/><Relationship Id="rId176" Type="http://schemas.openxmlformats.org/officeDocument/2006/relationships/hyperlink" Target="mailto:bhagyashreeb798@gmail.com" TargetMode="External"/><Relationship Id="rId341" Type="http://schemas.openxmlformats.org/officeDocument/2006/relationships/hyperlink" Target="mailto:manojkaisalagi97@gmail.com" TargetMode="External"/><Relationship Id="rId383" Type="http://schemas.openxmlformats.org/officeDocument/2006/relationships/hyperlink" Target="https://resdex.naukri.com/v3/preview?tabKey=profile&amp;sid=8371017834&amp;paramString=8b485a994a0b1f7d419bf11cc53a6d4b13106&amp;hfFlowName=search&amp;commentSearchType=comment-my,comment-others&amp;totalResumes=3674&amp;hiringForFlowId=bd41fcb3c0ffcccbbdf915a7d328cdd6&amp;pFlow=SEARCH_ID&amp;pFlowId=bd41fcb3c0ffcccbbdf915a7d328cdd6&amp;tupleIndex=21&amp;storageKey=8371017834-1&amp;parentHighLightingKey=8371017834-1&amp;activeIn=7&amp;parentSid=8371017834&amp;sidGroupId=bd41fcb3c0ffcccbbdf915a7d328cdd6&amp;uresid=2790a5e7d5d4bf60bdea329d21354f425a5b0e524e1508150502405f5a0a514e1309160702435f550a584d1b0e196&amp;elasticType=es7&amp;uniqId=23a75137ff2974fd7303df69154a4cfd095d015219110a110747415f5958054f410a120740125e095a551f145a17511252595a0e524a17091104155209094f6" TargetMode="External"/><Relationship Id="rId439" Type="http://schemas.openxmlformats.org/officeDocument/2006/relationships/hyperlink" Target="https://resdex.naukri.com/v3/preview?tabKey=profile&amp;sid=8419924723&amp;paramString=8b485a994a0b1f7d419bf11cc53a6d4b13106&amp;hfFlowName=search&amp;commentSearchType=comment-my,comment-others&amp;totalResumes=400&amp;hiringForFlowId=1840bc3fa51ef86d9058a067adf08091&amp;pFlow=SEARCH_ID&amp;pFlowId=1840bc3fa51ef86d9058a067adf08091&amp;tupleIndex=25&amp;storageKey=8419924723-2&amp;parentHighLightingKey=8419924723-2&amp;activeIn=7&amp;parentSid=8419924723&amp;sidGroupId=1840bc3fa51ef86d9058a067adf08091&amp;uresid=d783669e992c9bf726ea2ee998ed9fc45e5e0c56481708191010465f590c524a110e1710164251540f5443176&amp;elasticType=es7&amp;uniqId=8eb0ee918710bc23c629d508b505f4f05f5b5a5343125b400011420e0b5b51421a08020216465c580a5148140f025245076" TargetMode="External"/><Relationship Id="rId201" Type="http://schemas.openxmlformats.org/officeDocument/2006/relationships/hyperlink" Target="mailto:bhagyashreeb798@gmail.com" TargetMode="External"/><Relationship Id="rId243" Type="http://schemas.openxmlformats.org/officeDocument/2006/relationships/hyperlink" Target="mailto:r.abhishek1357@gmail.com" TargetMode="External"/><Relationship Id="rId285" Type="http://schemas.openxmlformats.org/officeDocument/2006/relationships/hyperlink" Target="mailto:RK5754191@gmail.com" TargetMode="External"/><Relationship Id="rId450" Type="http://schemas.openxmlformats.org/officeDocument/2006/relationships/hyperlink" Target="mailto:er.mahesh90@gmail.com" TargetMode="External"/><Relationship Id="rId506" Type="http://schemas.openxmlformats.org/officeDocument/2006/relationships/hyperlink" Target="mailto:ap4330481@gmail.com" TargetMode="External"/><Relationship Id="rId38" Type="http://schemas.openxmlformats.org/officeDocument/2006/relationships/hyperlink" Target="mailto:gangalajyoshna99@gmail.com" TargetMode="External"/><Relationship Id="rId103" Type="http://schemas.openxmlformats.org/officeDocument/2006/relationships/hyperlink" Target="mailto:sruthi3593@gmail.com" TargetMode="External"/><Relationship Id="rId310" Type="http://schemas.openxmlformats.org/officeDocument/2006/relationships/hyperlink" Target="mailto:nailesh.c@gmail.com" TargetMode="External"/><Relationship Id="rId492" Type="http://schemas.openxmlformats.org/officeDocument/2006/relationships/hyperlink" Target="mailto:anandakshetty@rediffmail.com" TargetMode="External"/><Relationship Id="rId548" Type="http://schemas.openxmlformats.org/officeDocument/2006/relationships/hyperlink" Target="https://resdex.naukri.com/v3/preview?tabKey=profile&amp;sid=8451801235&amp;paramString=8b485a994a0b1f7d419bf11cc53a6d4b13106&amp;hfFlowName=search&amp;commentSearchType=comment-my,comment-others&amp;totalResumes=2133&amp;hiringForFlowId=bf022638070e76c2719781dd065ba475&amp;pFlow=SEARCH_ID&amp;pFlowId=bf022638070e76c2719781dd065ba475&amp;tupleIndex=26&amp;storageKey=8451801235-1&amp;parentHighLightingKey=8451801235-1&amp;activeIn=7&amp;parentSid=8451801235&amp;sidGroupId=bf022638070e76c2719781dd065ba475&amp;uresid=89526b4339e606bc51f58bb54cffe3745a590c524e100e160002405f5a0c574e1401140502435d5501534d110b126&amp;elasticType=es7&amp;uniqId=20eea29cc5735403ae881f57f527473a4b5c0e564f150d160b14474b0c5d176" TargetMode="External"/><Relationship Id="rId91" Type="http://schemas.openxmlformats.org/officeDocument/2006/relationships/hyperlink" Target="mailto:tejuchintha99@gmail.com" TargetMode="External"/><Relationship Id="rId145" Type="http://schemas.openxmlformats.org/officeDocument/2006/relationships/hyperlink" Target="mailto:debasisdhal222@gmail.com" TargetMode="External"/><Relationship Id="rId187" Type="http://schemas.openxmlformats.org/officeDocument/2006/relationships/hyperlink" Target="mailto:kiranbehuriya.24@gmail.com" TargetMode="External"/><Relationship Id="rId352" Type="http://schemas.openxmlformats.org/officeDocument/2006/relationships/hyperlink" Target="mailto:manjunatht360@gmail.com" TargetMode="External"/><Relationship Id="rId394" Type="http://schemas.openxmlformats.org/officeDocument/2006/relationships/hyperlink" Target="https://resdex.naukri.com/v3/preview?tabKey=profile&amp;sid=8389923166&amp;paramString=8b485a994a0b1f7d419bf11cc53a6d4b13106&amp;hfFlowName=search&amp;commentSearchType=comment-my,comment-others&amp;totalResumes=17&amp;hiringForFlowId=c9261cfd3dafa13c5a6f1302a462b874&amp;pFlow=SEARCH_ID&amp;pFlowId=c9261cfd3dafa13c5a6f1302a462b874&amp;tupleIndex=7&amp;storageKey=8389923166-1&amp;parentHighLightingKey=8389923166-1&amp;activeIn=7&amp;parentSid=8389923166&amp;sidGroupId=c9261cfd3dafa13c5a6f1302a462b874&amp;uresid=e5b09ae46e6c7bd261e0b6a2f1979e8f5a550c504d130d110102405f5a0a5649160819000243515b0b524b160d176&amp;elasticType=es7&amp;uniqId=feeb3706f6754411faf616a63207c039595c0e07424708110b4213515901564d415c130b44415d0f09574c105c42044552595a0e524d100c100b125209094f6" TargetMode="External"/><Relationship Id="rId408" Type="http://schemas.openxmlformats.org/officeDocument/2006/relationships/hyperlink" Target="mailto:bheerappawage@gmail.com" TargetMode="External"/><Relationship Id="rId212" Type="http://schemas.openxmlformats.org/officeDocument/2006/relationships/hyperlink" Target="mailto:chiranthgowda.kasige@gmail.com" TargetMode="External"/><Relationship Id="rId254" Type="http://schemas.openxmlformats.org/officeDocument/2006/relationships/hyperlink" Target="https://resdex.naukri.com/v3/preview?tabKey=profile&amp;hfFlowName=simcv&amp;totalResumes=296&amp;pageUid=75d1b65eba669c163fee511b9319ce9e595401574b1a01120b02405f5a095748140010010243595c0f57481700156&amp;hiringForFlowId=efceea52b6e652a4f1e84f3ffe140afc&amp;pFlow=SEARCH_ID&amp;pFlowId=efceea52b6e652a4f1e84f3ffe140afc&amp;tupleIndex=14&amp;storageKey=75d1b65eba669c163fee511b9319ce9e595401574b1a01120b02405f5a095748140010010243595c0f57481700156-1&amp;parentHighLightingKey=8298749122-1&amp;activeIn=3650&amp;parentSid=8298791328&amp;sidGroupId=efceea52b6e652a4f1e84f3ffe140afc&amp;principalUserId=211662494&amp;uresid=5685c4f91b9de2df9c4234db528e39ca5a5e0f584d170b190602405f5a0957481400120a02435d5d0a544d1609146&amp;parentActiveSimCvSource=collab&amp;parentSimCvCount=296&amp;parentContextSimCvCount=100&amp;parentSimCvSource=collab&amp;elasticType=es7&amp;simcvModelTag=sales_77_v1_rerankingCohortSkipped&amp;simCvSource=collab&amp;uniqId=690468b70b402da3a2209a1d2eb64a88595f5b58181a0f4452131258590f581c1b58470515105c54005442170e180a1952595a0e514c110e1800185209094f6&amp;parentSearchType=simcv" TargetMode="External"/><Relationship Id="rId49" Type="http://schemas.openxmlformats.org/officeDocument/2006/relationships/hyperlink" Target="mailto:salmankhan.farsi09@gmail.com" TargetMode="External"/><Relationship Id="rId114" Type="http://schemas.openxmlformats.org/officeDocument/2006/relationships/hyperlink" Target="mailto:shetsowmya@gmail.com" TargetMode="External"/><Relationship Id="rId296" Type="http://schemas.openxmlformats.org/officeDocument/2006/relationships/hyperlink" Target="https://resdex.naukri.com/v3/preview?tabKey=profile&amp;sid=8317284130&amp;paramString=8b485a994a0b1f7d419bf11cc53a6d4b13106&amp;hfFlowName=search&amp;commentSearchType=comment-my,comment-others&amp;totalResumes=3717&amp;hiringForFlowId=c64ae2c99b03b4054b5dcd1f2fbf7f8c&amp;pFlow=SEARCH_ID&amp;pFlowId=c64ae2c99b03b4054b5dcd1f2fbf7f8c&amp;tupleIndex=15&amp;storageKey=8317284130-3&amp;parentHighLightingKey=8317284130-3&amp;activeIn=7&amp;parentSid=8317284130&amp;sidGroupId=c64ae2c99b03b4054b5dcd1f2fbf7f8c&amp;uresid=0c46e7ab75ef7aaa4397106b97ecf1165a5a0b554f120b110702405f5a0853481a0d14030243505e0c514b1b09116&amp;elasticType=es7&amp;uniqId=bf1605de26025541e155bfb5b476242b5b0e0902194201150117470c595b594d4209420116490b5c5b5143175840054352595a0e504811001506115209094f6" TargetMode="External"/><Relationship Id="rId461" Type="http://schemas.openxmlformats.org/officeDocument/2006/relationships/hyperlink" Target="mailto:anandbpatil10@gmail.com" TargetMode="External"/><Relationship Id="rId517" Type="http://schemas.openxmlformats.org/officeDocument/2006/relationships/hyperlink" Target="https://resdex.naukri.com/v3/preview?tabKey=profile&amp;sid=8446865223&amp;paramString=8b485a994a0b1f7d419bf11cc53a6d4b13106&amp;hfFlowName=search&amp;commentSearchType=comment-my,comment-others&amp;totalResumes=398&amp;hiringForFlowId=0bf2e2a5cbb0f78629eed4ed850e4da4&amp;pFlow=SEARCH_ID&amp;pFlowId=0bf2e2a5cbb0f78629eed4ed850e4da4&amp;tupleIndex=3&amp;storageKey=8446865223-1&amp;parentHighLightingKey=8446865223-1&amp;activeIn=7&amp;parentSid=8446865223&amp;sidGroupId=0bf2e2a5cbb0f78629eed4ed850e4da4&amp;uresid=f423167c3753595dd81f720b30815aba59590c564d1301160a02405f5a0c544e1401160702405c5a0e5849100b126&amp;elasticType=es7&amp;uniqId=f4514d2b6e3ba3c2209ab8bdd15d7f540e5e5d534d120a100542410b5958544c1a09420a19410c5809044a460142024552595a0e544f170e1904155209094f6" TargetMode="External"/><Relationship Id="rId559" Type="http://schemas.openxmlformats.org/officeDocument/2006/relationships/hyperlink" Target="https://resdex.naukri.com/v3/preview?tabKey=profile&amp;sid=8455644143&amp;paramString=8b485a994a0b1f7d419bf11cc53a6d4b13106&amp;hfFlowName=search&amp;commentSearchType=comment-my,comment-others&amp;totalResumes=2547&amp;hiringForFlowId=6ae071182888e0b4e8d950d178b10105&amp;pFlow=SEARCH_ID&amp;pFlowId=6ae071182888e0b4e8d950d178b10105&amp;tupleIndex=19&amp;storageKey=8455644143-1&amp;parentHighLightingKey=8455644143-1&amp;activeIn=7&amp;parentSid=8455644143&amp;sidGroupId=6ae071182888e0b4e8d950d178b10105&amp;uresid=97a0c6043feea26af4e03b538a7bfeed5a5d0055421300140102405f5a0c5649140b130002435a5f0953491a08116&amp;elasticType=es7&amp;uniqId=a1e0f6c30c4d917fa78e688a8463e4650d590b57191409165717410d590150481a00175640450e5900524a400911051252595a0e544d100e1301125209094f6" TargetMode="External"/><Relationship Id="rId60" Type="http://schemas.openxmlformats.org/officeDocument/2006/relationships/hyperlink" Target="mailto:ranjith.granus@gmail.com" TargetMode="External"/><Relationship Id="rId156" Type="http://schemas.openxmlformats.org/officeDocument/2006/relationships/hyperlink" Target="mailto:appiaishu123@gmail.com" TargetMode="External"/><Relationship Id="rId198" Type="http://schemas.openxmlformats.org/officeDocument/2006/relationships/hyperlink" Target="https://resdex.naukri.com/v3/preview?tabKey=profile&amp;sid=8279272678&amp;hfFlowName=contextcv&amp;totalResumes=57&amp;pageUid=c947a981a4939cec6bb580403de010aa595508584d160c170102405f5a09514b1b0d16020240515e0b58491600116&amp;hiringForFlowId=7cd979ffc3cbdf5c344f4c1b2e9b5eaa&amp;pFlow=SEARCH_ID&amp;pFlowId=7cd979ffc3cbdf5c344f4c1b2e9b5eaa&amp;tupleIndex=0&amp;storageKey=8279272678-1&amp;parentHighLightingKey=8279268380-1&amp;refineHighlightKey=8279272678&amp;activeIn=7&amp;parentSid=8279272678&amp;sidGroupId=7cd979ffc3cbdf5c344f4c1b2e9b5eaa&amp;principalUserId=193293590&amp;uresid=4ec3a1d8fd5d0e16133c2050ca6497af5b5f0b554c170e140102405f5a09514b1b0c130502425b5e0c5043150a116&amp;parentActiveSimCvSource=content&amp;parentSimCvCount=35&amp;parentContextSimCvCount=100&amp;parentSimCvSource=content&amp;elasticType=es7&amp;simcvModelTag=it_retV2_modelV2_spark_rerankedV0&amp;simCvSource=content&amp;uniqId=98de87b0b94a10403075308dcc9e89000d5b095449135c450a18490c5908001b41011251181051580e031f1b5c40004752595a0e514a12011401175209094f6&amp;parentSearchType=simcv" TargetMode="External"/><Relationship Id="rId321" Type="http://schemas.openxmlformats.org/officeDocument/2006/relationships/hyperlink" Target="mailto:shashikumargowdabelagul@gmail.com" TargetMode="External"/><Relationship Id="rId363" Type="http://schemas.openxmlformats.org/officeDocument/2006/relationships/hyperlink" Target="https://resdex.naukri.com/v3/preview?tabKey=profile&amp;sid=8363046374&amp;paramString=8b485a994a0b1f7d419bf11cc53a6d4b13106&amp;hfFlowName=search&amp;commentSearchType=comment-my,comment-others&amp;totalResumes=45&amp;hiringForFlowId=cf9404b23b51272d44d6fb1cc8e82b5b&amp;pFlow=SEARCH_ID&amp;pFlowId=cf9404b23b51272d44d6fb1cc8e82b5b&amp;tupleIndex=29&amp;storageKey=8363046374-1&amp;parentHighLightingKey=8363046374-1&amp;activeIn=7&amp;parentSid=8363046374&amp;sidGroupId=cf9404b23b51272d44d6fb1cc8e82b5b&amp;uresid=6e69a9bdd16eae88686a0d61092c6dd35a540a58491001110102405f5a0b564a1309170a0242585900584b170b116&amp;elasticType=es7&amp;uniqId=dac88d617a7616891d84dd6ffd3f6d42500c0d044c400d4257454750595a504e1b0e115718440e080d034e135812064552595a0e534d13091105185209094f6" TargetMode="External"/><Relationship Id="rId419" Type="http://schemas.openxmlformats.org/officeDocument/2006/relationships/hyperlink" Target="mailto:mamathakusuma.pb@gmail.com" TargetMode="External"/><Relationship Id="rId570" Type="http://schemas.openxmlformats.org/officeDocument/2006/relationships/hyperlink" Target="mailto:anjujacobcharuvila@gmail.com" TargetMode="External"/><Relationship Id="rId223" Type="http://schemas.openxmlformats.org/officeDocument/2006/relationships/hyperlink" Target="mailto:lakshmibca93@gmail.com" TargetMode="External"/><Relationship Id="rId430" Type="http://schemas.openxmlformats.org/officeDocument/2006/relationships/hyperlink" Target="https://resdex.naukri.com/v3/preview?tabKey=profile&amp;sid=8419093091&amp;hfFlowName=simcv&amp;totalResumes=58&amp;pageUid=f17c31636b1c4a87a06f9cb7494a89705a5e00584b1b08130602405f5a0d5448120b100002435d5e0b584c150a126&amp;hiringForFlowId=216ba9daaaf96598eb514d3566753d7f&amp;pFlow=SEARCH_ID&amp;pFlowId=216ba9daaaf96598eb514d3566753d7f&amp;tupleIndex=25&amp;storageKey=8419093091-1&amp;parentHighLightingKey=8419026853-1&amp;refineHighlightKey=8419093091&amp;activeIn=7&amp;parentSid=8419093091&amp;sidGroupId=216ba9daaaf96598eb514d3566753d7f&amp;principalUserId=253296633&amp;uresid=9101ff07de7dd367b7e1eaf00a114c905b5d015042100d110502405f5a0d5448120b1206024259540b524e1b0d196&amp;parentActiveSimCvSource=collab&amp;parentSimCvCount=200&amp;parentContextSimCvCount=100&amp;parentSimCvSource=collab&amp;elasticType=es7&amp;simcvModelTag=it_54_v1_rerankedV0&amp;simCvSource=collab&amp;uniqId=9ebbb0fabb4884b6bea817ec0a78fa4d51085c5318420e1555424451595b524f1a01450244125f5a0f5319115a47561552595a0e554f11081300145209094f6&amp;parentSearchType=simcv" TargetMode="External"/><Relationship Id="rId18" Type="http://schemas.openxmlformats.org/officeDocument/2006/relationships/hyperlink" Target="mailto:nareshbodapatla18@gmail.com" TargetMode="External"/><Relationship Id="rId265" Type="http://schemas.openxmlformats.org/officeDocument/2006/relationships/hyperlink" Target="mailto:drajalakshmi.rk@gmail.com" TargetMode="External"/><Relationship Id="rId472" Type="http://schemas.openxmlformats.org/officeDocument/2006/relationships/hyperlink" Target="https://resdex.naukri.com/v3/preview?tabKey=profile&amp;sid=8425944997&amp;hfFlowName=simcv&amp;totalResumes=59&amp;pageUid=febaaf58db522d972beb4869596309ee5a5e00584b1b08130602405f5a0d594f120e120b02435d5e0b584c150a126&amp;hiringForFlowId=db7ac9640f2f881d5a10739e55c6c10b&amp;pFlow=SEARCH_ID&amp;pFlowId=db7ac9640f2f881d5a10739e55c6c10b&amp;tupleIndex=5&amp;storageKey=8425944997-1&amp;parentHighLightingKey=8425944573-1&amp;refineHighlightKey=8425944997&amp;activeIn=7&amp;parentSid=8425944997&amp;sidGroupId=db7ac9640f2f881d5a10739e55c6c10b&amp;principalUserId=253296633&amp;uresid=c87f92cb8c2313f21b3b648be5655c345b5c0156431701100302405f5a0d594f1201120702425a5401544a1108116&amp;parentActiveSimCvSource=collab&amp;parentSimCvCount=200&amp;parentContextSimCvCount=100&amp;parentSimCvSource=collab&amp;elasticType=es7&amp;simcvModelTag=it_54_v1_rerankedV0&amp;simCvSource=collab&amp;uniqId=8a7669703cdfcbb7f3fcfc6fb88d9b5a0d580d05184609455716130a5958551f1a08430b1813585a0d52491b0d16051252595a0e554216081900155209094f6&amp;parentSearchType=simcv" TargetMode="External"/><Relationship Id="rId528" Type="http://schemas.openxmlformats.org/officeDocument/2006/relationships/hyperlink" Target="mailto:snizam.truly@gmail.com" TargetMode="External"/><Relationship Id="rId125" Type="http://schemas.openxmlformats.org/officeDocument/2006/relationships/hyperlink" Target="mailto:aadarshsingh0105@gmail.com" TargetMode="External"/><Relationship Id="rId167" Type="http://schemas.openxmlformats.org/officeDocument/2006/relationships/hyperlink" Target="mailto:raufqureshi2001@gmail.com" TargetMode="External"/><Relationship Id="rId332" Type="http://schemas.openxmlformats.org/officeDocument/2006/relationships/hyperlink" Target="mailto:Cvjayasimha2@gmail.com" TargetMode="External"/><Relationship Id="rId374" Type="http://schemas.openxmlformats.org/officeDocument/2006/relationships/hyperlink" Target="mailto:sreeshnu1123@gmail.com" TargetMode="External"/><Relationship Id="rId581" Type="http://schemas.openxmlformats.org/officeDocument/2006/relationships/hyperlink" Target="https://resdex.naukri.com/v3/preview?tabKey=profile&amp;hfFlowName=simcv&amp;totalResumes=431&amp;pageUid=943031f87796404146ced877edaf9ae2595b0d5143170c110402405f5a0f504d1300120402405f590e52431509146&amp;hiringForFlowId=30daa1391f3542a7af08ee788369b9b8&amp;pFlow=SEARCH_ID&amp;pFlowId=30daa1391f3542a7af08ee788369b9b8&amp;tupleIndex=1&amp;storageKey=943031f87796404146ced877edaf9ae2595b0d5143170c110402405f5a0f504d1300120402405f590e52431509146-1&amp;parentHighLightingKey=8466446593-1&amp;activeIn=3650&amp;parentSid=8466446593&amp;sidGroupId=30daa1391f3542a7af08ee788369b9b8&amp;principalUserId=174739605&amp;uresid=c065ea9b178336cefe0d58cdfb8f67f259590c514d130d100202405f5a0f504d1300190302405d59095742160e106&amp;parentActiveSimCvSource=collab&amp;parentSimCvCount=431&amp;parentContextSimCvCount=100&amp;parentSimCvSource=collab&amp;elasticType=es7&amp;simcvModelTag=default_rerankedV0&amp;simCvSource=collab&amp;uniqId=9a2285f0865dc1e4003e098f62bf57e70d5509511f150f110443415d590c504e1b5f185142405c5b095518415d47501952595a0e574b1409180b115209094f6&amp;parentSearchType=adv" TargetMode="External"/><Relationship Id="rId71" Type="http://schemas.openxmlformats.org/officeDocument/2006/relationships/hyperlink" Target="mailto:lavaar861@gmail.com" TargetMode="External"/><Relationship Id="rId234" Type="http://schemas.openxmlformats.org/officeDocument/2006/relationships/hyperlink" Target="mailto:siona.m1998@gmail.com" TargetMode="External"/><Relationship Id="rId2" Type="http://schemas.openxmlformats.org/officeDocument/2006/relationships/hyperlink" Target="mailto:shrutirai.770@gmail.com" TargetMode="External"/><Relationship Id="rId29" Type="http://schemas.openxmlformats.org/officeDocument/2006/relationships/hyperlink" Target="mailto:rritheshpoojary7@gmail.com" TargetMode="External"/><Relationship Id="rId276" Type="http://schemas.openxmlformats.org/officeDocument/2006/relationships/hyperlink" Target="https://resdex.naukri.com/v3/preview?tabKey=profile&amp;sid=8292066430&amp;hfFlowName=simcv&amp;totalResumes=132&amp;pageUid=347d22a135543e605ca2c44206a53b45595401574b1a01120b02405f5a0953431b0e14070243595c0f57481700156&amp;hiringForFlowId=efceea52b6e652a4f1e84f3ffe140afc&amp;pFlow=SEARCH_ID&amp;pFlowId=efceea52b6e652a4f1e84f3ffe140afc&amp;tupleIndex=53&amp;storageKey=8292066430-1&amp;parentHighLightingKey=8286177008-1&amp;refineHighlightKey=8292066430&amp;activeIn=7&amp;parentSid=8292066430&amp;sidGroupId=efceea52b6e652a4f1e84f3ffe140afc&amp;principalUserId=211662494&amp;uresid=371c5a5c198685f68cf8e3cc6d664b475a580a54491a0f150302405f5a0953431b01130002435e590c574e1408176&amp;parentActiveSimCvSource=collab&amp;parentSimCvCount=296&amp;parentContextSimCvCount=100&amp;parentSimCvSource=collab&amp;elasticType=es7&amp;simcvModelTag=sales_77_v1_rerankedV0&amp;simCvSource=collab&amp;uniqId=efcd5abdc09f1b06320efcea719e904f0d5858024c125f435513405a595852424101430444125d5e0d571c140812001252595a0e51481a011901125209094f6&amp;parentSearchType=simcv" TargetMode="External"/><Relationship Id="rId441" Type="http://schemas.openxmlformats.org/officeDocument/2006/relationships/hyperlink" Target="https://resdex.naukri.com/v3/preview?tabKey=profile&amp;sid=8421280587&amp;paramString=8b485a994a0b1f7d419bf11cc53a6d4b13106&amp;hfFlowName=search&amp;commentSearchType=comment-my,comment-others&amp;totalResumes=199&amp;hiringForFlowId=6e6f9b7a3f6888dedecd9f5b73ff303e&amp;pFlow=SEARCH_ID&amp;pFlowId=6e6f9b7a3f6888dedecd9f5b73ff303e&amp;tupleIndex=33&amp;storageKey=8421280587-2&amp;parentHighLightingKey=8421280587-2&amp;activeIn=7&amp;parentSid=8421280587&amp;sidGroupId=6e6f9b7a3f6888dedecd9f5b73ff303e&amp;uresid=84879434deea0fc02046973aed3aa04959540950431b0b130302405f5a0d5443150a11050243585e095643130e116&amp;elasticType=es7&amp;uniqId=7ef80b7e016db792f961f43818f163850e085d574917081551114609595f001c41011206404351590b544a115f15501052595a0e554f1a0f1203175209094f6" TargetMode="External"/><Relationship Id="rId483" Type="http://schemas.openxmlformats.org/officeDocument/2006/relationships/hyperlink" Target="mailto:vinaybandyala142@gmail.com" TargetMode="External"/><Relationship Id="rId539" Type="http://schemas.openxmlformats.org/officeDocument/2006/relationships/hyperlink" Target="https://resdex.naukri.com/v3/preview?tabKey=profile&amp;sid=8450185939&amp;paramString=8b485a994a0b1f7d419bf11cc53a6d4b13106&amp;hfFlowName=search&amp;commentSearchType=comment-my,comment-others&amp;totalResumes=391&amp;hiringForFlowId=2a8a0573ebb576e185080958c3ca2b22&amp;pFlow=SEARCH_ID&amp;pFlowId=2a8a0573ebb576e185080958c3ca2b22&amp;tupleIndex=0&amp;storageKey=8450185939-2&amp;parentHighLightingKey=8450185939-2&amp;activeIn=7&amp;parentSid=8450185939&amp;sidGroupId=2a8a0573ebb576e185080958c3ca2b22&amp;uresid=bda3ffc655014859bd49bb905dabf7ed5a5c01504d170c170302405f5a0c57491208140402435b5c0a5043150c136&amp;elasticType=es7&amp;uniqId=a1d62f3a250d2265859753e657341b47500b0d00421b0b190216485f595f524b1a5d130242405f5e0f564c405d17011052595a0e544c10081006165209094f6" TargetMode="External"/><Relationship Id="rId40" Type="http://schemas.openxmlformats.org/officeDocument/2006/relationships/hyperlink" Target="mailto:rakshithaurao@gmail.com" TargetMode="External"/><Relationship Id="rId136" Type="http://schemas.openxmlformats.org/officeDocument/2006/relationships/hyperlink" Target="mailto:rupeshkumarkomati139@gmail.com" TargetMode="External"/><Relationship Id="rId178" Type="http://schemas.openxmlformats.org/officeDocument/2006/relationships/hyperlink" Target="mailto:karangowda8276@gmail.com%20" TargetMode="External"/><Relationship Id="rId301" Type="http://schemas.openxmlformats.org/officeDocument/2006/relationships/hyperlink" Target="mailto:shashidharagowda1998@gmail.com" TargetMode="External"/><Relationship Id="rId343" Type="http://schemas.openxmlformats.org/officeDocument/2006/relationships/hyperlink" Target="mailto:jtkoushik509@gmail.com" TargetMode="External"/><Relationship Id="rId550" Type="http://schemas.openxmlformats.org/officeDocument/2006/relationships/hyperlink" Target="mailto:rathanaiyappa12@gmail.com" TargetMode="External"/><Relationship Id="rId82" Type="http://schemas.openxmlformats.org/officeDocument/2006/relationships/hyperlink" Target="mailto:kalyan039@gmail.com" TargetMode="External"/><Relationship Id="rId203" Type="http://schemas.openxmlformats.org/officeDocument/2006/relationships/hyperlink" Target="mailto:achintyady@gmail.com" TargetMode="External"/><Relationship Id="rId385" Type="http://schemas.openxmlformats.org/officeDocument/2006/relationships/hyperlink" Target="mailto:anilkr1187@gmail.com" TargetMode="External"/><Relationship Id="rId245" Type="http://schemas.openxmlformats.org/officeDocument/2006/relationships/hyperlink" Target="mailto:riteshmalakar21@gmail.com" TargetMode="External"/><Relationship Id="rId287" Type="http://schemas.openxmlformats.org/officeDocument/2006/relationships/hyperlink" Target="mailto:adhoniafzal@gmail.com" TargetMode="External"/><Relationship Id="rId410" Type="http://schemas.openxmlformats.org/officeDocument/2006/relationships/hyperlink" Target="mailto:Vikramsharma0901@gmail.com" TargetMode="External"/><Relationship Id="rId452" Type="http://schemas.openxmlformats.org/officeDocument/2006/relationships/hyperlink" Target="mailto:Sruthis190622@gmail.com" TargetMode="External"/><Relationship Id="rId494" Type="http://schemas.openxmlformats.org/officeDocument/2006/relationships/hyperlink" Target="mailto:das.alok01@gmail.com" TargetMode="External"/><Relationship Id="rId508" Type="http://schemas.openxmlformats.org/officeDocument/2006/relationships/hyperlink" Target="mailto:shanmukaprian1997@gmail.com" TargetMode="External"/><Relationship Id="rId105" Type="http://schemas.openxmlformats.org/officeDocument/2006/relationships/hyperlink" Target="mailto:vinod.tech47@gmail.com" TargetMode="External"/><Relationship Id="rId147" Type="http://schemas.openxmlformats.org/officeDocument/2006/relationships/hyperlink" Target="mailto:raoadarsh050@gmail.com" TargetMode="External"/><Relationship Id="rId312" Type="http://schemas.openxmlformats.org/officeDocument/2006/relationships/hyperlink" Target="mailto:KIRANHEGDE1995@GMAIL.COM" TargetMode="External"/><Relationship Id="rId354" Type="http://schemas.openxmlformats.org/officeDocument/2006/relationships/hyperlink" Target="mailto:harun.rasith2010@gmail.com" TargetMode="External"/><Relationship Id="rId51" Type="http://schemas.openxmlformats.org/officeDocument/2006/relationships/hyperlink" Target="mailto:nitinnigamknp@gmail.com" TargetMode="External"/><Relationship Id="rId93" Type="http://schemas.openxmlformats.org/officeDocument/2006/relationships/hyperlink" Target="mailto:chand21974@gmail.com" TargetMode="External"/><Relationship Id="rId189" Type="http://schemas.openxmlformats.org/officeDocument/2006/relationships/hyperlink" Target="mailto:vanamanusha438@gmail.com" TargetMode="External"/><Relationship Id="rId396" Type="http://schemas.openxmlformats.org/officeDocument/2006/relationships/hyperlink" Target="https://resdex.naukri.com/v3/preview?tabKey=profile&amp;hfFlowName=compositecv&amp;totalResumes=6&amp;pageUid=c06b95af-d&amp;hiringForFlowId=c9261cfd3dafa13c5a6f1302a462b874&amp;pFlow=SEARCH_ID&amp;pFlowId=c9261cfd3dafa13c5a6f1302a462b874&amp;tupleIndex=1&amp;storageKey=c06b95af-d-1&amp;parentHighLightingKey=8389923166-1&amp;activeIn=3650&amp;parentSid=8389923166&amp;sidGroupId=c9261cfd3dafa13c5a6f1302a462b874&amp;principalUserId=88175835,97085734&amp;uresid=b40cd25c60831a03300f0ff6cd7f9af8595a0a544c160f100b02405f5a0a5649160a190a02405d5e0a564e170c186&amp;elasticType=es7&amp;uniqId=239d485b5b47e2cac860ce77877e8f8f5d5d5b034a4000425011170d590b5142410c150b13400b5a5c551f130e44051952595a0e524d100c120b185209094f6&amp;parentSearchType=adv" TargetMode="External"/><Relationship Id="rId561" Type="http://schemas.openxmlformats.org/officeDocument/2006/relationships/hyperlink" Target="mailto:binuramanujam96@gmail.com" TargetMode="External"/><Relationship Id="rId214" Type="http://schemas.openxmlformats.org/officeDocument/2006/relationships/hyperlink" Target="mailto:chandrashekharachary0@gmail.com" TargetMode="External"/><Relationship Id="rId256" Type="http://schemas.openxmlformats.org/officeDocument/2006/relationships/hyperlink" Target="mailto:ASHREST75@GMAIL.COM" TargetMode="External"/><Relationship Id="rId298" Type="http://schemas.openxmlformats.org/officeDocument/2006/relationships/hyperlink" Target="mailto:srinivas.gr33@gmail.com" TargetMode="External"/><Relationship Id="rId421" Type="http://schemas.openxmlformats.org/officeDocument/2006/relationships/hyperlink" Target="https://resdex.naukri.com/v3/preview?tabKey=profile&amp;sid=8414473089&amp;paramString=8b485a994a0b1f7d419bf11cc53a6d4b13106&amp;hfFlowName=search&amp;commentSearchType=comment-my,comment-others&amp;totalResumes=1495&amp;hiringForFlowId=504a01f4123749ab98fb4c4549243c8a&amp;pFlow=SEARCH_ID&amp;pFlowId=504a01f4123749ab98fb4c4549243c8a&amp;tupleIndex=16&amp;storageKey=8414473089-1&amp;parentHighLightingKey=8414473089-1&amp;activeIn=15&amp;parentSid=8414473089&amp;sidGroupId=504a01f4123749ab98fb4c4549243c8a&amp;uresid=dc0411cf9d10b8f901afa7526d8f90415b5f0f574d1309190102405f5a0d5548170e170202425b5a0e52481609116&amp;elasticType=es7&amp;uniqId=3797411d9f73bbe0f853dc92f875a44b5b090c051b415d105145425a595b5919425f45061914500e090248410e40564752595a0e554e110d1605105209094f6" TargetMode="External"/><Relationship Id="rId463" Type="http://schemas.openxmlformats.org/officeDocument/2006/relationships/hyperlink" Target="mailto:vinothkumarmagendiran@gmail.com" TargetMode="External"/><Relationship Id="rId519" Type="http://schemas.openxmlformats.org/officeDocument/2006/relationships/hyperlink" Target="https://resdex.naukri.com/v3/preview?tabKey=profile&amp;sid=8446865223&amp;paramString=8b485a994a0b1f7d419bf11cc53a6d4b13106&amp;hfFlowName=search&amp;commentSearchType=comment-my,comment-others&amp;totalResumes=398&amp;hiringForFlowId=0bf2e2a5cbb0f78629eed4ed850e4da4&amp;pFlow=SEARCH_ID&amp;pFlowId=0bf2e2a5cbb0f78629eed4ed850e4da4&amp;tupleIndex=10&amp;storageKey=8446865223-1&amp;parentHighLightingKey=8446865223-1&amp;activeIn=7&amp;parentSid=8446865223&amp;sidGroupId=0bf2e2a5cbb0f78629eed4ed850e4da4&amp;uresid=99d9d74bc79ead9c953876e3df2915ac59580f584b1b09160602405f5a0c544e1401160702405e5a0a534f150b146&amp;elasticType=es7&amp;uniqId=5695093d6606dfc52619b1e70ad61499515c09044c130814074544095909044d1b0f15501510595a0a594a115842551652595a0e544f170e1904155209094f6" TargetMode="External"/><Relationship Id="rId116" Type="http://schemas.openxmlformats.org/officeDocument/2006/relationships/hyperlink" Target="mailto:kishorekumar.selvaraja13@gmail.com" TargetMode="External"/><Relationship Id="rId158" Type="http://schemas.openxmlformats.org/officeDocument/2006/relationships/hyperlink" Target="mailto:mantutech12@gmail.com" TargetMode="External"/><Relationship Id="rId323" Type="http://schemas.openxmlformats.org/officeDocument/2006/relationships/hyperlink" Target="mailto:umeshgowda088@gmail.com" TargetMode="External"/><Relationship Id="rId530" Type="http://schemas.openxmlformats.org/officeDocument/2006/relationships/hyperlink" Target="https://resdex.naukri.com/v3/preview?tabKey=profile&amp;sid=8447051639&amp;paramString=8b485a994a0b1f7d419bf11cc53a6d4b13106&amp;hfFlowName=search&amp;commentSearchType=comment-my,comment-others&amp;totalResumes=62004&amp;hiringForFlowId=08a076013e4e964d08380a1e7173e662&amp;pFlow=SEARCH_ID&amp;pFlowId=08a076013e4e964d08380a1e7173e662&amp;tupleIndex=5&amp;storageKey=8447051639-1&amp;parentHighLightingKey=8447051639-1&amp;activeIn=7&amp;parentSid=8447051639&amp;sidGroupId=08a076013e4e964d08380a1e7173e662&amp;uresid=c1a398211c218eb4a3848284ea893b60595a09514b1401160202405f5a0c544e1a0e15040240505d01584e1301126&amp;elasticType=es7&amp;uniqId=e49baa18d43013d0e04573cfe4a4392d580b0b07181709190a10410c5900004c420e405519470d0e0d034c465d13044752595a0e544f17001607165209094f6" TargetMode="External"/><Relationship Id="rId20" Type="http://schemas.openxmlformats.org/officeDocument/2006/relationships/hyperlink" Target="mailto:tndesai25@gmail.com" TargetMode="External"/><Relationship Id="rId62" Type="http://schemas.openxmlformats.org/officeDocument/2006/relationships/hyperlink" Target="mailto:chinnatp977@gmail.com" TargetMode="External"/><Relationship Id="rId365" Type="http://schemas.openxmlformats.org/officeDocument/2006/relationships/hyperlink" Target="mailto:jokamble2@gmail.com" TargetMode="External"/><Relationship Id="rId572" Type="http://schemas.openxmlformats.org/officeDocument/2006/relationships/hyperlink" Target="https://resdex.naukri.com/v3/preview?tabKey=profile&amp;sid=8462707265&amp;paramString=8b485a994a0b1f7d419bf11cc53a6d4b13106&amp;hfFlowName=search&amp;commentSearchType=comment-my,comment-others&amp;totalResumes=9152&amp;hiringForFlowId=5dad1d63e050960008a7fd93fc65b1fd&amp;pFlow=SEARCH_ID&amp;pFlowId=5dad1d63e050960008a7fd93fc65b1fd&amp;tupleIndex=2&amp;storageKey=8462707265-1&amp;parentHighLightingKey=8462707265-1&amp;activeIn=7&amp;parentSid=8462707265&amp;sidGroupId=5dad1d63e050960008a7fd93fc65b1fd&amp;uresid=7c0747ad9f03a0270b748195fef1c124595b0b564d1009150402405f5a0f514c1a0e140402405f5e0a58431401146&amp;elasticType=es7&amp;uniqId=85b7ccc61e94dee674ff812c01230a8f0a5a085249410a1856114159590f504e410912074714510801541f145b16051252595a0e574a15001606165209094f6" TargetMode="External"/><Relationship Id="rId225" Type="http://schemas.openxmlformats.org/officeDocument/2006/relationships/hyperlink" Target="mailto:nagaraju83178@gmail.com" TargetMode="External"/><Relationship Id="rId267" Type="http://schemas.openxmlformats.org/officeDocument/2006/relationships/hyperlink" Target="https://resdex.naukri.com/v3/preview?tabKey=profile&amp;sid=8306311582&amp;paramString=8b485a994a0b1f7d419bf11cc53a6d4b13106&amp;hfFlowName=search&amp;commentSearchType=comment-my,comment-others&amp;totalResumes=2763&amp;hiringForFlowId=b76ae12c0736264ad85e4b090b4abc2c&amp;pFlow=SEARCH_ID&amp;pFlowId=b76ae12c0736264ad85e4b090b4abc2c&amp;tupleIndex=12&amp;storageKey=8306311582-1&amp;parentHighLightingKey=8306311582-1&amp;activeIn=39&amp;parentSid=8306311582&amp;sidGroupId=b76ae12c0736264ad85e4b090b4abc2c&amp;uresid=b99d7dc82e0ccde52e6c22958995ef9c595c0a514a1a0b100402405f5a09594a170e140002405a5c0c51431709106&amp;elasticType=es7&amp;uniqId=d45b94bfb650342ec940b0f396000c535b5d5a5519155d1006164850580e524f160d02021646585509554d160a025245076" TargetMode="External"/><Relationship Id="rId432" Type="http://schemas.openxmlformats.org/officeDocument/2006/relationships/hyperlink" Target="mailto:Seshimscrm@gmail.com" TargetMode="External"/><Relationship Id="rId474" Type="http://schemas.openxmlformats.org/officeDocument/2006/relationships/hyperlink" Target="https://resdex.naukri.com/v3/preview?tabKey=profile&amp;sid=8427717235&amp;paramString=8b485a994a0b1f7d419bf11cc53a6d4b13106&amp;hfFlowName=search&amp;commentSearchType=comment-my,comment-others&amp;totalResumes=348&amp;hiringForFlowId=f46803de82e95f56880e243c751a90c6&amp;pFlow=SEARCH_ID&amp;pFlowId=f46803de82e95f56880e243c751a90c6&amp;tupleIndex=20&amp;storageKey=8427717235-1&amp;parentHighLightingKey=8427717235-1&amp;activeIn=7&amp;parentSid=8427717235&amp;sidGroupId=f46803de82e95f56880e243c751a90c6&amp;uresid=66e72890ce78fa419978e8607b30387f5e5a0d5549140d191010465f590156491008111016465f5b0c544e136&amp;elasticType=es7&amp;uniqId=b14d9792a3f8e3ab754237ee852d5dde5d0e5b034f450b440612455d5e0853481509020216465c550e52491209025245076" TargetMode="External"/><Relationship Id="rId127" Type="http://schemas.openxmlformats.org/officeDocument/2006/relationships/hyperlink" Target="mailto:azharrazakhan78611@gmail.com" TargetMode="External"/><Relationship Id="rId31" Type="http://schemas.openxmlformats.org/officeDocument/2006/relationships/hyperlink" Target="mailto:sainisakshi183@gmail.com" TargetMode="External"/><Relationship Id="rId73" Type="http://schemas.openxmlformats.org/officeDocument/2006/relationships/hyperlink" Target="mailto:chhandashisaha39@gmail.com" TargetMode="External"/><Relationship Id="rId169" Type="http://schemas.openxmlformats.org/officeDocument/2006/relationships/hyperlink" Target="mailto:saicharan_konduri@rediffmail.com" TargetMode="External"/><Relationship Id="rId334" Type="http://schemas.openxmlformats.org/officeDocument/2006/relationships/hyperlink" Target="mailto:vishwas.panne@gmail.com" TargetMode="External"/><Relationship Id="rId376" Type="http://schemas.openxmlformats.org/officeDocument/2006/relationships/hyperlink" Target="mailto:vasukisrideeva@gmail.com" TargetMode="External"/><Relationship Id="rId541" Type="http://schemas.openxmlformats.org/officeDocument/2006/relationships/hyperlink" Target="mailto:Sanjay.shivannagouda.patil@gmail.com" TargetMode="External"/><Relationship Id="rId583" Type="http://schemas.openxmlformats.org/officeDocument/2006/relationships/hyperlink" Target="https://resdex.naukri.com/v3/preview?tabKey=profile&amp;sid=8474071009&amp;paramString=8b485a994a0b1f7d419bf11cc53a6d4b13106&amp;hfFlowName=search&amp;commentSearchType=comment-my,comment-others&amp;totalResumes=7384&amp;hiringForFlowId=7750da8a4359257f62e04178351ae558&amp;pFlow=SEARCH_ID&amp;pFlowId=7750da8a4359257f62e04178351ae558&amp;tupleIndex=10&amp;storageKey=8474071009-1&amp;parentHighLightingKey=8474071009-1&amp;activeIn=7&amp;parentSid=8474071009&amp;sidGroupId=7750da8a4359257f62e04178351ae558&amp;uresid=61e3d9b4d599878361064c87d7755a40595501574c120a120702405f5a0f524e170f16010243585c0a58431208136&amp;elasticType=es7&amp;uniqId=78376454c8ce11d0cfe3d3a295231dea595c01504c400c440a18415f595f5148420016014514595e08071e165b12564552595a0e5749170d1704135209094f6" TargetMode="External"/><Relationship Id="rId4" Type="http://schemas.openxmlformats.org/officeDocument/2006/relationships/hyperlink" Target="mailto:alefiyahnaib515253@gmail.com" TargetMode="External"/><Relationship Id="rId180" Type="http://schemas.openxmlformats.org/officeDocument/2006/relationships/hyperlink" Target="mailto:s.dastagiri2001@gmail.com" TargetMode="External"/><Relationship Id="rId236" Type="http://schemas.openxmlformats.org/officeDocument/2006/relationships/hyperlink" Target="mailto:saiprasanna.job@gmail.com" TargetMode="External"/><Relationship Id="rId278" Type="http://schemas.openxmlformats.org/officeDocument/2006/relationships/hyperlink" Target="mailto:ratiranjan7580@gmail.com" TargetMode="External"/><Relationship Id="rId401" Type="http://schemas.openxmlformats.org/officeDocument/2006/relationships/hyperlink" Target="https://resdex.naukri.com/v3/preview?tabKey=profile&amp;sid=8378739830&amp;paramString=8b485a994a0b1f7d419bf11cc53a6d4b13106&amp;hfFlowName=search&amp;commentSearchType=comment-my,comment-others&amp;totalResumes=476&amp;hiringForFlowId=2d7f5484b09de556df91a737556cd60a&amp;pFlow=SEARCH_ID&amp;pFlowId=2d7f5484b09de556df91a737556cd60a&amp;tupleIndex=26&amp;storageKey=8378739830-1&amp;parentHighLightingKey=8378739830-1&amp;activeIn=7&amp;parentSid=8378739830&amp;sidGroupId=2d7f5484b09de556df91a737556cd60a&amp;uresid=adbd281764e5514262080369a4f7ebf95a540c514d120f100302405f5a0a52421a0113030242585b0853421609196&amp;elasticType=es7&amp;uniqId=f4ed4d6fec41f0fe82b1057ea7927f71095b0a514b410c400b1848595909534d1a5a100140490b5d01054b100c19501852595a0e52491b001901115209094f6" TargetMode="External"/><Relationship Id="rId443" Type="http://schemas.openxmlformats.org/officeDocument/2006/relationships/hyperlink" Target="mailto:ramachandrakatta5@gmail.com" TargetMode="External"/><Relationship Id="rId303" Type="http://schemas.openxmlformats.org/officeDocument/2006/relationships/hyperlink" Target="https://resdex.naukri.com/v3/preview?tabKey=profile&amp;sid=8320966016&amp;paramString=8b485a994a0b1f7d419bf11cc53a6d4b13106&amp;hfFlowName=search&amp;commentSearchType=comment-my,comment-others&amp;totalResumes=1724&amp;hiringForFlowId=42d53d241f068fa3ec0918e81928c07f&amp;pFlow=SEARCH_ID&amp;pFlowId=42d53d241f068fa3ec0918e81928c07f&amp;tupleIndex=33&amp;storageKey=8320966016-3&amp;parentHighLightingKey=8320966016-3&amp;activeIn=15&amp;parentSid=8320966016&amp;sidGroupId=42d53d241f068fa3ec0918e81928c07f&amp;uresid=a6f3b8d8d4a84ae655aec7782cd7b719595e0a544f1000110002405f5a08524b140f180602405c5f0d554b1a0a166&amp;elasticType=es7&amp;uniqId=73af6835ef1785f19f28dbc5078e64610d58080542160e1357424850590b044e425b145210490d550a554c170b12051652595a0e5049120e170a145209094f6" TargetMode="External"/><Relationship Id="rId485" Type="http://schemas.openxmlformats.org/officeDocument/2006/relationships/hyperlink" Target="mailto:padalarajesh060191@gmail.com" TargetMode="External"/><Relationship Id="rId42" Type="http://schemas.openxmlformats.org/officeDocument/2006/relationships/hyperlink" Target="mailto:pruthvimanjunath7@gmail.com" TargetMode="External"/><Relationship Id="rId84" Type="http://schemas.openxmlformats.org/officeDocument/2006/relationships/hyperlink" Target="mailto:reachsarthaksharma@gmail.com" TargetMode="External"/><Relationship Id="rId138" Type="http://schemas.openxmlformats.org/officeDocument/2006/relationships/hyperlink" Target="mailto:karthikaa10z@gmail.com" TargetMode="External"/><Relationship Id="rId345" Type="http://schemas.openxmlformats.org/officeDocument/2006/relationships/hyperlink" Target="mailto:vigneshms378@gmail.com" TargetMode="External"/><Relationship Id="rId387" Type="http://schemas.openxmlformats.org/officeDocument/2006/relationships/hyperlink" Target="mailto:jeeva006nantham@gmail.com" TargetMode="External"/><Relationship Id="rId510" Type="http://schemas.openxmlformats.org/officeDocument/2006/relationships/hyperlink" Target="mailto:babinbabin4321@gmail.com" TargetMode="External"/><Relationship Id="rId552" Type="http://schemas.openxmlformats.org/officeDocument/2006/relationships/hyperlink" Target="mailto:jeevangowda748@gmail.com" TargetMode="External"/><Relationship Id="rId191" Type="http://schemas.openxmlformats.org/officeDocument/2006/relationships/hyperlink" Target="mailto:keerthanarameshbabu@gmail.com" TargetMode="External"/><Relationship Id="rId205" Type="http://schemas.openxmlformats.org/officeDocument/2006/relationships/hyperlink" Target="mailto:contact@ramkrishnajena.com" TargetMode="External"/><Relationship Id="rId247" Type="http://schemas.openxmlformats.org/officeDocument/2006/relationships/hyperlink" Target="mailto:dommettiaditya@gmail.com" TargetMode="External"/><Relationship Id="rId412" Type="http://schemas.openxmlformats.org/officeDocument/2006/relationships/hyperlink" Target="mailto:ranaharshit999@gmail.com" TargetMode="External"/><Relationship Id="rId107" Type="http://schemas.openxmlformats.org/officeDocument/2006/relationships/hyperlink" Target="mailto:srnsep9@gmail.com" TargetMode="External"/><Relationship Id="rId289" Type="http://schemas.openxmlformats.org/officeDocument/2006/relationships/hyperlink" Target="mailto:sharadjain07@gmail.com" TargetMode="External"/><Relationship Id="rId454" Type="http://schemas.openxmlformats.org/officeDocument/2006/relationships/hyperlink" Target="mailto:manishmalkania@gmail.com" TargetMode="External"/><Relationship Id="rId496" Type="http://schemas.openxmlformats.org/officeDocument/2006/relationships/hyperlink" Target="mailto:shinojmenon87@gmail.com" TargetMode="External"/><Relationship Id="rId11" Type="http://schemas.openxmlformats.org/officeDocument/2006/relationships/hyperlink" Target="mailto:mailsforjagan44@gmail.com" TargetMode="External"/><Relationship Id="rId53" Type="http://schemas.openxmlformats.org/officeDocument/2006/relationships/hyperlink" Target="mailto:puneet.kumar.capoor@gmail.com" TargetMode="External"/><Relationship Id="rId149" Type="http://schemas.openxmlformats.org/officeDocument/2006/relationships/hyperlink" Target="mailto:gugans.info@gmail.com" TargetMode="External"/><Relationship Id="rId314" Type="http://schemas.openxmlformats.org/officeDocument/2006/relationships/hyperlink" Target="mailto:aishwarya547541@gmail.com" TargetMode="External"/><Relationship Id="rId356" Type="http://schemas.openxmlformats.org/officeDocument/2006/relationships/hyperlink" Target="https://resdex.naukri.com/v3/preview?tabKey=profile&amp;sid=8352066690&amp;paramString=8b485a994a0b1f7d419bf11cc53a6d4b13106&amp;hfFlowName=search&amp;commentSearchType=comment-my,comment-others&amp;totalResumes=1081&amp;hiringForFlowId=02a2c9da684085f62e93578610546cb9&amp;pFlow=SEARCH_ID&amp;pFlowId=02a2c9da684085f62e93578610546cb9&amp;tupleIndex=22&amp;storageKey=8352066690-1&amp;parentHighLightingKey=8352066690-1&amp;activeIn=7&amp;parentSid=8352066690&amp;sidGroupId=02a2c9da684085f62e93578610546cb9&amp;uresid=b9f482e6400e7024f36f0084a0a282785a540f564f160e170a02405f5a0b50431709170b0242585a0150481b0b146&amp;elasticType=es7&amp;uniqId=4bf58aa7c67ce97cfcce580fcc810267510f0d554d120b180543480b590c591e1b09180542485b5808581f470f43521052595a0e534b1a0d1105195209094f6" TargetMode="External"/><Relationship Id="rId398" Type="http://schemas.openxmlformats.org/officeDocument/2006/relationships/hyperlink" Target="mailto:ertayadesarang@gmail.com" TargetMode="External"/><Relationship Id="rId521" Type="http://schemas.openxmlformats.org/officeDocument/2006/relationships/hyperlink" Target="https://resdex.naukri.com/v3/preview?tabKey=profile&amp;sid=8446865223&amp;paramString=8b485a994a0b1f7d419bf11cc53a6d4b13106&amp;hfFlowName=search&amp;commentSearchType=comment-my,comment-others&amp;totalResumes=398&amp;hiringForFlowId=0bf2e2a5cbb0f78629eed4ed850e4da4&amp;pFlow=SEARCH_ID&amp;pFlowId=0bf2e2a5cbb0f78629eed4ed850e4da4&amp;tupleIndex=16&amp;storageKey=8446865223-1&amp;parentHighLightingKey=8446865223-1&amp;activeIn=7&amp;parentSid=8446865223&amp;sidGroupId=0bf2e2a5cbb0f78629eed4ed850e4da4&amp;uresid=65b7049c03f973105246c237e57ce7bf5a5c09544b1001100b02405f5a0c544e1401160702435a590b5343120d196&amp;elasticType=es7&amp;uniqId=054258b4fd828485f84043ea1e8a4b620d0e0157181b5d440342170d590d554b1a5c475511155e5e0b5518470b19511552595a0e544f170e1904155209094f6" TargetMode="External"/><Relationship Id="rId563" Type="http://schemas.openxmlformats.org/officeDocument/2006/relationships/hyperlink" Target="mailto:prasadenige@gmail.com" TargetMode="External"/><Relationship Id="rId95" Type="http://schemas.openxmlformats.org/officeDocument/2006/relationships/hyperlink" Target="mailto:margueritemargie28@gmail.com" TargetMode="External"/><Relationship Id="rId160" Type="http://schemas.openxmlformats.org/officeDocument/2006/relationships/hyperlink" Target="mailto:rahulgowda71098@gmail.com" TargetMode="External"/><Relationship Id="rId216" Type="http://schemas.openxmlformats.org/officeDocument/2006/relationships/hyperlink" Target="https://resdex.naukri.com/v3/preview?tabKey=profile&amp;sid=8282538994&amp;paramString=8b485a994a0b1f7d419bf11cc53a6d4b13106&amp;hfFlowName=search&amp;commentSearchType=comment-my,comment-others&amp;totalResumes=57&amp;hiringForFlowId=5bcefa870fe0bd1eff20e1f521970243&amp;pFlow=SEARCH_ID&amp;pFlowId=5bcefa870fe0bd1eff20e1f521970243&amp;tupleIndex=25&amp;storageKey=8282538994-1&amp;parentHighLightingKey=8282538994-1&amp;activeIn=7&amp;parentSid=8282538994&amp;sidGroupId=5bcefa870fe0bd1eff20e1f521970243&amp;uresid=373b819d7e6692b7040c7f502cf0276e5c5c0b5342140e101010465f5d085149150e171014435a5409534d126&amp;elasticType=es7&amp;uniqId=c2ba8d8b227fb762e1f5cdcd487773c45a5b5f594b150d1104111258580c0742100b02021646585c09524c140f025245076" TargetMode="External"/><Relationship Id="rId423" Type="http://schemas.openxmlformats.org/officeDocument/2006/relationships/hyperlink" Target="https://resdex.naukri.com/v3/preview?tabKey=profile&amp;sid=8414473089&amp;paramString=8b485a994a0b1f7d419bf11cc53a6d4b13106&amp;hfFlowName=search&amp;commentSearchType=comment-my,comment-others&amp;totalResumes=1495&amp;hiringForFlowId=504a01f4123749ab98fb4c4549243c8a&amp;pFlow=SEARCH_ID&amp;pFlowId=504a01f4123749ab98fb4c4549243c8a&amp;tupleIndex=25&amp;storageKey=8414473089-1&amp;parentHighLightingKey=8414473089-1&amp;activeIn=15&amp;parentSid=8414473089&amp;sidGroupId=504a01f4123749ab98fb4c4549243c8a&amp;uresid=ecf4cec01490ac666128b207ab42e12c5a580f50491a09160302405f5a0d5548170e170202435e5a0854431701116&amp;elasticType=es7&amp;uniqId=7af9b6b77ea573859b7ffe0c7953d4e60e555c594f465a1856174258595c051c1a5b175247460e5a5b541e400d140a4752595a0e554e110d1605105209094f6" TargetMode="External"/><Relationship Id="rId258" Type="http://schemas.openxmlformats.org/officeDocument/2006/relationships/hyperlink" Target="mailto:premchand.kakke@gmail.com" TargetMode="External"/><Relationship Id="rId465" Type="http://schemas.openxmlformats.org/officeDocument/2006/relationships/hyperlink" Target="mailto:melbinrc@gmail.com" TargetMode="External"/><Relationship Id="rId22" Type="http://schemas.openxmlformats.org/officeDocument/2006/relationships/hyperlink" Target="mailto:subhamdeyece@gmail.com" TargetMode="External"/><Relationship Id="rId64" Type="http://schemas.openxmlformats.org/officeDocument/2006/relationships/hyperlink" Target="mailto:madhancse42@outlook.com" TargetMode="External"/><Relationship Id="rId118" Type="http://schemas.openxmlformats.org/officeDocument/2006/relationships/hyperlink" Target="mailto:shriyahanchinal99@gmail.com" TargetMode="External"/><Relationship Id="rId325" Type="http://schemas.openxmlformats.org/officeDocument/2006/relationships/hyperlink" Target="mailto:Maheshsunkara92@gmail.com" TargetMode="External"/><Relationship Id="rId367" Type="http://schemas.openxmlformats.org/officeDocument/2006/relationships/hyperlink" Target="mailto:bindhusr1017@gmail.com" TargetMode="External"/><Relationship Id="rId532" Type="http://schemas.openxmlformats.org/officeDocument/2006/relationships/hyperlink" Target="https://resdex.naukri.com/v3/preview?tabKey=profile&amp;sid=8447051639&amp;paramString=8b485a994a0b1f7d419bf11cc53a6d4b13106&amp;hfFlowName=search&amp;commentSearchType=comment-my,comment-others&amp;totalResumes=62004&amp;hiringForFlowId=08a076013e4e964d08380a1e7173e662&amp;pFlow=SEARCH_ID&amp;pFlowId=08a076013e4e964d08380a1e7173e662&amp;tupleIndex=17&amp;storageKey=8447051639-1&amp;parentHighLightingKey=8447051639-1&amp;activeIn=7&amp;parentSid=8447051639&amp;sidGroupId=08a076013e4e964d08380a1e7173e662&amp;uresid=c618711d2b13d4b079ae0fe7ae0929a05a5c0857421a0e150502405f5a0c544e1a0e150402405e580f584c170f166&amp;elasticType=es7&amp;uniqId=32078aedd852415f5bac8660c08c2c9e5f595c5119130b100a15445f59090349415f180140155a095b5849125d13061652595a0e544f17001607165209094f6" TargetMode="External"/><Relationship Id="rId574" Type="http://schemas.openxmlformats.org/officeDocument/2006/relationships/hyperlink" Target="mailto:abhilashbdl@gmail.com" TargetMode="External"/><Relationship Id="rId171" Type="http://schemas.openxmlformats.org/officeDocument/2006/relationships/hyperlink" Target="mailto:amansingh4467@gmail.com" TargetMode="External"/><Relationship Id="rId227" Type="http://schemas.openxmlformats.org/officeDocument/2006/relationships/hyperlink" Target="https://resdex.naukri.com/v3/preview?tabKey=profile&amp;hfFlowName=simcv&amp;totalResumes=324&amp;pageUid=7663a608b33527f9362620cd72e5418d5a540d514d1a0e110702405f5a0950431201170b0242585808524d1108196&amp;hiringForFlowId=efceea52b6e652a4f1e84f3ffe140afc&amp;pFlow=SEARCH_ID&amp;pFlowId=efceea52b6e652a4f1e84f3ffe140afc&amp;tupleIndex=25&amp;storageKey=7663a608b33527f9362620cd72e5418d5a540d514d1a0e110702405f5a0950431201170b0242585808524d1108196-1&amp;parentHighLightingKey=8286177008-1&amp;activeIn=3650&amp;parentSid=8286177008&amp;sidGroupId=efceea52b6e652a4f1e84f3ffe140afc&amp;principalUserId=305137218&amp;uresid=40dd2b06bd6cba9b292c6a9319e64ea9595f0953421401180002405f5a0950431108180202405a55005043140d106&amp;parentActiveSimCvSource=collab&amp;parentSimCvCount=324&amp;parentContextSimCvCount=100&amp;parentSimCvSource=collab&amp;elasticType=es7&amp;simcvModelTag=sales_77_v1_rerankedV0&amp;simCvSource=collab&amp;uniqId=d84e9d301e98d9c659363c1b4a535f025f580b5943140115001145500b5f551f160102021646585c00534b1a08025245076&amp;parentSearchType=adv" TargetMode="External"/><Relationship Id="rId269" Type="http://schemas.openxmlformats.org/officeDocument/2006/relationships/hyperlink" Target="https://resdex.naukri.com/v3/preview?tabKey=profile&amp;sid=8306555516&amp;paramString=8b485a994a0b1f7d419bf11cc53a6d4b13106&amp;hfFlowName=search&amp;commentSearchType=comment-my,comment-others&amp;totalResumes=1360&amp;hiringForFlowId=9250c4de4454a4b8e72cc990365a1006&amp;pFlow=SEARCH_ID&amp;pFlowId=9250c4de4454a4b8e72cc990365a1006&amp;tupleIndex=155&amp;storageKey=8306555516-1&amp;parentHighLightingKey=8306555516-1&amp;activeIn=7&amp;parentSid=8306555516&amp;sidGroupId=9250c4de4454a4b8e72cc990365a1006&amp;uresid=415157339bcbf9fdcc5bb9e554651f7c595c0a534b160b150202405f5a09594a1409190202405a5c0e5042130b186&amp;elasticType=es7&amp;uniqId=6922468b5b1e5dae64bbb49102475ec15d0c58524d405f19064341585f0a5018100102021646585509564a1b08025245076" TargetMode="External"/><Relationship Id="rId434" Type="http://schemas.openxmlformats.org/officeDocument/2006/relationships/hyperlink" Target="mailto:lakshminagadurgakola7@gmail.com" TargetMode="External"/><Relationship Id="rId476" Type="http://schemas.openxmlformats.org/officeDocument/2006/relationships/hyperlink" Target="https://resdex.naukri.com/v3/preview?tabKey=profile&amp;sid=8429617011&amp;paramString=8b485a994a0b1f7d419bf11cc53a6d4b13106&amp;hfFlowName=search&amp;commentSearchType=comment-my,comment-others&amp;totalResumes=8&amp;hiringForFlowId=1827e49aba3fa90308a54aa7796f14c1&amp;pFlow=SEARCH_ID&amp;pFlowId=1827e49aba3fa90308a54aa7796f14c1&amp;tupleIndex=1&amp;storageKey=8429617011-1&amp;parentHighLightingKey=8429617011-1&amp;activeIn=7&amp;parentSid=8429617011&amp;sidGroupId=1827e49aba3fa90308a54aa7796f14c1&amp;uresid=41904ce33c1fc484e30bb517b04508f95c550d594d1600141010465f5900554f130d181014485c5f0d544a106&amp;elasticType=es7&amp;uniqId=cee71a4ec050df647138dfe3b7b32bc95c0e0c034c1658180143140d0b5d5518100b020216465c540d544a1700025245076" TargetMode="External"/><Relationship Id="rId33" Type="http://schemas.openxmlformats.org/officeDocument/2006/relationships/hyperlink" Target="mailto:padamati.sathish@gmail.com" TargetMode="External"/><Relationship Id="rId129" Type="http://schemas.openxmlformats.org/officeDocument/2006/relationships/hyperlink" Target="mailto:abisheikabisheikking@gmail.com" TargetMode="External"/><Relationship Id="rId280" Type="http://schemas.openxmlformats.org/officeDocument/2006/relationships/hyperlink" Target="mailto:harinatarajamandiram@gmail.com" TargetMode="External"/><Relationship Id="rId336" Type="http://schemas.openxmlformats.org/officeDocument/2006/relationships/hyperlink" Target="https://resdex.naukri.com/v3/preview?tabKey=profile&amp;sid=8340049342&amp;paramString=8b485a994a0b1f7d419bf11cc53a6d4b13106&amp;hfFlowName=search&amp;commentSearchType=comment-my,comment-others&amp;totalResumes=27&amp;hiringForFlowId=28e08f90eaa56e961687d8816514fcb6&amp;pFlow=SEARCH_ID&amp;pFlowId=28e08f90eaa56e961687d8816514fcb6&amp;tupleIndex=0&amp;storageKey=8340049342-1&amp;parentHighLightingKey=8340049342-1&amp;activeIn=7&amp;parentSid=8340049342&amp;sidGroupId=28e08f90eaa56e961687d8816514fcb6&amp;uresid=9a230ba76663b2868c72f2e45be1628e5a5c0053421109160b02405f5a08584b140e120302435b5f0d574e150e156&amp;elasticType=es7&amp;uniqId=04bcd9b18d5b04eb9fc48ad3a530f47159085d521c1b5c165047485d590d544e410b12501115505a0e044a140b16504552595a0e5043120e1600115209094f6" TargetMode="External"/><Relationship Id="rId501" Type="http://schemas.openxmlformats.org/officeDocument/2006/relationships/hyperlink" Target="mailto:darshanhm2211@gmail.com" TargetMode="External"/><Relationship Id="rId543" Type="http://schemas.openxmlformats.org/officeDocument/2006/relationships/hyperlink" Target="mailto:dholariyarashil@gmail.com" TargetMode="External"/><Relationship Id="rId75" Type="http://schemas.openxmlformats.org/officeDocument/2006/relationships/hyperlink" Target="mailto:bijaykumarbiju070@gmail.com" TargetMode="External"/><Relationship Id="rId140" Type="http://schemas.openxmlformats.org/officeDocument/2006/relationships/hyperlink" Target="mailto:Shyamakirana@gmail.com" TargetMode="External"/><Relationship Id="rId182" Type="http://schemas.openxmlformats.org/officeDocument/2006/relationships/hyperlink" Target="mailto:harsh.krishna80@gmail.com" TargetMode="External"/><Relationship Id="rId378" Type="http://schemas.openxmlformats.org/officeDocument/2006/relationships/hyperlink" Target="mailto:divyamk1220@gmail.com" TargetMode="External"/><Relationship Id="rId403" Type="http://schemas.openxmlformats.org/officeDocument/2006/relationships/hyperlink" Target="https://resdex.naukri.com/v3/preview?tabKey=profile&amp;sid=8366027228&amp;paramString=8b485a994a0b1f7d419bf11cc53a6d4b13106&amp;hfFlowName=search&amp;commentSearchType=comment-my,comment-others&amp;totalResumes=300&amp;hiringForFlowId=00a93f9a8070f807c6648a5c9edf5cbc&amp;pFlow=SEARCH_ID&amp;pFlowId=00a93f9a8070f807c6648a5c9edf5cbc&amp;tupleIndex=6&amp;storageKey=8366027228-1&amp;parentHighLightingKey=8366027228-1&amp;activeIn=7&amp;parentSid=8366027228&amp;sidGroupId=00a93f9a8070f807c6648a5c9edf5cbc&amp;uresid=defd94e5b01f502250945cd221aa5fbc5a5f0f5242170d180102405f5a0b56421009190602435a550c554b1501176&amp;elasticType=es7&amp;uniqId=4775112327fbb4581c526b380d45cc7d5f5d5802424558135643170e590d594c420b190115130a0b580418420d45561452595a0e534d1b0a110b145209094f6" TargetMode="External"/><Relationship Id="rId585" Type="http://schemas.openxmlformats.org/officeDocument/2006/relationships/hyperlink" Target="https://resdex.naukri.com/v3/preview?tabKey=profile&amp;sid=8474071009&amp;paramString=8b485a994a0b1f7d419bf11cc53a6d4b13106&amp;hfFlowName=search&amp;commentSearchType=comment-my,comment-others&amp;phoneStatus=true&amp;totalResumes=7384&amp;hiringForFlowId=7750da8a4359257f62e04178351ae558&amp;pFlow=SEARCH_ID&amp;pFlowId=7750da8a4359257f62e04178351ae558&amp;tupleIndex=22&amp;storageKey=8474071009-1&amp;parentHighLightingKey=8474071009-1&amp;activeIn=7&amp;parentSid=8474071009&amp;sidGroupId=7750da8a4359257f62e04178351ae558&amp;uresid=95cba6075ad779c0188b4fe74f394fc85a5f0a55421701140502405f5a0f524e170f160102435b5b09594e1a0c156&amp;elasticType=es7&amp;uniqId=2cb0a7e35007f7ab95773ac1281f728f585b0155191108145142125a5901024e415c17011549090f5d5643145a470b1652595a0e5749170d1704135209094f6" TargetMode="External"/><Relationship Id="rId6" Type="http://schemas.openxmlformats.org/officeDocument/2006/relationships/hyperlink" Target="mailto:parulvishwakarma2020@gmail.com" TargetMode="External"/><Relationship Id="rId238" Type="http://schemas.openxmlformats.org/officeDocument/2006/relationships/hyperlink" Target="mailto:nisharathod8337@gmail.com" TargetMode="External"/><Relationship Id="rId445" Type="http://schemas.openxmlformats.org/officeDocument/2006/relationships/hyperlink" Target="mailto:basantpandey04@gmail.com" TargetMode="External"/><Relationship Id="rId487" Type="http://schemas.openxmlformats.org/officeDocument/2006/relationships/hyperlink" Target="mailto:anandmdayal.1994@gmail.com" TargetMode="External"/><Relationship Id="rId291" Type="http://schemas.openxmlformats.org/officeDocument/2006/relationships/hyperlink" Target="mailto:irfanalibhat.uk@gmail.com" TargetMode="External"/><Relationship Id="rId305" Type="http://schemas.openxmlformats.org/officeDocument/2006/relationships/hyperlink" Target="https://resdex.naukri.com/v3/preview?tabKey=profile&amp;sid=8320501904&amp;paramString=8b485a994a0b1f7d419bf11cc53a6d4b13106&amp;hfFlowName=search&amp;commentSearchType=comment-my,comment-others&amp;totalResumes=4664&amp;hiringForFlowId=1a10b857883dba4f6e9aada7c38d2bae&amp;pFlow=SEARCH_ID&amp;pFlowId=1a10b857883dba4f6e9aada7c38d2bae&amp;tupleIndex=12&amp;storageKey=8320501904-2&amp;parentHighLightingKey=8320501904-2&amp;activeIn=15&amp;parentSid=8320501904&amp;sidGroupId=1a10b857883dba4f6e9aada7c38d2bae&amp;uresid=87a7acd7aa909d5c1c8bd1f5cd0dd78f595b0c53491709100602405f5a08524b100a170402405f5800504b1600166&amp;elasticType=es7&amp;uniqId=3ef0da329591c762bdf321bf8f8e3d8f500c5b5219155b135640470a590c594b420d110142425b085c5219100047564352595a0e5049120a1205165209094f6" TargetMode="External"/><Relationship Id="rId347" Type="http://schemas.openxmlformats.org/officeDocument/2006/relationships/hyperlink" Target="https://resdex.naukri.com/v3/preview?tabKey=profile&amp;sid=8352066690&amp;paramString=8b485a994a0b1f7d419bf11cc53a6d4b13106&amp;hfFlowName=search&amp;commentSearchType=comment-my,comment-others&amp;totalResumes=1081&amp;hiringForFlowId=02a2c9da684085f62e93578610546cb9&amp;pFlow=SEARCH_ID&amp;pFlowId=02a2c9da684085f62e93578610546cb9&amp;tupleIndex=9&amp;storageKey=8352066690-1&amp;parentHighLightingKey=8352066690-1&amp;activeIn=7&amp;parentSid=8352066690&amp;sidGroupId=02a2c9da684085f62e93578610546cb9&amp;uresid=a8279fd638f26158561eae858a1b6a825b5f0d504d140c140b02405f5a0b50431709170b02425b580b52481709176&amp;elasticType=es7&amp;uniqId=bdc3b39186bb707e00b485e9e31638db5f550a574d4008155114430959010348420d110b4744515b5a5719115810031452595a0e534b1a0d1105195209094f6" TargetMode="External"/><Relationship Id="rId512" Type="http://schemas.openxmlformats.org/officeDocument/2006/relationships/hyperlink" Target="mailto:sangeethasivan81@gmail.com" TargetMode="External"/><Relationship Id="rId44" Type="http://schemas.openxmlformats.org/officeDocument/2006/relationships/hyperlink" Target="mailto:prakashmari91@gmail.com" TargetMode="External"/><Relationship Id="rId86" Type="http://schemas.openxmlformats.org/officeDocument/2006/relationships/hyperlink" Target="mailto:guptapoonam111997@gmail.com" TargetMode="External"/><Relationship Id="rId151" Type="http://schemas.openxmlformats.org/officeDocument/2006/relationships/hyperlink" Target="mailto:swathiperiyasamy31@gmail.com" TargetMode="External"/><Relationship Id="rId389" Type="http://schemas.openxmlformats.org/officeDocument/2006/relationships/hyperlink" Target="https://resdex.naukri.com/v3/preview?tabKey=profile&amp;sid=8371004640&amp;paramString=8b485a994a0b1f7d419bf11cc53a6d4b13106&amp;hfFlowName=search&amp;commentSearchType=comment-my,comment-others&amp;totalResumes=25&amp;hiringForFlowId=bd41fcb3c0ffcccbbdf915a7d328cdd6&amp;pFlow=SEARCH_ID&amp;pFlowId=bd41fcb3c0ffcccbbdf915a7d328cdd6&amp;tupleIndex=7&amp;storageKey=8371004640-1&amp;parentHighLightingKey=8371004640-1&amp;activeIn=7&amp;parentSid=8371004640&amp;sidGroupId=bd41fcb3c0ffcccbbdf915a7d328cdd6&amp;uresid=106f94943837be1c637c6d79175ca0405b5d01534b1a00190702405f5a0a51491a0f1001024259540b564b1708196&amp;elasticType=es7&amp;uniqId=a6b6fe1366935811816e44b0d635ac8d5d0e5a07421b5f180342105a5901051f420916511314595b0f511f470e44041252595a0e524a10001702135209094f6" TargetMode="External"/><Relationship Id="rId554" Type="http://schemas.openxmlformats.org/officeDocument/2006/relationships/hyperlink" Target="https://resdex.naukri.com/v3/preview?tabKey=profile&amp;sid=8447051639&amp;paramString=8b485a994a0b1f7d419bf11cc53a6d4b13106&amp;hfFlowName=search&amp;commentSearchType=comment-my,comment-others&amp;totalResumes=62004&amp;hiringForFlowId=08a076013e4e964d08380a1e7173e662&amp;pFlow=SEARCH_ID&amp;pFlowId=08a076013e4e964d08380a1e7173e662&amp;tupleIndex=6&amp;storageKey=8447051639-1&amp;parentHighLightingKey=8447051639-1&amp;activeIn=7&amp;parentSid=8447051639&amp;sidGroupId=08a076013e4e964d08380a1e7173e662&amp;uresid=2e37dfec15eaa6c862234ea730a2b0865059085248100e161010465f580c5543140d16101842595909564f126&amp;elasticType=es7&amp;uniqId=0a1a70c1ff7e05540af577eb2e7471305e5b5f531f170f430440485d5f58074f1a08020216465d580d584d170e025245076" TargetMode="External"/><Relationship Id="rId193" Type="http://schemas.openxmlformats.org/officeDocument/2006/relationships/hyperlink" Target="https://resdex.naukri.com/v3/preview?tabKey=profile&amp;sid=8277247792&amp;paramString=8b485a994a0b1f7d419bf11cc53a6d4b13106&amp;hfFlowName=search&amp;commentSearchType=comment-my,comment-others&amp;totalResumes=1175&amp;hiringForFlowId=057cee527d560d2317f5b0718726505c&amp;pFlow=SEARCH_ID&amp;pFlowId=057cee527d560d2317f5b0718726505c&amp;tupleIndex=1&amp;storageKey=8277247792-1&amp;parentHighLightingKey=8277247792-1&amp;activeIn=7&amp;parentSid=8277247792&amp;sidGroupId=057cee527d560d2317f5b0718726505c&amp;uresid=7c2b969397f674b23e55f0d2998fecec5a5c0a594c1a0a140102405f5b00594e170b170702435a5a0b504e1601116&amp;elasticType=es7&amp;uniqId=8ee344347c55cfbb0614363017d4203550590a504b1b5f445211120b5909054c1a0e170415175a5f5b5149410943511652595a0f5842170d1305155209094f6" TargetMode="External"/><Relationship Id="rId207" Type="http://schemas.openxmlformats.org/officeDocument/2006/relationships/hyperlink" Target="mailto:karnammohanbabu2000@gmail.com" TargetMode="External"/><Relationship Id="rId249" Type="http://schemas.openxmlformats.org/officeDocument/2006/relationships/hyperlink" Target="mailto:harshaap007@gmail.com" TargetMode="External"/><Relationship Id="rId414" Type="http://schemas.openxmlformats.org/officeDocument/2006/relationships/hyperlink" Target="https://resdex.naukri.com/v3/preview?tabKey=profile&amp;sid=8407643971&amp;paramString=8b485a994a0b1f7d419bf11cc53a6d4b13106&amp;hfFlowName=search&amp;commentSearchType=comment-my,comment-others&amp;totalResumes=212&amp;hiringForFlowId=d135352ac905eaea7f1581cfcd540f00&amp;pFlow=SEARCH_ID&amp;pFlowId=d135352ac905eaea7f1581cfcd540f00&amp;tupleIndex=25&amp;storageKey=8407643971-1&amp;parentHighLightingKey=8407643971-1&amp;activeIn=7&amp;parentSid=8407643971&amp;sidGroupId=d135352ac905eaea7f1581cfcd540f00&amp;uresid=49b763133a0af485c1397c7b6ba3922e5955095043110f120a02405f5a0d534f170d11050240515c0d5548130f106&amp;elasticType=es7&amp;uniqId=dcba75c87361793502d1825445666887095c5d591f170a4406404759590f521c4158150717435d595d594a450118514752595a0e5548160d1503175209094f6" TargetMode="External"/><Relationship Id="rId456" Type="http://schemas.openxmlformats.org/officeDocument/2006/relationships/hyperlink" Target="mailto:vikasachar3333@gmail.com" TargetMode="External"/><Relationship Id="rId498" Type="http://schemas.openxmlformats.org/officeDocument/2006/relationships/hyperlink" Target="https://resdex.naukri.com/v3/preview?tabKey=profile&amp;sid=8432915533&amp;hfFlowName=contextcv&amp;totalResumes=61&amp;pageUid=1c865e1d6631471a181eb7a73a7b63da5e5e0c53481b01111010465f5809524b11011310164251590055481b6&amp;hiringForFlowId=e74fdbfdc16506c14be78b12db971c18&amp;pFlow=SEARCH_ID&amp;pFlowId=e74fdbfdc16506c14be78b12db971c18&amp;tupleIndex=27&amp;storageKey=8432915533-1&amp;parentHighLightingKey=8432890221-1&amp;refineHighlightKey=8432915533&amp;activeIn=15&amp;parentSid=8432915533&amp;sidGroupId=e74fdbfdc16506c14be78b12db971c18&amp;principalUserId=73949428&amp;uresid=bfe16e2b3d58aab718383cb1dd1d5ed15d5b0c514b1300141010465f5809524b160a17101746595401554e126&amp;parentActiveSimCvSource=content&amp;parentSimCvCount=115&amp;parentContextSimCvCount=100&amp;parentSimCvSource=content&amp;elasticType=es7&amp;simcvModelTag=it_retV2_modelV2_spark_rerankedV0&amp;simCvSource=content&amp;uniqId=377a6b9538a5606a99517bd8bac7e3e8580f5d514a125a430315400c0c0f561e160e020216465d5d0a504f100f025245076&amp;parentSearchType=simcv" TargetMode="External"/><Relationship Id="rId13" Type="http://schemas.openxmlformats.org/officeDocument/2006/relationships/hyperlink" Target="mailto:abhinavsaxenanit@gmail.com" TargetMode="External"/><Relationship Id="rId109" Type="http://schemas.openxmlformats.org/officeDocument/2006/relationships/hyperlink" Target="mailto:madhava.m0896@gmail.com" TargetMode="External"/><Relationship Id="rId260" Type="http://schemas.openxmlformats.org/officeDocument/2006/relationships/hyperlink" Target="mailto:nishitmdl@gmail.com" TargetMode="External"/><Relationship Id="rId316" Type="http://schemas.openxmlformats.org/officeDocument/2006/relationships/hyperlink" Target="mailto:dasratikanta829@gmail.com" TargetMode="External"/><Relationship Id="rId523" Type="http://schemas.openxmlformats.org/officeDocument/2006/relationships/hyperlink" Target="mailto:varshinin036@gmail.com" TargetMode="External"/><Relationship Id="rId55" Type="http://schemas.openxmlformats.org/officeDocument/2006/relationships/hyperlink" Target="mailto:subodh.m33@gmail.com" TargetMode="External"/><Relationship Id="rId97" Type="http://schemas.openxmlformats.org/officeDocument/2006/relationships/hyperlink" Target="mailto:aiswaryasreenivasan21@gmail.com" TargetMode="External"/><Relationship Id="rId120" Type="http://schemas.openxmlformats.org/officeDocument/2006/relationships/hyperlink" Target="mailto:DSNV.wintel@gmail.com" TargetMode="External"/><Relationship Id="rId358" Type="http://schemas.openxmlformats.org/officeDocument/2006/relationships/hyperlink" Target="https://resdex.naukri.com/v3/preview?tabKey=profile&amp;sid=8352066690&amp;paramString=8b485a994a0b1f7d419bf11cc53a6d4b13106&amp;hfFlowName=search&amp;commentSearchType=comment-my,comment-others&amp;totalResumes=1081&amp;hiringForFlowId=02a2c9da684085f62e93578610546cb9&amp;pFlow=SEARCH_ID&amp;pFlowId=02a2c9da684085f62e93578610546cb9&amp;tupleIndex=56&amp;storageKey=8352066690-1&amp;parentHighLightingKey=8352066690-1&amp;activeIn=7&amp;parentSid=8352066690&amp;sidGroupId=02a2c9da684085f62e93578610546cb9&amp;uresid=faebbcb7cf13ad6af650d8924f8d556f5a5d00554f130b150302405f5a0b574a1509150102435a5e08524a110c176&amp;elasticType=es7&amp;uniqId=f770011531c76cf1f353601243f7da1f0c550d034b415f1850124009595d00491a0d470b1517505b5d584d475c17011952595a0e534c130f1107135209094f6" TargetMode="External"/><Relationship Id="rId565" Type="http://schemas.openxmlformats.org/officeDocument/2006/relationships/hyperlink" Target="mailto:prakashnsneele@gmail.com" TargetMode="External"/><Relationship Id="rId162" Type="http://schemas.openxmlformats.org/officeDocument/2006/relationships/hyperlink" Target="mailto:singpri21@gmail.com" TargetMode="External"/><Relationship Id="rId218" Type="http://schemas.openxmlformats.org/officeDocument/2006/relationships/hyperlink" Target="https://resdex.naukri.com/v3/preview?tabKey=profile&amp;sid=8282538994&amp;paramString=8b485a994a0b1f7d419bf11cc53a6d4b13106&amp;hfFlowName=search&amp;commentSearchType=comment-my,comment-others&amp;totalResumes=57&amp;hiringForFlowId=5bcefa870fe0bd1eff20e1f521970243&amp;pFlow=SEARCH_ID&amp;pFlowId=5bcefa870fe0bd1eff20e1f521970243&amp;tupleIndex=36&amp;storageKey=8282538994-1&amp;parentHighLightingKey=8282538994-1&amp;activeIn=7&amp;parentSid=8282538994&amp;sidGroupId=5bcefa870fe0bd1eff20e1f521970243&amp;uresid=27e331902846cb46e595eb299c00c5da5f5a01534c1009131010465f5d085149150e17101946595e0c544f116&amp;elasticType=es7&amp;uniqId=858273edfe19eb48d9a4c73d149024b75d5f0155481a5c110445440b0e5f544d100a02021646585c09524c140f025245076" TargetMode="External"/><Relationship Id="rId425" Type="http://schemas.openxmlformats.org/officeDocument/2006/relationships/hyperlink" Target="https://resdex.naukri.com/v3/preview?tabKey=profile&amp;sid=8414473089&amp;paramString=8b485a994a0b1f7d419bf11cc53a6d4b13106&amp;hfFlowName=search&amp;commentSearchType=comment-my,comment-others&amp;totalResumes=1495&amp;hiringForFlowId=504a01f4123749ab98fb4c4549243c8a&amp;pFlow=SEARCH_ID&amp;pFlowId=504a01f4123749ab98fb4c4549243c8a&amp;tupleIndex=7&amp;storageKey=8414473089-1&amp;parentHighLightingKey=8414473089-1&amp;activeIn=15&amp;parentSid=8414473089&amp;sidGroupId=504a01f4123749ab98fb4c4549243c8a&amp;uresid=7f2a596ba27bef0173d86a5dc88f81485a5d08584e1100170102405f5a0d5548170e1702024359580a544b1308176&amp;elasticType=es7&amp;uniqId=f6489313fd000d19e3b20aee8fb1676b5b5f00501f1b5d160519475f590d03494201190416145a0f09534c130b10051652595a0e554e110d1605105209094f6" TargetMode="External"/><Relationship Id="rId467" Type="http://schemas.openxmlformats.org/officeDocument/2006/relationships/hyperlink" Target="mailto:prasad.dwd@gmail.com" TargetMode="External"/><Relationship Id="rId271" Type="http://schemas.openxmlformats.org/officeDocument/2006/relationships/hyperlink" Target="mailto:acharyavinay555@gmail.com" TargetMode="External"/><Relationship Id="rId24" Type="http://schemas.openxmlformats.org/officeDocument/2006/relationships/hyperlink" Target="mailto:zeeshanm851@gmail.com" TargetMode="External"/><Relationship Id="rId66" Type="http://schemas.openxmlformats.org/officeDocument/2006/relationships/hyperlink" Target="mailto:muthu.kumaresan.it@gmail.com" TargetMode="External"/><Relationship Id="rId131" Type="http://schemas.openxmlformats.org/officeDocument/2006/relationships/hyperlink" Target="mailto:sunandajha20@gmail.com%20" TargetMode="External"/><Relationship Id="rId327" Type="http://schemas.openxmlformats.org/officeDocument/2006/relationships/hyperlink" Target="mailto:garimasharma.tech2403@gmail.com" TargetMode="External"/><Relationship Id="rId369" Type="http://schemas.openxmlformats.org/officeDocument/2006/relationships/hyperlink" Target="mailto:prajakta1552@gmail.com" TargetMode="External"/><Relationship Id="rId534" Type="http://schemas.openxmlformats.org/officeDocument/2006/relationships/hyperlink" Target="mailto:selvasek15@gmail.com" TargetMode="External"/><Relationship Id="rId576" Type="http://schemas.openxmlformats.org/officeDocument/2006/relationships/hyperlink" Target="mailto:suveer.jain1999@gmail.com" TargetMode="External"/><Relationship Id="rId173" Type="http://schemas.openxmlformats.org/officeDocument/2006/relationships/hyperlink" Target="https://resdex.naukri.com/v3/preview?tabKey=profile&amp;sid=8277247792&amp;paramString=8b485a994a0b1f7d419bf11cc53a6d4b13106&amp;hfFlowName=search&amp;commentSearchType=comment-my,comment-others&amp;totalResumes=1175&amp;hiringForFlowId=057cee527d560d2317f5b0718726505c&amp;pFlow=SEARCH_ID&amp;pFlowId=057cee527d560d2317f5b0718726505c&amp;tupleIndex=1&amp;storageKey=8277247792-1&amp;parentHighLightingKey=8277247792-1&amp;activeIn=7&amp;parentSid=8277247792&amp;sidGroupId=057cee527d560d2317f5b0718726505c&amp;uresid=7c2b969397f674b23e55f0d2998fecec5a5c0a594c1a0a140102405f5b00594e170b170702435a5a0b504e1601116&amp;elasticType=es7&amp;uniqId=8ee344347c55cfbb0614363017d4203550590a504b1b5f445211120b5909054c1a0e170415175a5f5b5149410943511652595a0f5842170d1305155209094f6" TargetMode="External"/><Relationship Id="rId229" Type="http://schemas.openxmlformats.org/officeDocument/2006/relationships/hyperlink" Target="mailto:jithesh.shetty55@gmail.com%20" TargetMode="External"/><Relationship Id="rId380" Type="http://schemas.openxmlformats.org/officeDocument/2006/relationships/hyperlink" Target="https://resdex.naukri.com/v3/preview?tabKey=profile&amp;sid=8371004640&amp;paramString=8b485a994a0b1f7d419bf11cc53a6d4b13106&amp;hfFlowName=search&amp;commentSearchType=comment-my,comment-others&amp;totalResumes=25&amp;hiringForFlowId=bd41fcb3c0ffcccbbdf915a7d328cdd6&amp;pFlow=SEARCH_ID&amp;pFlowId=bd41fcb3c0ffcccbbdf915a7d328cdd6&amp;tupleIndex=2&amp;storageKey=8371004640-1&amp;parentHighLightingKey=8371004640-1&amp;activeIn=7&amp;parentSid=8371004640&amp;sidGroupId=bd41fcb3c0ffcccbbdf915a7d328cdd6&amp;uresid=977d2b4b0484dcc15b6cde3d75596ec35a5a0a55431309100702405f5a0a51491a0f1001024350590c554b120d176&amp;elasticType=es7&amp;uniqId=49f6d71dc2d7fa85f2e26220259c5ae158080c054f145f105716480d59085448420b17571347585d0c5019120e11511052595a0e524a10001702135209094f6" TargetMode="External"/><Relationship Id="rId436" Type="http://schemas.openxmlformats.org/officeDocument/2006/relationships/hyperlink" Target="https://resdex.naukri.com/v3/preview?tabKey=profile&amp;sid=8419924723&amp;paramString=8b485a994a0b1f7d419bf11cc53a6d4b13106&amp;hfFlowName=search&amp;commentSearchType=comment-my,comment-others&amp;totalResumes=400&amp;hiringForFlowId=1840bc3fa51ef86d9058a067adf08091&amp;pFlow=SEARCH_ID&amp;pFlowId=1840bc3fa51ef86d9058a067adf08091&amp;tupleIndex=13&amp;storageKey=8419924723-2&amp;parentHighLightingKey=8419924723-2&amp;activeIn=7&amp;parentSid=8419924723&amp;sidGroupId=1840bc3fa51ef86d9058a067adf08091&amp;uresid=ca20b1bc24fb0940bf6d5935f6ee24115a5d0c554f1701150702405f5a0d5449130b16050243595500574c100e196&amp;elasticType=es7&amp;uniqId=8e0ca97bc25e518837c6633faa73b3f258595a02491600180440435b5958561c1a0f440340405c5a0d544f475d14064452595a0e554f10091304175209094f6" TargetMode="External"/><Relationship Id="rId240" Type="http://schemas.openxmlformats.org/officeDocument/2006/relationships/hyperlink" Target="https://resdex.naukri.com/v3/preview?tabKey=profile&amp;sid=8289974354&amp;hfFlowName=simcv&amp;totalResumes=42&amp;pageUid=10b5e75b1ba4b24114df240eaee03d3a595401574b1a01120b02405f5a095342120b14020243595c0f57481700156&amp;hiringForFlowId=efceea52b6e652a4f1e84f3ffe140afc&amp;pFlow=SEARCH_ID&amp;pFlowId=efceea52b6e652a4f1e84f3ffe140afc&amp;tupleIndex=6&amp;storageKey=8289974354-1&amp;parentHighLightingKey=8286177008-1&amp;refineHighlightKey=8289974354&amp;activeIn=7&amp;parentSid=8289974354&amp;sidGroupId=efceea52b6e652a4f1e84f3ffe140afc&amp;principalUserId=211662494&amp;uresid=0836d2de6b994ecefa8a4ba1ac3675805b5c0b504a170d110502405f5a095342120a180702425a5e08544c100e156&amp;parentActiveSimCvSource=collab&amp;parentSimCvCount=296&amp;parentContextSimCvCount=100&amp;parentSimCvSource=collab&amp;elasticType=es7&amp;simcvModelTag=sales_77_v1_rerankedV0&amp;simCvSource=collab&amp;uniqId=9624f2c920d2e86d4ae57da67ce1e65a505958504e160a185743445a5958501b420f440b42495b555c581e125b44024052595a0e51481b08120a155209094f6&amp;parentSearchType=simcv" TargetMode="External"/><Relationship Id="rId478" Type="http://schemas.openxmlformats.org/officeDocument/2006/relationships/hyperlink" Target="https://resdex.naukri.com/v3/preview?tabKey=profile&amp;sid=8429617011&amp;paramString=8b485a994a0b1f7d419bf11cc53a6d4b13106&amp;hfFlowName=search&amp;commentSearchType=comment-my,comment-others&amp;totalResumes=8&amp;hiringForFlowId=1827e49aba3fa90308a54aa7796f14c1&amp;pFlow=SEARCH_ID&amp;pFlowId=1827e49aba3fa90308a54aa7796f14c1&amp;tupleIndex=6&amp;storageKey=8429617011-1&amp;parentHighLightingKey=8429617011-1&amp;activeIn=7&amp;parentSid=8429617011&amp;sidGroupId=1827e49aba3fa90308a54aa7796f14c1&amp;uresid=b41f54017cab8993d3a137cd1274f99f5d5a0858421608161010465f5900554f130d18101746505b0c524f146&amp;elasticType=es7&amp;uniqId=86e08df416bd6bf75c92237b16c46307590b015843110814004347580f0d5419150a020216465c540d544a1700025245076" TargetMode="External"/><Relationship Id="rId35" Type="http://schemas.openxmlformats.org/officeDocument/2006/relationships/hyperlink" Target="mailto:jbiswas365@gmail.com" TargetMode="External"/><Relationship Id="rId77" Type="http://schemas.openxmlformats.org/officeDocument/2006/relationships/hyperlink" Target="mailto:msprasad548@gmail.com" TargetMode="External"/><Relationship Id="rId100" Type="http://schemas.openxmlformats.org/officeDocument/2006/relationships/hyperlink" Target="mailto:rashmism2307@gmall.com" TargetMode="External"/><Relationship Id="rId282" Type="http://schemas.openxmlformats.org/officeDocument/2006/relationships/hyperlink" Target="mailto:arunkumarhooda2511@gmail.com" TargetMode="External"/><Relationship Id="rId338" Type="http://schemas.openxmlformats.org/officeDocument/2006/relationships/hyperlink" Target="mailto:anilanu.kumar2004@gmail.com" TargetMode="External"/><Relationship Id="rId503" Type="http://schemas.openxmlformats.org/officeDocument/2006/relationships/hyperlink" Target="mailto:harishmv1125@gmail.com" TargetMode="External"/><Relationship Id="rId545" Type="http://schemas.openxmlformats.org/officeDocument/2006/relationships/hyperlink" Target="mailto:manjunathgowda417@gmail.com" TargetMode="External"/><Relationship Id="rId587" Type="http://schemas.openxmlformats.org/officeDocument/2006/relationships/hyperlink" Target="mailto:justsameeksha@gmail.com" TargetMode="External"/><Relationship Id="rId8" Type="http://schemas.openxmlformats.org/officeDocument/2006/relationships/hyperlink" Target="mailto:vidyasank2003@gmail.com" TargetMode="External"/><Relationship Id="rId142" Type="http://schemas.openxmlformats.org/officeDocument/2006/relationships/hyperlink" Target="https://resdex.naukri.com/v3/preview?tabKey=profile&amp;sid=8270374345&amp;paramString=8b485a994a0b1f7d419bf11cc53a6d4b13106&amp;hfFlowName=search&amp;commentSearchType=comment-my,comment-others&amp;totalResumes=20&amp;hiringForFlowId=bd70d3dd8333111fb7816fdef84e71ec&amp;pFlow=SEARCH_ID&amp;pFlowId=bd70d3dd8333111fb7816fdef84e71ec&amp;tupleIndex=18&amp;storageKey=8270374345-1&amp;parentHighLightingKey=8270374345-1&amp;activeIn=7&amp;parentSid=8270374345&amp;sidGroupId=bd70d3dd8333111fb7816fdef84e71ec&amp;uresid=d8eb14e4dd0279627e784fb6f06444185a5f0d554a1a0d120b02405f5b00574c1500180602435b5a0f564f1a08196&amp;elasticType=es7&amp;uniqId=eea70c000802a2ed6f68b4d5ca50b9a85c595d551f405d435610490e590a044f1b0d430a16135f585d571b120944024252595a0f584c150f180a145209094f6" TargetMode="External"/><Relationship Id="rId184" Type="http://schemas.openxmlformats.org/officeDocument/2006/relationships/hyperlink" Target="mailto:chethanasm25@gmail.com" TargetMode="External"/><Relationship Id="rId391" Type="http://schemas.openxmlformats.org/officeDocument/2006/relationships/hyperlink" Target="https://resdex.naukri.com/v3/preview?tabKey=profile&amp;sid=8371017834&amp;paramString=8b485a994a0b1f7d419bf11cc53a6d4b13106&amp;hfFlowName=search&amp;commentSearchType=comment-my,comment-others&amp;totalResumes=3674&amp;hiringForFlowId=bd41fcb3c0ffcccbbdf915a7d328cdd6&amp;pFlow=SEARCH_ID&amp;pFlowId=bd41fcb3c0ffcccbbdf915a7d328cdd6&amp;tupleIndex=13&amp;storageKey=8371017834-1&amp;parentHighLightingKey=8371017834-1&amp;activeIn=7&amp;parentSid=8371017834&amp;sidGroupId=bd41fcb3c0ffcccbbdf915a7d328cdd6&amp;uresid=955f4cf8a11956811a209ebe867e807e5b5d0b5748160e190302405f5a0a514e130916070242595e0f594a1009156&amp;elasticType=es7&amp;uniqId=4df54fa35b019cdfb8e3418cabbd37bb0b0b00051f17001451141450595f5843420c420247170a0e0e5043410916554552595a0e524a17091104155209094f6" TargetMode="External"/><Relationship Id="rId405" Type="http://schemas.openxmlformats.org/officeDocument/2006/relationships/hyperlink" Target="mailto:kcrai1999@gmail.com" TargetMode="External"/><Relationship Id="rId447" Type="http://schemas.openxmlformats.org/officeDocument/2006/relationships/hyperlink" Target="mailto:anujjoshi77@gmail.com" TargetMode="External"/><Relationship Id="rId251" Type="http://schemas.openxmlformats.org/officeDocument/2006/relationships/hyperlink" Target="mailto:prajapatibs20@gmail.com" TargetMode="External"/><Relationship Id="rId489" Type="http://schemas.openxmlformats.org/officeDocument/2006/relationships/hyperlink" Target="mailto:ishwarviveki03@gmail.com" TargetMode="External"/><Relationship Id="rId46" Type="http://schemas.openxmlformats.org/officeDocument/2006/relationships/hyperlink" Target="mailto:praveenpj1994@gmail.com" TargetMode="External"/><Relationship Id="rId293" Type="http://schemas.openxmlformats.org/officeDocument/2006/relationships/hyperlink" Target="mailto:gpavankmr7@gmail.com" TargetMode="External"/><Relationship Id="rId307" Type="http://schemas.openxmlformats.org/officeDocument/2006/relationships/hyperlink" Target="mailto:pradeepthammayya@gmail.com" TargetMode="External"/><Relationship Id="rId349" Type="http://schemas.openxmlformats.org/officeDocument/2006/relationships/hyperlink" Target="mailto:riazuddin89@outlook.com" TargetMode="External"/><Relationship Id="rId514" Type="http://schemas.openxmlformats.org/officeDocument/2006/relationships/hyperlink" Target="mailto:hareeshrangani36@gmail.com" TargetMode="External"/><Relationship Id="rId556" Type="http://schemas.openxmlformats.org/officeDocument/2006/relationships/hyperlink" Target="https://resdex.naukri.com/v3/preview?tabKey=profile&amp;sid=8446865223&amp;paramString=8b485a994a0b1f7d419bf11cc53a6d4b13106&amp;hfFlowName=search&amp;commentSearchType=comment-my,comment-others&amp;totalResumes=398&amp;hiringForFlowId=0bf2e2a5cbb0f78629eed4ed850e4da4&amp;pFlow=SEARCH_ID&amp;pFlowId=0bf2e2a5cbb0f78629eed4ed850e4da4&amp;tupleIndex=4&amp;storageKey=8446865223-1&amp;parentHighLightingKey=8446865223-1&amp;activeIn=7&amp;parentSid=8446865223&amp;sidGroupId=0bf2e2a5cbb0f78629eed4ed850e4da4&amp;uresid=27d37e8962e3ec56e6f2c233f4d20ea95a5c01534f150f170502405f5a0c544e1401160702435b5c0d514c1b0a116&amp;elasticType=es7&amp;uniqId=85fcc691063bc2ea954520bff4e61d8b5f5e0f074d120f475511100a590d004f4200175219170d580b044d460b12021952595a0e544f170e1904155209094f6" TargetMode="External"/><Relationship Id="rId88" Type="http://schemas.openxmlformats.org/officeDocument/2006/relationships/hyperlink" Target="mailto:jgaddi423@gmail.com" TargetMode="External"/><Relationship Id="rId111" Type="http://schemas.openxmlformats.org/officeDocument/2006/relationships/hyperlink" Target="https://resdex.naukri.com/v3/preview?tabKey=profile&amp;sid=8256293299&amp;paramString=8b485a994a0b1f7d419bf11cc53a6d4b13106&amp;hfFlowName=search&amp;commentSearchType=comment-my,comment-others&amp;totalResumes=793&amp;hiringForFlowId=1b392fad0e86c3044c0413f14bb291b9&amp;pFlow=SEARCH_ID&amp;pFlowId=1b392fad0e86c3044c0413f14bb291b9&amp;tupleIndex=26&amp;storageKey=8256293299-1&amp;parentHighLightingKey=8256293299-1&amp;activeIn=15&amp;parentSid=8256293299&amp;sidGroupId=1b392fad0e86c3044c0413f14bb291b9&amp;uresid=3ce5226d46c7ade63ef1f9b559fab6205a5d0958491009170302405f5b00514d1a0e1507024358590a524e160f196&amp;elasticType=es7&amp;uniqId=efd602b5bf7466cb4f584438ec13b7630b5e0b594b1158150b47465959010548420e110716475d5d0b541e110011504752595a0f584a14001607155209094f6" TargetMode="External"/><Relationship Id="rId153" Type="http://schemas.openxmlformats.org/officeDocument/2006/relationships/hyperlink" Target="mailto:ziyaul75@yahoo.com" TargetMode="External"/><Relationship Id="rId195" Type="http://schemas.openxmlformats.org/officeDocument/2006/relationships/hyperlink" Target="https://resdex.naukri.com/v3/preview?tabKey=profile&amp;sid=8277268298&amp;paramString=8b485a994a0b1f7d419bf11cc53a6d4b13106&amp;hfFlowName=search&amp;commentSearchType=comment-my,comment-others&amp;totalResumes=1175&amp;hiringForFlowId=057cee527d560d2317f5b0718726505c&amp;pFlow=SEARCH_ID&amp;pFlowId=057cee527d560d2317f5b0718726505c&amp;tupleIndex=12&amp;storageKey=8277268298-1&amp;parentHighLightingKey=8277268298-1&amp;activeIn=7&amp;parentSid=8277268298&amp;sidGroupId=057cee527d560d2317f5b0718726505c&amp;uresid=68389fe971bc2e86fd92987cc59033cd5a54085049120a190502405f5b00594e170e17050242585f08584a110f176&amp;elasticType=es7&amp;uniqId=89ce64161b73580a315db0511e05914b5d5c0e504d140a445010485e590051481a5f15014447505d5b044c1b0c14574252595a0f5842170d1605175209094f6" TargetMode="External"/><Relationship Id="rId209" Type="http://schemas.openxmlformats.org/officeDocument/2006/relationships/hyperlink" Target="mailto:dineshkumarg20598@gmail.com" TargetMode="External"/><Relationship Id="rId360" Type="http://schemas.openxmlformats.org/officeDocument/2006/relationships/hyperlink" Target="mailto:kar866078@gmail.com" TargetMode="External"/><Relationship Id="rId416" Type="http://schemas.openxmlformats.org/officeDocument/2006/relationships/hyperlink" Target="mailto:revanthrudresh99@gmail.com" TargetMode="External"/><Relationship Id="rId220" Type="http://schemas.openxmlformats.org/officeDocument/2006/relationships/hyperlink" Target="mailto:mahi.rtu10@gmail.com" TargetMode="External"/><Relationship Id="rId458" Type="http://schemas.openxmlformats.org/officeDocument/2006/relationships/hyperlink" Target="mailto:mamata.veeranna@gmail.com" TargetMode="External"/><Relationship Id="rId15" Type="http://schemas.openxmlformats.org/officeDocument/2006/relationships/hyperlink" Target="mailto:thakurshiva89@gmail.com" TargetMode="External"/><Relationship Id="rId57" Type="http://schemas.openxmlformats.org/officeDocument/2006/relationships/hyperlink" Target="mailto:munikishore23@gmail.com" TargetMode="External"/><Relationship Id="rId262" Type="http://schemas.openxmlformats.org/officeDocument/2006/relationships/hyperlink" Target="mailto:pavankalyan1995@gmail.com" TargetMode="External"/><Relationship Id="rId318" Type="http://schemas.openxmlformats.org/officeDocument/2006/relationships/hyperlink" Target="mailto:baikuntha1526@gmail.com" TargetMode="External"/><Relationship Id="rId525" Type="http://schemas.openxmlformats.org/officeDocument/2006/relationships/hyperlink" Target="mailto:Omkarade3345@gmail.com" TargetMode="External"/><Relationship Id="rId567" Type="http://schemas.openxmlformats.org/officeDocument/2006/relationships/hyperlink" Target="mailto:bkiranreddy044@gmail.com" TargetMode="External"/><Relationship Id="rId99" Type="http://schemas.openxmlformats.org/officeDocument/2006/relationships/hyperlink" Target="mailto:kichadechetan@gmail.com" TargetMode="External"/><Relationship Id="rId122" Type="http://schemas.openxmlformats.org/officeDocument/2006/relationships/hyperlink" Target="mailto:pavithrakotian.1997@gmail.com" TargetMode="External"/><Relationship Id="rId164" Type="http://schemas.openxmlformats.org/officeDocument/2006/relationships/hyperlink" Target="mailto:sandipaher5432@gmail.com" TargetMode="External"/><Relationship Id="rId371" Type="http://schemas.openxmlformats.org/officeDocument/2006/relationships/hyperlink" Target="mailto:yogeshwar2401@gmail.com" TargetMode="External"/><Relationship Id="rId427" Type="http://schemas.openxmlformats.org/officeDocument/2006/relationships/hyperlink" Target="https://resdex.naukri.com/v3/preview?tabKey=profile&amp;sid=8414732239&amp;paramString=8b485a994a0b1f7d419bf11cc53a6d4b13106&amp;hfFlowName=search&amp;commentSearchType=comment-my,comment-others&amp;totalResumes=20712&amp;hiringForFlowId=4fbf1388c2405bfae0efc2c01a2fcbaa&amp;pFlow=SEARCH_ID&amp;pFlowId=4fbf1388c2405bfae0efc2c01a2fcbaa&amp;tupleIndex=0&amp;storageKey=8414732239-1&amp;parentHighLightingKey=8414732239-1&amp;activeIn=7&amp;parentSid=8414732239&amp;sidGroupId=4fbf1388c2405bfae0efc2c01a2fcbaa&amp;uresid=562625fe05e5a0f569255def46638e205a5c0f564d1600130502405f5a0d5548140b190702435a5400514e1a0b156&amp;elasticType=es7&amp;uniqId=31a47baa24db2e47897e82017a5455950a5b58551f1a58195710420b590d5143410f435719480a5f01524e165c11071152595a0e554e110e130b155209094f6" TargetMode="External"/><Relationship Id="rId469" Type="http://schemas.openxmlformats.org/officeDocument/2006/relationships/hyperlink" Target="mailto:akshaykumar142p@gmail.com" TargetMode="External"/><Relationship Id="rId26" Type="http://schemas.openxmlformats.org/officeDocument/2006/relationships/hyperlink" Target="mailto:chandanagopal29@gmail.com" TargetMode="External"/><Relationship Id="rId231" Type="http://schemas.openxmlformats.org/officeDocument/2006/relationships/hyperlink" Target="mailto:akbisharath@gmail.com" TargetMode="External"/><Relationship Id="rId273" Type="http://schemas.openxmlformats.org/officeDocument/2006/relationships/hyperlink" Target="mailto:Ereshgaikwad2015@gmail.com" TargetMode="External"/><Relationship Id="rId329" Type="http://schemas.openxmlformats.org/officeDocument/2006/relationships/hyperlink" Target="mailto:suresh.pes95@gmail.com" TargetMode="External"/><Relationship Id="rId480" Type="http://schemas.openxmlformats.org/officeDocument/2006/relationships/hyperlink" Target="https://resdex.naukri.com/v3/preview?tabKey=profile&amp;sid=8429554841&amp;paramString=8b485a994a0b1f7d419bf11cc53a6d4b13106&amp;hfFlowName=search&amp;commentSearchType=comment-my,comment-others&amp;totalResumes=13807&amp;hiringForFlowId=1827e49aba3fa90308a54aa7796f14c1&amp;pFlow=SEARCH_ID&amp;pFlowId=1827e49aba3fa90308a54aa7796f14c1&amp;tupleIndex=12&amp;storageKey=8429554841-1&amp;parentHighLightingKey=8429554841-1&amp;activeIn=7&amp;parentSid=8429554841&amp;sidGroupId=1827e49aba3fa90308a54aa7796f14c1&amp;uresid=e258bca8b47b463f3b1d9fecfc5a71c750550f534b100d111010465f5900554e170c171015445d5a0e594b116&amp;elasticType=es7&amp;uniqId=b79d42c015bd5761ef465739b1eb075f5c5a0b511e1700180413125a5b5c514e1609020216465c540d554e160f025245076" TargetMode="External"/><Relationship Id="rId536" Type="http://schemas.openxmlformats.org/officeDocument/2006/relationships/hyperlink" Target="https://resdex.naukri.com/v3/preview?tabKey=profile&amp;sid=8450185939&amp;paramString=8b485a994a0b1f7d419bf11cc53a6d4b13106&amp;hfFlowName=search&amp;commentSearchType=comment-my,comment-others&amp;totalResumes=391&amp;hiringForFlowId=2a8a0573ebb576e185080958c3ca2b22&amp;pFlow=SEARCH_ID&amp;pFlowId=2a8a0573ebb576e185080958c3ca2b22&amp;tupleIndex=7&amp;storageKey=8450185939-1&amp;parentHighLightingKey=8450185939-1&amp;activeIn=7&amp;parentSid=8450185939&amp;sidGroupId=2a8a0573ebb576e185080958c3ca2b22&amp;uresid=3922995ec2c35b50e136240e21b1e5815b5d08554b160b120b02405f5a0c5749130f18020242595f0d564a1001116&amp;elasticType=es7&amp;uniqId=fa53b86ddded3190be94b95f6c9912420b5901534d470045074047585908524f425c125142480c5d5f041c115c19571952595a0e544c1009170a105209094f6" TargetMode="External"/><Relationship Id="rId68" Type="http://schemas.openxmlformats.org/officeDocument/2006/relationships/hyperlink" Target="mailto:sadhanar1989@gmail.com" TargetMode="External"/><Relationship Id="rId133" Type="http://schemas.openxmlformats.org/officeDocument/2006/relationships/hyperlink" Target="mailto:brindakumar.13@gmail.com" TargetMode="External"/><Relationship Id="rId175" Type="http://schemas.openxmlformats.org/officeDocument/2006/relationships/hyperlink" Target="mailto:vmuraligupta2001@gmail.com" TargetMode="External"/><Relationship Id="rId340" Type="http://schemas.openxmlformats.org/officeDocument/2006/relationships/hyperlink" Target="mailto:praneshrajan.for@gmail.com" TargetMode="External"/><Relationship Id="rId578" Type="http://schemas.openxmlformats.org/officeDocument/2006/relationships/hyperlink" Target="mailto:tanmayasahook@gmail.com" TargetMode="External"/><Relationship Id="rId200" Type="http://schemas.openxmlformats.org/officeDocument/2006/relationships/hyperlink" Target="mailto:vmuraligupta2001@gmail.com" TargetMode="External"/><Relationship Id="rId382" Type="http://schemas.openxmlformats.org/officeDocument/2006/relationships/hyperlink" Target="https://resdex.naukri.com/v3/preview?tabKey=profile&amp;sid=8371017834&amp;paramString=8b485a994a0b1f7d419bf11cc53a6d4b13106&amp;hfFlowName=search&amp;commentSearchType=comment-my,comment-others&amp;totalResumes=3674&amp;hiringForFlowId=bd41fcb3c0ffcccbbdf915a7d328cdd6&amp;pFlow=SEARCH_ID&amp;pFlowId=bd41fcb3c0ffcccbbdf915a7d328cdd6&amp;tupleIndex=7&amp;storageKey=8371017834-1&amp;parentHighLightingKey=8371017834-1&amp;activeIn=7&amp;parentSid=8371017834&amp;sidGroupId=bd41fcb3c0ffcccbbdf915a7d328cdd6&amp;uresid=32f314f4653ef910ab0740743ba18db65b5c0e5243100f170302405f5a0a514e1309160702425a550d5543150e156&amp;elasticType=es7&amp;uniqId=e8a9618787bc591242db0a6a94604faf0d5c01564c1a5c4355124750590b554f1a0f43021015515d09524c100b19051652595a0e524a17091104155209094f6" TargetMode="External"/><Relationship Id="rId438" Type="http://schemas.openxmlformats.org/officeDocument/2006/relationships/hyperlink" Target="https://resdex.naukri.com/v3/preview?tabKey=profile&amp;sid=8419924723&amp;paramString=8b485a994a0b1f7d419bf11cc53a6d4b13106&amp;hfFlowName=search&amp;commentSearchType=comment-my,comment-others&amp;totalResumes=400&amp;hiringForFlowId=1840bc3fa51ef86d9058a067adf08091&amp;pFlow=SEARCH_ID&amp;pFlowId=1840bc3fa51ef86d9058a067adf08091&amp;tupleIndex=39&amp;storageKey=8419924723-2&amp;parentHighLightingKey=8419924723-2&amp;activeIn=7&amp;parentSid=8419924723&amp;sidGroupId=1840bc3fa51ef86d9058a067adf08091&amp;uresid=685d59b84cfe7470bc479bf2532b6ef25e5509564f130a191010465f590c524a110e171016495a5a0d564c156&amp;elasticType=es7&amp;uniqId=c2396946884a026cc35f771afcc992385a5458531e1b0a120312400c095853431b0c020216465c580a5148140f025245076" TargetMode="External"/><Relationship Id="rId242" Type="http://schemas.openxmlformats.org/officeDocument/2006/relationships/hyperlink" Target="mailto:thirumalai7411@gmail.com" TargetMode="External"/><Relationship Id="rId284" Type="http://schemas.openxmlformats.org/officeDocument/2006/relationships/hyperlink" Target="https://resdex.naukri.com/v3/preview?tabKey=profile&amp;sid=8309148566&amp;paramString=8b485a994a0b1f7d419bf11cc53a6d4b13106&amp;hfFlowName=search&amp;commentSearchType=comment-my,comment-others&amp;totalResumes=1038&amp;hiringForFlowId=7083749cc613b87b294cd5da5bbbac2a&amp;pFlow=SEARCH_ID&amp;pFlowId=7083749cc613b87b294cd5da5bbbac2a&amp;tupleIndex=4&amp;storageKey=8309148566-6&amp;parentHighLightingKey=8309148566-6&amp;activeIn=7&amp;parentSid=8309148566&amp;sidGroupId=7083749cc613b87b294cd5da5bbbac2a&amp;uresid=b2a4989fa367e92930787c40c695bd7c595d0e554a1201110602405f5a0959421608120a024059580152421201146&amp;elasticType=es7&amp;uniqId=c94ce7c82f3ad754e87136a8e31c0a38580e5f594a140910071515585e09021e130b02021646585501544b1000025245076" TargetMode="External"/><Relationship Id="rId491" Type="http://schemas.openxmlformats.org/officeDocument/2006/relationships/hyperlink" Target="mailto:nandeesh.golasangi@gmail.com" TargetMode="External"/><Relationship Id="rId505" Type="http://schemas.openxmlformats.org/officeDocument/2006/relationships/hyperlink" Target="mailto:dighraskar@yahoo.com" TargetMode="External"/><Relationship Id="rId37" Type="http://schemas.openxmlformats.org/officeDocument/2006/relationships/hyperlink" Target="mailto:aniteshstuf@gmail.com" TargetMode="External"/><Relationship Id="rId79" Type="http://schemas.openxmlformats.org/officeDocument/2006/relationships/hyperlink" Target="mailto:swarajdeshmukh27@gmail.com" TargetMode="External"/><Relationship Id="rId102" Type="http://schemas.openxmlformats.org/officeDocument/2006/relationships/hyperlink" Target="mailto:narayanan25112002@gmail.co" TargetMode="External"/><Relationship Id="rId144" Type="http://schemas.openxmlformats.org/officeDocument/2006/relationships/hyperlink" Target="https://resdex.naukri.com/v3/preview?tabKey=profile&amp;sid=8272296397&amp;paramString=8b485a994a0b1f7d419bf11cc53a6d4b13106&amp;hfFlowName=search&amp;commentSearchType=comment-my,comment-others&amp;totalResumes=1216&amp;hiringForFlowId=e3914da04a9ee77bef28392746d7c8ce&amp;pFlow=SEARCH_ID&amp;pFlowId=e3914da04a9ee77bef28392746d7c8ce&amp;tupleIndex=6&amp;storageKey=8272296397-1&amp;parentHighLightingKey=8272296397-1&amp;activeIn=23&amp;parentSid=8272296397&amp;sidGroupId=e3914da04a9ee77bef28392746d7c8ce&amp;uresid=6abdc134f70731430d662c9de7937ce95a5d08514a1701150502405f5b0057421a0c1806024359590a56421a09156&amp;elasticType=es7&amp;uniqId=e896c26ba847094350e90b2f453bc6b85c5f0e044d105c135142120b590c054d1b09180643105a590a5918470013071752595a0f584c1b00140a145209094f6" TargetMode="External"/><Relationship Id="rId547" Type="http://schemas.openxmlformats.org/officeDocument/2006/relationships/hyperlink" Target="https://resdex.naukri.com/v3/preview?tabKey=profile&amp;sid=8451801235&amp;paramString=8b485a994a0b1f7d419bf11cc53a6d4b13106&amp;hfFlowName=search&amp;commentSearchType=comment-my,comment-others&amp;totalResumes=2133&amp;hiringForFlowId=bf022638070e76c2719781dd065ba475&amp;pFlow=SEARCH_ID&amp;pFlowId=bf022638070e76c2719781dd065ba475&amp;tupleIndex=10&amp;storageKey=8451801235-1&amp;parentHighLightingKey=8451801235-1&amp;activeIn=7&amp;parentSid=8451801235&amp;sidGroupId=bf022638070e76c2719781dd065ba475&amp;uresid=15002d1774b3c185da59dc4a6f214a6e595b085642170a100202405f5a0c574e1401140502405f5f0a564f170d146&amp;elasticType=es7&amp;uniqId=dba71c31c1a0c4e6214e401efca9f54c58090b054d135f170643155159015148410b405245155b5f080518420018024452595a0e544c170e1906175209094f6" TargetMode="External"/><Relationship Id="rId589" Type="http://schemas.openxmlformats.org/officeDocument/2006/relationships/table" Target="../tables/table1.xml"/><Relationship Id="rId90" Type="http://schemas.openxmlformats.org/officeDocument/2006/relationships/hyperlink" Target="mailto:mahimaheshhm2001@gmail.com" TargetMode="External"/><Relationship Id="rId186" Type="http://schemas.openxmlformats.org/officeDocument/2006/relationships/hyperlink" Target="mailto:shamela.yousuff@gmail.com" TargetMode="External"/><Relationship Id="rId351" Type="http://schemas.openxmlformats.org/officeDocument/2006/relationships/hyperlink" Target="mailto:kingofkaprakapra@gmail.com" TargetMode="External"/><Relationship Id="rId393" Type="http://schemas.openxmlformats.org/officeDocument/2006/relationships/hyperlink" Target="https://resdex.naukri.com/v3/preview?tabKey=profile&amp;sid=8371017834&amp;paramString=8b485a994a0b1f7d419bf11cc53a6d4b13106&amp;hfFlowName=search&amp;commentSearchType=comment-my,comment-others&amp;totalResumes=3674&amp;hiringForFlowId=bd41fcb3c0ffcccbbdf915a7d328cdd6&amp;pFlow=SEARCH_ID&amp;pFlowId=bd41fcb3c0ffcccbbdf915a7d328cdd6&amp;tupleIndex=0&amp;storageKey=8371017834-1&amp;parentHighLightingKey=8371017834-1&amp;activeIn=7&amp;parentSid=8371017834&amp;sidGroupId=bd41fcb3c0ffcccbbdf915a7d328cdd6&amp;uresid=716a525be86c471be6b49ca9ca60e4465b5f085442100c120102405f5a0a514e1309160702425b5f0f5242100b176&amp;elasticType=es7&amp;uniqId=cd1c34a34a270f71bf9eb703b9cd6e7009085c00494201120b15105e595f044a4200165518490b0b5c5543455c47554052595a0e524a17091104155209094f6" TargetMode="External"/><Relationship Id="rId407" Type="http://schemas.openxmlformats.org/officeDocument/2006/relationships/hyperlink" Target="mailto:anumolunaresh95@gmail.com" TargetMode="External"/><Relationship Id="rId449" Type="http://schemas.openxmlformats.org/officeDocument/2006/relationships/hyperlink" Target="mailto:yesuraazbandi@outlook.com" TargetMode="External"/><Relationship Id="rId211" Type="http://schemas.openxmlformats.org/officeDocument/2006/relationships/hyperlink" Target="mailto:kasarapu.lahari11198@gmail.com" TargetMode="External"/><Relationship Id="rId253" Type="http://schemas.openxmlformats.org/officeDocument/2006/relationships/hyperlink" Target="tel:+919591909081" TargetMode="External"/><Relationship Id="rId295" Type="http://schemas.openxmlformats.org/officeDocument/2006/relationships/hyperlink" Target="https://resdex.naukri.com/v3/preview?tabKey=profile&amp;sid=8317284130&amp;paramString=8b485a994a0b1f7d419bf11cc53a6d4b13106&amp;hfFlowName=search&amp;commentSearchType=comment-my,comment-others&amp;totalResumes=3717&amp;hiringForFlowId=c64ae2c99b03b4054b5dcd1f2fbf7f8c&amp;pFlow=SEARCH_ID&amp;pFlowId=c64ae2c99b03b4054b5dcd1f2fbf7f8c&amp;tupleIndex=12&amp;storageKey=8317284130-3&amp;parentHighLightingKey=8317284130-3&amp;activeIn=7&amp;parentSid=8317284130&amp;sidGroupId=c64ae2c99b03b4054b5dcd1f2fbf7f8c&amp;uresid=9f3c5d5758eb667da7d7bbe04957691059580b59491509160602405f5a0853481a0d140302405e5e095243120c146&amp;elasticType=es7&amp;uniqId=51719025b846f10004e1c334c9e4d3e15b5e0a5848425c445211100d595c034f4109450544490c0b58514b160a43031652595a0e504811001506115209094f6" TargetMode="External"/><Relationship Id="rId309" Type="http://schemas.openxmlformats.org/officeDocument/2006/relationships/hyperlink" Target="mailto:bkpatil247@gmail.com" TargetMode="External"/><Relationship Id="rId460" Type="http://schemas.openxmlformats.org/officeDocument/2006/relationships/hyperlink" Target="mailto:setusrinivasp@gmail.com" TargetMode="External"/><Relationship Id="rId516" Type="http://schemas.openxmlformats.org/officeDocument/2006/relationships/hyperlink" Target="mailto:pingkrishnaprasad@gmail.com" TargetMode="External"/><Relationship Id="rId48" Type="http://schemas.openxmlformats.org/officeDocument/2006/relationships/hyperlink" Target="mailto:manjunath560091@gmail.com" TargetMode="External"/><Relationship Id="rId113" Type="http://schemas.openxmlformats.org/officeDocument/2006/relationships/hyperlink" Target="https://resdex.naukri.com/v3/preview?tabKey=profile&amp;sid=8256231815&amp;paramString=8b485a994a0b1f7d419bf11cc53a6d4b13106&amp;hfFlowName=search&amp;commentSearchType=comment-my,comment-others&amp;totalResumes=449&amp;hiringForFlowId=5ebf43d072d0dd06936e38e2b8af2f22&amp;pFlow=SEARCH_ID&amp;pFlowId=5ebf43d072d0dd06936e38e2b8af2f22&amp;tupleIndex=0&amp;storageKey=8256231815-1&amp;parentHighLightingKey=8256231815-1&amp;activeIn=15&amp;parentSid=8256231815&amp;sidGroupId=5ebf43d072d0dd06936e38e2b8af2f22&amp;uresid=717071d90a417ad74e165bcb587a58805a5809524c110e150102405f5b00514d1b00170402435b5e085042100d176&amp;elasticType=es7&amp;uniqId=e5f79444fb79a627f095e0bb929303100b580a041f4258450617425f590d0242415a160642410c5b01001b100145504052595a0f584a14011805165209094f6" TargetMode="External"/><Relationship Id="rId320" Type="http://schemas.openxmlformats.org/officeDocument/2006/relationships/hyperlink" Target="mailto:yogesh.talurmath@gmail.com" TargetMode="External"/><Relationship Id="rId558" Type="http://schemas.openxmlformats.org/officeDocument/2006/relationships/hyperlink" Target="https://resdex.naukri.com/v3/preview?tabKey=profile&amp;sid=8455664219&amp;paramString=8b485a994a0b1f7d419bf11cc53a6d4b13106&amp;hfFlowName=search&amp;commentSearchType=comment-my,comment-others&amp;totalResumes=3495&amp;hiringForFlowId=6ae071182888e0b4e8d950d178b10105&amp;pFlow=SEARCH_ID&amp;pFlowId=6ae071182888e0b4e8d950d178b10105&amp;tupleIndex=4&amp;storageKey=8455664219-1&amp;parentHighLightingKey=8455664219-1&amp;activeIn=7&amp;parentSid=8455664219&amp;sidGroupId=6ae071182888e0b4e8d950d178b10105&amp;uresid=11c280e9e9e96cb1d2566714aff24abc5a5a0c5542150b170b02405f5a0c5649140a18070243505b0c554b110d156&amp;elasticType=es7&amp;uniqId=d77cb285b5495458c7c8f7c9aafedc3b5a5e0a0518450840034346515909594c410e400b12490c0e0f5748130c44041752595a0e544d100e120a155209094f6" TargetMode="External"/><Relationship Id="rId155" Type="http://schemas.openxmlformats.org/officeDocument/2006/relationships/hyperlink" Target="mailto:aj381997@gmail.com" TargetMode="External"/><Relationship Id="rId197" Type="http://schemas.openxmlformats.org/officeDocument/2006/relationships/hyperlink" Target="https://resdex.naukri.com/v3/preview?tabKey=profile&amp;sid=8279169908&amp;hfFlowName=contextcv&amp;totalResumes=7&amp;pageUid=79c728c20810430add66c8132e5385fc5a5c0a594c1a0a140102405f5a09514b150e130b02435a5a0b504e1601116&amp;hiringForFlowId=057cee527d560d2317f5b0718726505c&amp;pFlow=SEARCH_ID&amp;pFlowId=057cee527d560d2317f5b0718726505c&amp;tupleIndex=4&amp;storageKey=8279169908-1&amp;parentHighLightingKey=8279154428-1&amp;refineHighlightKey=8279169908&amp;activeIn=3650&amp;parentSid=8279169908&amp;sidGroupId=057cee527d560d2317f5b0718726505c&amp;principalUserId=227214580&amp;uresid=29f3f70bb4cd8aa1d10d848c308c85f05a5c0855491a0d140502405f5a09514b150e170402435a580856481109116&amp;parentActiveSimCvSource=content&amp;parentSimCvCount=248&amp;parentContextSimCvCount=100&amp;parentSimCvSource=content&amp;elasticType=es7&amp;simcvModelTag=it_retV2_modelV2_spark_rerankingCohortSkipped&amp;simCvSource=content&amp;uniqId=2529d50c66f47c2978b6ec0d0dfe83f1500f0a0549450e125117440c595d561b1a0847074513590c0d544c130940061052595a0e514a120f1605165209094f6&amp;parentSearchType=simcv" TargetMode="External"/><Relationship Id="rId362" Type="http://schemas.openxmlformats.org/officeDocument/2006/relationships/hyperlink" Target="mailto:ishwarikalyanshetty@hotmail.com" TargetMode="External"/><Relationship Id="rId418" Type="http://schemas.openxmlformats.org/officeDocument/2006/relationships/hyperlink" Target="mailto:ashwinireddy2699@gmail.com" TargetMode="External"/><Relationship Id="rId222" Type="http://schemas.openxmlformats.org/officeDocument/2006/relationships/hyperlink" Target="mailto:msjagan@live.in" TargetMode="External"/><Relationship Id="rId264" Type="http://schemas.openxmlformats.org/officeDocument/2006/relationships/hyperlink" Target="mailto:arunkumarhooda2511@gmail.com" TargetMode="External"/><Relationship Id="rId471" Type="http://schemas.openxmlformats.org/officeDocument/2006/relationships/hyperlink" Target="mailto:blessing.danish@gmail.com" TargetMode="External"/><Relationship Id="rId17" Type="http://schemas.openxmlformats.org/officeDocument/2006/relationships/hyperlink" Target="mailto:sreenivasduvvuru15@gmail.com" TargetMode="External"/><Relationship Id="rId59" Type="http://schemas.openxmlformats.org/officeDocument/2006/relationships/hyperlink" Target="mailto:j.altafpatel@gmail.com" TargetMode="External"/><Relationship Id="rId124" Type="http://schemas.openxmlformats.org/officeDocument/2006/relationships/hyperlink" Target="mailto:manibharathipalani@gmail.com" TargetMode="External"/><Relationship Id="rId527" Type="http://schemas.openxmlformats.org/officeDocument/2006/relationships/hyperlink" Target="mailto:sahooanish007@gmail.com" TargetMode="External"/><Relationship Id="rId569" Type="http://schemas.openxmlformats.org/officeDocument/2006/relationships/hyperlink" Target="mailto:poovarasan944@gmail.com" TargetMode="External"/><Relationship Id="rId70" Type="http://schemas.openxmlformats.org/officeDocument/2006/relationships/hyperlink" Target="mailto:saikiranalladurgam63@gmail.com" TargetMode="External"/><Relationship Id="rId166" Type="http://schemas.openxmlformats.org/officeDocument/2006/relationships/hyperlink" Target="mailto:nileshkansal1@gmail.com" TargetMode="External"/><Relationship Id="rId331" Type="http://schemas.openxmlformats.org/officeDocument/2006/relationships/hyperlink" Target="mailto:prathikshetty83@gmail.com" TargetMode="External"/><Relationship Id="rId373" Type="http://schemas.openxmlformats.org/officeDocument/2006/relationships/hyperlink" Target="mailto:sanojkc392@gmail.com" TargetMode="External"/><Relationship Id="rId429" Type="http://schemas.openxmlformats.org/officeDocument/2006/relationships/hyperlink" Target="https://resdex.naukri.com/v3/preview?tabKey=profile&amp;hfFlowName=simcv&amp;totalResumes=200&amp;pageUid=a81485e374ced83c41bd607b94876d075a5e00584b1b08130602405f5a0d5448130c190402435d5e0b584c150a126&amp;hiringForFlowId=216ba9daaaf96598eb514d3566753d7f&amp;pFlow=SEARCH_ID&amp;pFlowId=216ba9daaaf96598eb514d3566753d7f&amp;tupleIndex=21&amp;storageKey=a81485e374ced83c41bd607b94876d075a5e00584b1b08130602405f5a0d5448130c190402435d5e0b584c150a126-1&amp;parentHighLightingKey=8419026853-1&amp;activeIn=3650&amp;parentSid=8419026853&amp;sidGroupId=216ba9daaaf96598eb514d3566753d7f&amp;principalUserId=253296633&amp;uresid=e833ec2565d4e582b390d3106ebad0145b5d0e574b1409110702405f5a0d5448130c1806024259550f5742140b116&amp;parentActiveSimCvSource=collab&amp;parentSimCvCount=200&amp;parentContextSimCvCount=100&amp;parentSimCvSource=collab&amp;elasticType=es7&amp;simcvModelTag=it_54_v1_rerankedV0&amp;simCvSource=collab&amp;uniqId=82578d90490717f1ff3b6c2564351d760e5e58021c1301160616450c59005843410c455213120d5d5a5548130b43034452595a0e554f1109140a145209094f6&amp;parentSearchType=adv" TargetMode="External"/><Relationship Id="rId580" Type="http://schemas.openxmlformats.org/officeDocument/2006/relationships/hyperlink" Target="https://resdex.naukri.com/v3/preview?tabKey=profile&amp;hfFlowName=simcv&amp;totalResumes=431&amp;pageUid=943031f87796404146ced877edaf9ae2595b0d5143170c110402405f5a0f504d1300120402405f590e52431509146&amp;hiringForFlowId=30daa1391f3542a7af08ee788369b9b8&amp;pFlow=SEARCH_ID&amp;pFlowId=30daa1391f3542a7af08ee788369b9b8&amp;tupleIndex=0&amp;storageKey=943031f87796404146ced877edaf9ae2595b0d5143170c110402405f5a0f504d1300120402405f590e52431509146-1&amp;parentHighLightingKey=8466446593-1&amp;activeIn=3650&amp;parentSid=8466446593&amp;sidGroupId=30daa1391f3542a7af08ee788369b9b8&amp;principalUserId=174739605&amp;uresid=fc8783b870ed37d5bb7b83057848ba965a5a0a5242150c120102405f5a0f504d13001903024350590d524d140f136&amp;parentActiveSimCvSource=collab&amp;parentSimCvCount=431&amp;parentContextSimCvCount=100&amp;parentSimCvSource=collab&amp;elasticType=es7&amp;simcvModelTag=default_rerankedV0&amp;simCvSource=collab&amp;uniqId=a1b5a7e72d47b7c0cd48fdab71dcc6435e580c554c1009165240155e590f044c42011151104250545b511c4600450b4352595a0e574b1409180b115209094f6&amp;parentSearchType=adv" TargetMode="External"/><Relationship Id="rId1" Type="http://schemas.openxmlformats.org/officeDocument/2006/relationships/hyperlink" Target="mailto:yejjuharini42@gmail.com" TargetMode="External"/><Relationship Id="rId233" Type="http://schemas.openxmlformats.org/officeDocument/2006/relationships/hyperlink" Target="mailto:surag1997@gmail.com" TargetMode="External"/><Relationship Id="rId440" Type="http://schemas.openxmlformats.org/officeDocument/2006/relationships/hyperlink" Target="https://resdex.naukri.com/v3/preview?tabKey=profile&amp;sid=8419924723&amp;paramString=8b485a994a0b1f7d419bf11cc53a6d4b13106&amp;hfFlowName=search&amp;commentSearchType=comment-my,comment-others&amp;totalResumes=400&amp;hiringForFlowId=1840bc3fa51ef86d9058a067adf08091&amp;pFlow=SEARCH_ID&amp;pFlowId=1840bc3fa51ef86d9058a067adf08091&amp;tupleIndex=0&amp;storageKey=8419924723-3&amp;parentHighLightingKey=8419924723-3&amp;activeIn=7&amp;parentSid=8419924723&amp;sidGroupId=1840bc3fa51ef86d9058a067adf08091&amp;uresid=af44974cf247e410b00426d0591ba0465c5509594c130a181010465f590c524b110118101448585e0d574c126&amp;elasticType=es7&amp;uniqId=2709ff22e9821392303a25d20ac1b3e65d5e01594f450c400047490e5d5d58181709020216465c580a50481b00025245076" TargetMode="External"/><Relationship Id="rId28" Type="http://schemas.openxmlformats.org/officeDocument/2006/relationships/hyperlink" Target="mailto:nehart2002@gmail.com" TargetMode="External"/><Relationship Id="rId275" Type="http://schemas.openxmlformats.org/officeDocument/2006/relationships/hyperlink" Target="https://resdex.naukri.com/v3/preview?tabKey=profile&amp;sid=8292066430&amp;hfFlowName=simcv&amp;totalResumes=132&amp;pageUid=347d22a135543e605ca2c44206a53b45595401574b1a01120b02405f5a0953431b0e14070243595c0f57481700156&amp;hiringForFlowId=efceea52b6e652a4f1e84f3ffe140afc&amp;pFlow=SEARCH_ID&amp;pFlowId=efceea52b6e652a4f1e84f3ffe140afc&amp;tupleIndex=45&amp;storageKey=8292066430-1&amp;parentHighLightingKey=8286177008-1&amp;refineHighlightKey=8292066430&amp;activeIn=7&amp;parentSid=8292066430&amp;sidGroupId=efceea52b6e652a4f1e84f3ffe140afc&amp;principalUserId=211662494&amp;uresid=e29cb2e92df258b9eaa62f3d9ae00e315a5b0b51481a08160502405f5a0953431b01130002435f5e0953421008116&amp;parentActiveSimCvSource=collab&amp;parentSimCvCount=296&amp;parentContextSimCvCount=100&amp;parentSimCvSource=collab&amp;elasticType=es7&amp;simcvModelTag=sales_77_v1_rerankedV0&amp;simCvSource=collab&amp;uniqId=1f5413b651e043384bb6898ee57600ba5f5e0c574c425a450614105f590d5843425b16054745580f0a0243105f13051852595a0e51481a011901125209094f6&amp;parentSearchType=simcv" TargetMode="External"/><Relationship Id="rId300" Type="http://schemas.openxmlformats.org/officeDocument/2006/relationships/hyperlink" Target="mailto:dhuneeth1999@gmail.com" TargetMode="External"/><Relationship Id="rId482" Type="http://schemas.openxmlformats.org/officeDocument/2006/relationships/hyperlink" Target="mailto:vinayreddye339@gmail.com" TargetMode="External"/><Relationship Id="rId538" Type="http://schemas.openxmlformats.org/officeDocument/2006/relationships/hyperlink" Target="https://resdex.naukri.com/v3/preview?tabKey=profile&amp;sid=8450185939&amp;paramString=8b485a994a0b1f7d419bf11cc53a6d4b13106&amp;hfFlowName=search&amp;commentSearchType=comment-my,comment-others&amp;totalResumes=391&amp;hiringForFlowId=2a8a0573ebb576e185080958c3ca2b22&amp;pFlow=SEARCH_ID&amp;pFlowId=2a8a0573ebb576e185080958c3ca2b22&amp;tupleIndex=25&amp;storageKey=8450185939-1&amp;parentHighLightingKey=8450185939-1&amp;activeIn=7&amp;parentSid=8450185939&amp;sidGroupId=2a8a0573ebb576e185080958c3ca2b22&amp;uresid=aea74c4ac7ab3f82a3576288a2fffb585a5d00574a120b180302405f5a0c5749130f18020243595f0e544d1108116&amp;elasticType=es7&amp;uniqId=a7ff7709904766e22cbebc047b61350a095f5a5218475c1506444209595f551f4258450440475f5f0058191a0a17061452595a0e544c1009170a105209094f6" TargetMode="External"/><Relationship Id="rId81" Type="http://schemas.openxmlformats.org/officeDocument/2006/relationships/hyperlink" Target="mailto:harlapurvijay@gmail.com" TargetMode="External"/><Relationship Id="rId135" Type="http://schemas.openxmlformats.org/officeDocument/2006/relationships/hyperlink" Target="mailto:srinivasjavvadi03@gmail.com" TargetMode="External"/><Relationship Id="rId177" Type="http://schemas.openxmlformats.org/officeDocument/2006/relationships/hyperlink" Target="mailto:piyushkumar5271@gmail.com" TargetMode="External"/><Relationship Id="rId342" Type="http://schemas.openxmlformats.org/officeDocument/2006/relationships/hyperlink" Target="mailto:gpaal369@gmail.com" TargetMode="External"/><Relationship Id="rId384" Type="http://schemas.openxmlformats.org/officeDocument/2006/relationships/hyperlink" Target="https://resdex.naukri.com/v3/preview?tabKey=profile&amp;sid=8371017834&amp;paramString=8b485a994a0b1f7d419bf11cc53a6d4b13106&amp;hfFlowName=search&amp;commentSearchType=comment-my,comment-others&amp;totalResumes=3674&amp;hiringForFlowId=bd41fcb3c0ffcccbbdf915a7d328cdd6&amp;pFlow=SEARCH_ID&amp;pFlowId=bd41fcb3c0ffcccbbdf915a7d328cdd6&amp;tupleIndex=16&amp;storageKey=8371017834-1&amp;parentHighLightingKey=8371017834-1&amp;activeIn=7&amp;parentSid=8371017834&amp;sidGroupId=bd41fcb3c0ffcccbbdf915a7d328cdd6&amp;uresid=dec6c86894251221076dcab9dd38beb65a5d00524f120d120502405f5a0a514e1309160702435a5e09534f130d196&amp;elasticType=es7&amp;uniqId=b3a5d63b2a0e2ad55e075eb6c873d3770d0e090242450c125140145b595c544b1a5d120514130e5f5b5142425819031852595a0e524a17091104155209094f6" TargetMode="External"/><Relationship Id="rId202" Type="http://schemas.openxmlformats.org/officeDocument/2006/relationships/hyperlink" Target="mailto:piyushkumar5271@gmail.com" TargetMode="External"/><Relationship Id="rId244" Type="http://schemas.openxmlformats.org/officeDocument/2006/relationships/hyperlink" Target="mailto:jtkoushik509@gmail.com" TargetMode="External"/><Relationship Id="rId39" Type="http://schemas.openxmlformats.org/officeDocument/2006/relationships/hyperlink" Target="mailto:arulseenu5@gmail.com" TargetMode="External"/><Relationship Id="rId286" Type="http://schemas.openxmlformats.org/officeDocument/2006/relationships/hyperlink" Target="mailto:anandbhalari@gmail.com" TargetMode="External"/><Relationship Id="rId451" Type="http://schemas.openxmlformats.org/officeDocument/2006/relationships/hyperlink" Target="https://resdex.naukri.com/v3/preview?tabKey=profile&amp;sid=8422402211&amp;paramString=8b485a994a0b1f7d419bf11cc53a6d4b13106&amp;hfFlowName=search&amp;commentSearchType=comment-my,comment-others&amp;totalResumes=40&amp;hiringForFlowId=aaaa507bb4ed5f555c78f97a83e26edf&amp;pFlow=SEARCH_ID&amp;pFlowId=aaaa507bb4ed5f555c78f97a83e26edf&amp;tupleIndex=6&amp;storageKey=8422402211-1&amp;parentHighLightingKey=8422402211-1&amp;activeIn=7&amp;parentSid=8422402211&amp;sidGroupId=aaaa507bb4ed5f555c78f97a83e26edf&amp;uresid=9381e00a1b6164f5a1e4b26b62cc7bf75a5a0056491501180102405f5a0d574b160e15010243515d0e5842140c116&amp;elasticType=es7&amp;uniqId=461fe3854faefe2586d1978d24e99d2e0a580f02494058155612495b590b074c4100455118440d580e551c110814554452595a0e554c120c1607135209094f6" TargetMode="External"/><Relationship Id="rId493" Type="http://schemas.openxmlformats.org/officeDocument/2006/relationships/hyperlink" Target="mailto:puthenpurayil84@gmail.com" TargetMode="External"/><Relationship Id="rId507" Type="http://schemas.openxmlformats.org/officeDocument/2006/relationships/hyperlink" Target="mailto:ambikasingh1991@gmail.com" TargetMode="External"/><Relationship Id="rId549" Type="http://schemas.openxmlformats.org/officeDocument/2006/relationships/hyperlink" Target="https://resdex.naukri.com/v3/preview?tabKey=profile&amp;sid=8451801235&amp;paramString=8b485a994a0b1f7d419bf11cc53a6d4b13106&amp;hfFlowName=search&amp;commentSearchType=comment-my,comment-others&amp;totalResumes=2133&amp;hiringForFlowId=bf022638070e76c2719781dd065ba475&amp;pFlow=SEARCH_ID&amp;pFlowId=bf022638070e76c2719781dd065ba475&amp;tupleIndex=4&amp;storageKey=8451801235-2&amp;parentHighLightingKey=8451801235-2&amp;activeIn=7&amp;parentSid=8451801235&amp;sidGroupId=bf022638070e76c2719781dd065ba475&amp;uresid=10c2e9c21acca7ffa5532a3b793499735a5a0f504b170e130302405f5a0c574e1b0c14040243505a08564e1a0b116&amp;elasticType=es7&amp;uniqId=4dfa629a2c50573c82dc759ce3120d0d505c090549410e110a15480c5908574c4100130442490c0858514e140142024452595a0e544c17011406165209094f6" TargetMode="External"/><Relationship Id="rId50" Type="http://schemas.openxmlformats.org/officeDocument/2006/relationships/hyperlink" Target="mailto:naveenlkbs@gmail.com" TargetMode="External"/><Relationship Id="rId104" Type="http://schemas.openxmlformats.org/officeDocument/2006/relationships/hyperlink" Target="mailto:vijaynossam248@gmail.com" TargetMode="External"/><Relationship Id="rId146" Type="http://schemas.openxmlformats.org/officeDocument/2006/relationships/hyperlink" Target="mailto:Pujarichandini40@gmail.com" TargetMode="External"/><Relationship Id="rId188" Type="http://schemas.openxmlformats.org/officeDocument/2006/relationships/hyperlink" Target="mailto:kksukanya06@gmail.com" TargetMode="External"/><Relationship Id="rId311" Type="http://schemas.openxmlformats.org/officeDocument/2006/relationships/hyperlink" Target="https://resdex.naukri.com/v3/preview?tabKey=profile&amp;sid=8320966016&amp;paramString=8b485a994a0b1f7d419bf11cc53a6d4b13106&amp;hfFlowName=search&amp;commentSearchType=comment-my,comment-others&amp;totalResumes=1724&amp;hiringForFlowId=42d53d241f068fa3ec0918e81928c07f&amp;pFlow=SEARCH_ID&amp;pFlowId=42d53d241f068fa3ec0918e81928c07f&amp;tupleIndex=14&amp;storageKey=8320966016-4&amp;parentHighLightingKey=8320966016-4&amp;activeIn=15&amp;parentSid=8320966016&amp;sidGroupId=42d53d241f068fa3ec0918e81928c07f&amp;uresid=76eebb36951bf065ffa488567b8edabb595c0a574b1b09100002405f5a08524b1401120b02405a5f08554e1b08186&amp;elasticType=es7&amp;uniqId=e64184a0ebea6d26b73569c735c8a4715f5c0000424009110011485c540d074a1a0102021646595e0856421001025245076" TargetMode="External"/><Relationship Id="rId353" Type="http://schemas.openxmlformats.org/officeDocument/2006/relationships/hyperlink" Target="mailto:soundarapandidce@gmail.com" TargetMode="External"/><Relationship Id="rId395" Type="http://schemas.openxmlformats.org/officeDocument/2006/relationships/hyperlink" Target="https://resdex.naukri.com/v3/preview?tabKey=profile&amp;hfFlowName=compositecv&amp;totalResumes=6&amp;pageUid=c06b95af-d&amp;hiringForFlowId=c9261cfd3dafa13c5a6f1302a462b874&amp;pFlow=SEARCH_ID&amp;pFlowId=c9261cfd3dafa13c5a6f1302a462b874&amp;tupleIndex=0&amp;storageKey=c06b95af-d-1&amp;parentHighLightingKey=8389923166-1&amp;activeIn=3650&amp;parentSid=8389923166&amp;sidGroupId=c9261cfd3dafa13c5a6f1302a462b874&amp;principalUserId=88175835,97085734&amp;uresid=2c0fdb7599e50cd4ddc6254364d4f402515c0b594d150b181010465f5e0e524f100118101848515a01534f106&amp;elasticType=es7&amp;uniqId=0b8c5e27a75e6631ddbe0b75ba31cbd0590e0f504a1108470519170b590f041c1101020216465b5a0a54491b00025245076&amp;parentSearchType=adv" TargetMode="External"/><Relationship Id="rId409" Type="http://schemas.openxmlformats.org/officeDocument/2006/relationships/hyperlink" Target="mailto:somnathchougule01@gmail.com" TargetMode="External"/><Relationship Id="rId560" Type="http://schemas.openxmlformats.org/officeDocument/2006/relationships/hyperlink" Target="https://resdex.naukri.com/v3/preview?tabKey=profile&amp;sid=8455856205&amp;paramString=8b485a994a0b1f7d419bf11cc53a6d4b13106&amp;hfFlowName=search&amp;commentSearchType=comment-my,comment-others&amp;phoneStatus=true&amp;totalResumes=687&amp;hiringForFlowId=6ae071182888e0b4e8d950d178b10105&amp;pFlow=SEARCH_ID&amp;pFlowId=6ae071182888e0b4e8d950d178b10105&amp;tupleIndex=1&amp;storageKey=8455856205-1&amp;parentHighLightingKey=8455856205-1&amp;activeIn=7&amp;parentSid=8455856205&amp;sidGroupId=6ae071182888e0b4e8d950d178b10105&amp;uresid=d09496ecc4767d86f4cc1d079fda035b5a5f01564c110e170002405f5a0c56491a09100102435c5f09574f130c146&amp;elasticType=es7&amp;uniqId=3c951d18be9e122d837597aefcb2931b0e590a56194608105042495b595b57421b58140a11440e5b0d071f160a160b1852595a0e544d10001102135209094f6" TargetMode="External"/><Relationship Id="rId92" Type="http://schemas.openxmlformats.org/officeDocument/2006/relationships/hyperlink" Target="mailto:tanushreeshettigar@gmail.com" TargetMode="External"/><Relationship Id="rId213" Type="http://schemas.openxmlformats.org/officeDocument/2006/relationships/hyperlink" Target="mailto:nishant.s.sonar@gmail.com" TargetMode="External"/><Relationship Id="rId420" Type="http://schemas.openxmlformats.org/officeDocument/2006/relationships/hyperlink" Target="https://resdex.naukri.com/v3/preview?tabKey=profile&amp;sid=8411120187&amp;paramString=8b485a994a0b1f7d419bf11cc53a6d4b13106&amp;hfFlowName=search&amp;commentSearchType=comment-my,comment-others&amp;totalResumes=471&amp;hiringForFlowId=691e61d949e0352f7a9e455a0e728f44&amp;pFlow=SEARCH_ID&amp;pFlowId=691e61d949e0352f7a9e455a0e728f44&amp;tupleIndex=20&amp;storageKey=8411120187-1&amp;parentHighLightingKey=8411120187-1&amp;activeIn=15&amp;parentSid=8411120187&amp;sidGroupId=691e61d949e0352f7a9e455a0e728f44&amp;uresid=e3b96a876aa2e4a0a508dfff7889d6d35a5c0e504c1500100b02405f5a0d524e150d180202435b5d0a514e1009116&amp;elasticType=es7&amp;uniqId=fcfb68d3e9ff656be6626b034251a7cf5a5d08031b420c440413135b590c554c420e165717155d0b0a52424501470b1152595a0e5549170f150a105209094f6" TargetMode="External"/><Relationship Id="rId255" Type="http://schemas.openxmlformats.org/officeDocument/2006/relationships/hyperlink" Target="https://resdex.naukri.com/v3/preview?tabKey=profile&amp;sid=8298866950&amp;hfFlowName=simcv&amp;totalResumes=87&amp;pageUid=75d1b65eba669c163fee511b9319ce9e595401574b1a01120b02405f5a095748140010010243595c0f57481700156&amp;hiringForFlowId=efceea52b6e652a4f1e84f3ffe140afc&amp;pFlow=SEARCH_ID&amp;pFlowId=efceea52b6e652a4f1e84f3ffe140afc&amp;tupleIndex=37&amp;storageKey=8298866950-2&amp;parentHighLightingKey=8298749122-1&amp;refineHighlightKey=8298866950&amp;activeIn=15&amp;parentSid=8298866950&amp;sidGroupId=efceea52b6e652a4f1e84f3ffe140afc&amp;principalUserId=211662494&amp;uresid=f739a927821e6345eb0c9caeae7aa55d595b0f5742110e190a02405f5a0957481b0e120202405f5a0a584e150a186&amp;parentActiveSimCvSource=collab&amp;parentSimCvCount=296&amp;parentContextSimCvCount=100&amp;parentSimCvSource=collab&amp;elasticType=es7&amp;simcvModelTag=sales_77_v1_rerankingCohortSkipped&amp;simCvSource=collab&amp;uniqId=494540f3608a71ca38964441ffa5295c0e5d0a504c145a430445425d595d584b4158430516125d585c034e145b17501652595a0e514c11011600105209094f6&amp;parentSearchType=simcv" TargetMode="External"/><Relationship Id="rId297" Type="http://schemas.openxmlformats.org/officeDocument/2006/relationships/hyperlink" Target="mailto:rashmidarshan0894@gmail.com" TargetMode="External"/><Relationship Id="rId462" Type="http://schemas.openxmlformats.org/officeDocument/2006/relationships/hyperlink" Target="mailto:madhuk.20@gmail.com" TargetMode="External"/><Relationship Id="rId518" Type="http://schemas.openxmlformats.org/officeDocument/2006/relationships/hyperlink" Target="https://resdex.naukri.com/v3/preview?tabKey=profile&amp;sid=8446865223&amp;paramString=8b485a994a0b1f7d419bf11cc53a6d4b13106&amp;hfFlowName=search&amp;commentSearchType=comment-my,comment-others&amp;totalResumes=398&amp;hiringForFlowId=0bf2e2a5cbb0f78629eed4ed850e4da4&amp;pFlow=SEARCH_ID&amp;pFlowId=0bf2e2a5cbb0f78629eed4ed850e4da4&amp;tupleIndex=6&amp;storageKey=8446865223-1&amp;parentHighLightingKey=8446865223-1&amp;activeIn=7&amp;parentSid=8446865223&amp;sidGroupId=0bf2e2a5cbb0f78629eed4ed850e4da4&amp;uresid=9db620c578515d3593fdb1ef07d312705a540159421500100602405f5a0c544e14011607024258540055491309106&amp;elasticType=es7&amp;uniqId=090a93fc6b79734a971bb3c81dee62550d0f00004f1a581307451009590f034e4258190718475b090905481a0918551452595a0e544f170e1904155209094f6" TargetMode="External"/><Relationship Id="rId115" Type="http://schemas.openxmlformats.org/officeDocument/2006/relationships/hyperlink" Target="mailto:pruthvi4371@gmail.com" TargetMode="External"/><Relationship Id="rId157" Type="http://schemas.openxmlformats.org/officeDocument/2006/relationships/hyperlink" Target="mailto:hksm199@gmail.com" TargetMode="External"/><Relationship Id="rId322" Type="http://schemas.openxmlformats.org/officeDocument/2006/relationships/hyperlink" Target="mailto:sureshmohankumar19@gmail.co" TargetMode="External"/><Relationship Id="rId364" Type="http://schemas.openxmlformats.org/officeDocument/2006/relationships/hyperlink" Target="mailto:akhilm19@gmail.com" TargetMode="External"/><Relationship Id="rId61" Type="http://schemas.openxmlformats.org/officeDocument/2006/relationships/hyperlink" Target="mailto:udaya.luck@gmail.com" TargetMode="External"/><Relationship Id="rId199" Type="http://schemas.openxmlformats.org/officeDocument/2006/relationships/hyperlink" Target="https://resdex.naukri.com/v3/preview?tabKey=profile&amp;sid=8279272678&amp;hfFlowName=contextcv&amp;totalResumes=57&amp;pageUid=c947a981a4939cec6bb580403de010aa595508584d160c170102405f5a09514b1b0d16020240515e0b58491600116&amp;hiringForFlowId=7cd979ffc3cbdf5c344f4c1b2e9b5eaa&amp;pFlow=SEARCH_ID&amp;pFlowId=7cd979ffc3cbdf5c344f4c1b2e9b5eaa&amp;tupleIndex=1&amp;storageKey=8279272678-1&amp;parentHighLightingKey=8279268380-1&amp;refineHighlightKey=8279272678&amp;activeIn=7&amp;parentSid=8279272678&amp;sidGroupId=7cd979ffc3cbdf5c344f4c1b2e9b5eaa&amp;principalUserId=193293590&amp;uresid=1b6c2bb96b455872d8209e8805c6cc165b5f0b524f1109160702405f5a09514b1b0c130502425b5e0d514c1a0d196&amp;parentActiveSimCvSource=content&amp;parentSimCvCount=35&amp;parentContextSimCvCount=100&amp;parentSimCvSource=content&amp;elasticType=es7&amp;simcvModelTag=it_retV2_modelV2_spark_rerankedV0&amp;simCvSource=content&amp;uniqId=9e7cc3995382e240feb1e91164e8f3445c5800531c130f4201424958590c51191a0b190715435d5f0d001b165c43061052595a0e514a12011401175209094f6&amp;parentSearchType=simcv" TargetMode="External"/><Relationship Id="rId571" Type="http://schemas.openxmlformats.org/officeDocument/2006/relationships/hyperlink" Target="https://resdex.naukri.com/v3/preview?tabKey=profile&amp;sid=8462707265&amp;paramString=8b485a994a0b1f7d419bf11cc53a6d4b13106&amp;hfFlowName=search&amp;commentSearchType=comment-my,comment-others&amp;totalResumes=9152&amp;hiringForFlowId=5dad1d63e050960008a7fd93fc65b1fd&amp;pFlow=SEARCH_ID&amp;pFlowId=5dad1d63e050960008a7fd93fc65b1fd&amp;tupleIndex=6&amp;storageKey=8462707265-1&amp;parentHighLightingKey=8462707265-1&amp;activeIn=7&amp;parentSid=8462707265&amp;sidGroupId=5dad1d63e050960008a7fd93fc65b1fd&amp;uresid=f49b27049549c8dd9bbf0237e1a11dc05f5d0f50421608151010465f5b095743140c161019415c5501534a176&amp;elasticType=es7&amp;uniqId=7055c841297a5d61ae7878f0cf020e5b5a0b5f554e140b150243105e0e5a0518150a020216465e5d0f584d160e025245076" TargetMode="External"/><Relationship Id="rId19" Type="http://schemas.openxmlformats.org/officeDocument/2006/relationships/hyperlink" Target="mailto:ashwinimallanagowda@gmail.com" TargetMode="External"/><Relationship Id="rId224" Type="http://schemas.openxmlformats.org/officeDocument/2006/relationships/hyperlink" Target="mailto:shalinibopche2000@gmail.com" TargetMode="External"/><Relationship Id="rId266" Type="http://schemas.openxmlformats.org/officeDocument/2006/relationships/hyperlink" Target="mailto:abhidodderi26@gmail.com" TargetMode="External"/><Relationship Id="rId431" Type="http://schemas.openxmlformats.org/officeDocument/2006/relationships/hyperlink" Target="mailto:harshabhat2901@gmail.com" TargetMode="External"/><Relationship Id="rId473" Type="http://schemas.openxmlformats.org/officeDocument/2006/relationships/hyperlink" Target="https://resdex.naukri.com/v3/preview?tabKey=profile&amp;sid=8425948429&amp;hfFlowName=simcv&amp;totalResumes=62&amp;pageUid=7148e7ae4ed32541d96b89cbd11ee0575b5c0f594c130e190302405f5a0d594f120e120b02425a5a00504d1300116&amp;hiringForFlowId=db7ac9640f2f881d5a10739e55c6c10b&amp;pFlow=SEARCH_ID&amp;pFlowId=db7ac9640f2f881d5a10739e55c6c10b&amp;tupleIndex=16&amp;storageKey=8425948429-1&amp;parentHighLightingKey=8425944573-1&amp;refineHighlightKey=8425948429&amp;activeIn=15&amp;parentSid=8425948429&amp;sidGroupId=db7ac9640f2f881d5a10739e55c6c10b&amp;principalUserId=327917090&amp;uresid=53ec07028495e3a74c4bb9726a2ea6665b5c0a594a1b0d150502405f5a0d594f110d150202425a5901574e1101196&amp;parentActiveSimCvSource=collab&amp;parentSimCvCount=186&amp;parentContextSimCvCount=100&amp;parentSimCvSource=collab&amp;elasticType=es7&amp;simcvModelTag=it_45_v2_rerankedV0&amp;simCvSource=collab&amp;uniqId=953ba382df10dd2c26597fb3f1cf7d4c5808580748145c180b15405b590b024b1a0d130311150e5a080318420a13514252595a0e5542160b1507105209094f6&amp;parentSearchType=simcv" TargetMode="External"/><Relationship Id="rId529" Type="http://schemas.openxmlformats.org/officeDocument/2006/relationships/hyperlink" Target="mailto:chandrumillo121@gmail.com" TargetMode="External"/><Relationship Id="rId30" Type="http://schemas.openxmlformats.org/officeDocument/2006/relationships/hyperlink" Target="mailto:kshaydevale123@gmail.com" TargetMode="External"/><Relationship Id="rId126" Type="http://schemas.openxmlformats.org/officeDocument/2006/relationships/hyperlink" Target="mailto:mjaseer43@gmail.com" TargetMode="External"/><Relationship Id="rId168" Type="http://schemas.openxmlformats.org/officeDocument/2006/relationships/hyperlink" Target="mailto:mrkaish@gmail.com" TargetMode="External"/><Relationship Id="rId333" Type="http://schemas.openxmlformats.org/officeDocument/2006/relationships/hyperlink" Target="mailto:kanakaraju66440@gmail.com" TargetMode="External"/><Relationship Id="rId540" Type="http://schemas.openxmlformats.org/officeDocument/2006/relationships/hyperlink" Target="mailto:esumithra333@gmail.com" TargetMode="External"/><Relationship Id="rId72" Type="http://schemas.openxmlformats.org/officeDocument/2006/relationships/hyperlink" Target="mailto:santoshhampannawar0831@gmail.com" TargetMode="External"/><Relationship Id="rId375" Type="http://schemas.openxmlformats.org/officeDocument/2006/relationships/hyperlink" Target="mailto:jaiminthakor781@gmail.com" TargetMode="External"/><Relationship Id="rId582" Type="http://schemas.openxmlformats.org/officeDocument/2006/relationships/hyperlink" Target="mailto:potdarpradnya91@gmail.com" TargetMode="External"/><Relationship Id="rId3" Type="http://schemas.openxmlformats.org/officeDocument/2006/relationships/hyperlink" Target="mailto:pranathigopal00@gmail.com" TargetMode="External"/><Relationship Id="rId235" Type="http://schemas.openxmlformats.org/officeDocument/2006/relationships/hyperlink" Target="mailto:souravchowdhury9171@gmail.com" TargetMode="External"/><Relationship Id="rId277" Type="http://schemas.openxmlformats.org/officeDocument/2006/relationships/hyperlink" Target="https://resdex.naukri.com/v3/preview?tabKey=profile&amp;sid=8292066430&amp;hfFlowName=simcv&amp;totalResumes=132&amp;pageUid=347d22a135543e605ca2c44206a53b45595401574b1a01120b02405f5a0953431b0e14070243595c0f57481700156&amp;hiringForFlowId=efceea52b6e652a4f1e84f3ffe140afc&amp;pFlow=SEARCH_ID&amp;pFlowId=efceea52b6e652a4f1e84f3ffe140afc&amp;tupleIndex=105&amp;storageKey=8292066430-1&amp;parentHighLightingKey=8286177008-1&amp;refineHighlightKey=8292066430&amp;activeIn=7&amp;parentSid=8292066430&amp;sidGroupId=efceea52b6e652a4f1e84f3ffe140afc&amp;principalUserId=211662494&amp;uresid=fdd2ed1e92118dc591a4ba34afc93449595a0e53481a09160b02405f5a0953431b011300024050550a524b1201136&amp;parentActiveSimCvSource=collab&amp;parentSimCvCount=296&amp;parentContextSimCvCount=100&amp;parentSimCvSource=collab&amp;elasticType=es7&amp;simcvModelTag=sales_77_v1_rerankedV0&amp;simCvSource=collab&amp;uniqId=2156d600675dc596e2a7ad84657f0be55a0f5a594f170b440047455f5909054e425f450413445b5e0855421a5c450b4752595a0e51481a011901125209094f6&amp;parentSearchType=simcv" TargetMode="External"/><Relationship Id="rId400" Type="http://schemas.openxmlformats.org/officeDocument/2006/relationships/hyperlink" Target="about:blank" TargetMode="External"/><Relationship Id="rId442" Type="http://schemas.openxmlformats.org/officeDocument/2006/relationships/hyperlink" Target="https://resdex.naukri.com/v3/preview?tabKey=profile&amp;sid=8421280587&amp;paramString=8b485a994a0b1f7d419bf11cc53a6d4b13106&amp;hfFlowName=search&amp;commentSearchType=comment-my,comment-others&amp;totalResumes=199&amp;hiringForFlowId=6e6f9b7a3f6888dedecd9f5b73ff303e&amp;pFlow=SEARCH_ID&amp;pFlowId=6e6f9b7a3f6888dedecd9f5b73ff303e&amp;tupleIndex=36&amp;storageKey=8421280587-4&amp;parentHighLightingKey=8421280587-4&amp;activeIn=7&amp;parentSid=8421280587&amp;sidGroupId=6e6f9b7a3f6888dedecd9f5b73ff303e&amp;uresid=ab05e0658821f1c491434c98580def3e5b5c01584c110d120102405f5a0d5443150c180102425b5d09504d1408156&amp;elasticType=es7&amp;uniqId=8f74094b04df46e0b227cc47d7d12f5e5c5d0a52181308100211125a590f5548415c420b42400a0c5a5042425a12074452595a0e554f1a0f140a135209094f6" TargetMode="External"/><Relationship Id="rId484" Type="http://schemas.openxmlformats.org/officeDocument/2006/relationships/hyperlink" Target="mailto:iamsathish253@gmail.com" TargetMode="External"/><Relationship Id="rId137" Type="http://schemas.openxmlformats.org/officeDocument/2006/relationships/hyperlink" Target="mailto:saran.santhanakrishnan@gmail.com" TargetMode="External"/><Relationship Id="rId302" Type="http://schemas.openxmlformats.org/officeDocument/2006/relationships/hyperlink" Target="https://resdex.naukri.com/v3/preview?tabKey=profile&amp;sid=8320645092&amp;paramString=8b485a994a0b1f7d419bf11cc53a6d4b13106&amp;hfFlowName=search&amp;commentSearchType=comment-my,comment-others&amp;totalResumes=1371&amp;hiringForFlowId=c989655263d93195f971f06a65741002&amp;pFlow=SEARCH_ID&amp;pFlowId=c989655263d93195f971f06a65741002&amp;tupleIndex=158&amp;storageKey=8320645092-1&amp;parentHighLightingKey=8320645092-1&amp;activeIn=7&amp;parentSid=8320645092&amp;sidGroupId=c989655263d93195f971f06a65741002&amp;uresid=57aeb26652d83cfa0e97279f62ea7e2e5a5a085449160a190102405f5a08524b170a14020243505f0c594c1100196&amp;elasticType=es7&amp;uniqId=2b73bf764ea0235ea287e40fa6f8697b5c580f58424709470514485c595c051c1a5a155647415d5a01584a105b47514352595a0e5049120d1206105209094f6" TargetMode="External"/><Relationship Id="rId344" Type="http://schemas.openxmlformats.org/officeDocument/2006/relationships/hyperlink" Target="mailto:gn5260483@gmail.com" TargetMode="External"/><Relationship Id="rId41" Type="http://schemas.openxmlformats.org/officeDocument/2006/relationships/hyperlink" Target="mailto:samriddhisingh14@gmail.com" TargetMode="External"/><Relationship Id="rId83" Type="http://schemas.openxmlformats.org/officeDocument/2006/relationships/hyperlink" Target="mailto:Kumarsinghvishwajeet77@gmail.com" TargetMode="External"/><Relationship Id="rId179" Type="http://schemas.openxmlformats.org/officeDocument/2006/relationships/hyperlink" Target="mailto:msanjibkumar807@gmail.com" TargetMode="External"/><Relationship Id="rId386" Type="http://schemas.openxmlformats.org/officeDocument/2006/relationships/hyperlink" Target="mailto:shaik.shakeer01@gmail.com" TargetMode="External"/><Relationship Id="rId551" Type="http://schemas.openxmlformats.org/officeDocument/2006/relationships/hyperlink" Target="mailto:sujithkumars9740@gmail.com" TargetMode="External"/><Relationship Id="rId190" Type="http://schemas.openxmlformats.org/officeDocument/2006/relationships/hyperlink" Target="mailto:sangnyasreeb@gmail.com" TargetMode="External"/><Relationship Id="rId204" Type="http://schemas.openxmlformats.org/officeDocument/2006/relationships/hyperlink" Target="mailto:gdheeraj2108@gmail.com" TargetMode="External"/><Relationship Id="rId246" Type="http://schemas.openxmlformats.org/officeDocument/2006/relationships/hyperlink" Target="mailto:ronak.zinzuwadia79@gmail.com" TargetMode="External"/><Relationship Id="rId288" Type="http://schemas.openxmlformats.org/officeDocument/2006/relationships/hyperlink" Target="mailto:scbrksingh@gmail.com" TargetMode="External"/><Relationship Id="rId411" Type="http://schemas.openxmlformats.org/officeDocument/2006/relationships/hyperlink" Target="mailto:harishgowd777@gmail.com" TargetMode="External"/><Relationship Id="rId453" Type="http://schemas.openxmlformats.org/officeDocument/2006/relationships/hyperlink" Target="mailto:kpoojaryshreyas@gmail.com" TargetMode="External"/><Relationship Id="rId509" Type="http://schemas.openxmlformats.org/officeDocument/2006/relationships/hyperlink" Target="mailto:subrahmanyam.veeravalli1@gmail.com" TargetMode="External"/><Relationship Id="rId106" Type="http://schemas.openxmlformats.org/officeDocument/2006/relationships/hyperlink" Target="mailto:shilpapoojary15@gmail.com" TargetMode="External"/><Relationship Id="rId313" Type="http://schemas.openxmlformats.org/officeDocument/2006/relationships/hyperlink" Target="mailto:kumarsunilraj6293@gmail.com" TargetMode="External"/><Relationship Id="rId495" Type="http://schemas.openxmlformats.org/officeDocument/2006/relationships/hyperlink" Target="https://resdex.naukri.com/v3/preview?tabKey=profile&amp;hfFlowName=contextcv&amp;totalResumes=100&amp;pageUid=1c865e1d6631471a181eb7a73a7b63da5e5e0c53481b01111010465f5809524b11011310164251590055481b6&amp;hiringForFlowId=e74fdbfdc16506c14be78b12db971c18&amp;pFlow=SEARCH_ID&amp;pFlowId=e74fdbfdc16506c14be78b12db971c18&amp;tupleIndex=0&amp;storageKey=1c865e1d6631471a181eb7a73a7b63da5e5e0c53481b01111010465f5809524b11011310164251590055481b6-1&amp;parentHighLightingKey=8432890221-1&amp;activeIn=3650&amp;parentSid=8432890221&amp;sidGroupId=e74fdbfdc16506c14be78b12db971c18&amp;principalUserId=73949428&amp;uresid=00c8b88092b0eb318dff372275a9c3865a5501584f1b08131010465f5809524b1101181015415a5c09504f1b6&amp;parentActiveSimCvSource=content&amp;parentSimCvCount=115&amp;parentContextSimCvCount=100&amp;parentSimCvSource=content&amp;elasticType=es7&amp;simcvModelTag=it_retV2_modelV2_spark_rerankedV0&amp;simCvSource=content&amp;uniqId=fa984babde3361ac82e8c6ed5e5557395c540b051b135f120716140c5e5c034d140e020216465d5d0a50481b00025245076&amp;parentSearchType=adv" TargetMode="External"/><Relationship Id="rId10" Type="http://schemas.openxmlformats.org/officeDocument/2006/relationships/hyperlink" Target="mailto:ammuanjum136@gmail.com" TargetMode="External"/><Relationship Id="rId52" Type="http://schemas.openxmlformats.org/officeDocument/2006/relationships/hyperlink" Target="mailto:Santosh.tiwari404@gmail.com" TargetMode="External"/><Relationship Id="rId94" Type="http://schemas.openxmlformats.org/officeDocument/2006/relationships/hyperlink" Target="mailto:jilsonjoseph98@gmail.com" TargetMode="External"/><Relationship Id="rId148" Type="http://schemas.openxmlformats.org/officeDocument/2006/relationships/hyperlink" Target="mailto:akash777kk@gmail.com" TargetMode="External"/><Relationship Id="rId355" Type="http://schemas.openxmlformats.org/officeDocument/2006/relationships/hyperlink" Target="mailto:ramchandamc@gmail.com" TargetMode="External"/><Relationship Id="rId397" Type="http://schemas.openxmlformats.org/officeDocument/2006/relationships/hyperlink" Target="mailto:sangeeta.nath.mech@gmail.com" TargetMode="External"/><Relationship Id="rId520" Type="http://schemas.openxmlformats.org/officeDocument/2006/relationships/hyperlink" Target="https://resdex.naukri.com/v3/preview?tabKey=profile&amp;sid=8446865223&amp;paramString=8b485a994a0b1f7d419bf11cc53a6d4b13106&amp;hfFlowName=search&amp;commentSearchType=comment-my,comment-others&amp;totalResumes=398&amp;hiringForFlowId=0bf2e2a5cbb0f78629eed4ed850e4da4&amp;pFlow=SEARCH_ID&amp;pFlowId=0bf2e2a5cbb0f78629eed4ed850e4da4&amp;tupleIndex=13&amp;storageKey=8446865223-1&amp;parentHighLightingKey=8446865223-1&amp;activeIn=7&amp;parentSid=8446865223&amp;sidGroupId=0bf2e2a5cbb0f78629eed4ed850e4da4&amp;uresid=22e0a4d7f86fcf8d3f6ac29dd9fe63615a5e08504f1100100a02405f5a0c544e1401160702435c590d57421a09146&amp;elasticType=es7&amp;uniqId=ebbb002e8db6c5ec0c6cc170eb2ba4f25f5f58531f165d470612430c595a02191b0a190b1417595a0e0743460c15014252595a0e544f170e1904155209094f6" TargetMode="External"/><Relationship Id="rId562" Type="http://schemas.openxmlformats.org/officeDocument/2006/relationships/hyperlink" Target="mailto:albinchacko987@gmail.com" TargetMode="External"/><Relationship Id="rId215" Type="http://schemas.openxmlformats.org/officeDocument/2006/relationships/hyperlink" Target="https://resdex.naukri.com/v3/preview?tabKey=profile&amp;sid=8282538994&amp;paramString=8b485a994a0b1f7d419bf11cc53a6d4b13106&amp;hfFlowName=search&amp;commentSearchType=comment-my,comment-others&amp;totalResumes=57&amp;hiringForFlowId=5bcefa870fe0bd1eff20e1f521970243&amp;pFlow=SEARCH_ID&amp;pFlowId=5bcefa870fe0bd1eff20e1f521970243&amp;tupleIndex=8&amp;storageKey=8282538994-1&amp;parentHighLightingKey=8282538994-1&amp;activeIn=7&amp;parentSid=8282538994&amp;sidGroupId=5bcefa870fe0bd1eff20e1f521970243&amp;uresid=53ddba1b664cb50920a77f0f078b71a2595a01584d1a0f190002405f5a09504a100f160502495d590b524d12016&amp;elasticType=es7&amp;uniqId=ceefe13962b08055e738fb38684ad113590858521b110b100347490d580f03181a0b02021646585c09524c140f025245076" TargetMode="External"/><Relationship Id="rId257" Type="http://schemas.openxmlformats.org/officeDocument/2006/relationships/hyperlink" Target="mailto:bainaboinaniswitha@gmail.com" TargetMode="External"/><Relationship Id="rId422" Type="http://schemas.openxmlformats.org/officeDocument/2006/relationships/hyperlink" Target="https://resdex.naukri.com/v3/preview?tabKey=profile&amp;sid=8414473089&amp;paramString=8b485a994a0b1f7d419bf11cc53a6d4b13106&amp;hfFlowName=search&amp;commentSearchType=comment-my,comment-others&amp;totalResumes=1495&amp;hiringForFlowId=504a01f4123749ab98fb4c4549243c8a&amp;pFlow=SEARCH_ID&amp;pFlowId=504a01f4123749ab98fb4c4549243c8a&amp;tupleIndex=21&amp;storageKey=8414473089-1&amp;parentHighLightingKey=8414473089-1&amp;activeIn=15&amp;parentSid=8414473089&amp;sidGroupId=504a01f4123749ab98fb4c4549243c8a&amp;uresid=c92c4b9e6ed782fd12894252dd72c0705a5509574d1a08180502405f5a0d5548170e17020243515c0e554a1509116&amp;elasticType=es7&amp;uniqId=1688650cea238936c9faae5b3d3d36bc5d5a5d5548120e100240170b595b004d4100470210415f5558034f1358100a1852595a0e554e110d1605105209094f6" TargetMode="External"/><Relationship Id="rId464" Type="http://schemas.openxmlformats.org/officeDocument/2006/relationships/hyperlink" Target="mailto:suchitrap.suchi@gmail.com" TargetMode="External"/><Relationship Id="rId299" Type="http://schemas.openxmlformats.org/officeDocument/2006/relationships/hyperlink" Target="mailto:sagarchinni1998@gmail.com" TargetMode="External"/><Relationship Id="rId63" Type="http://schemas.openxmlformats.org/officeDocument/2006/relationships/hyperlink" Target="mailto:Pradeepsb.dip7790@gmail.com" TargetMode="External"/><Relationship Id="rId159" Type="http://schemas.openxmlformats.org/officeDocument/2006/relationships/hyperlink" Target="mailto:manojkumarmuduli153@gmail.com" TargetMode="External"/><Relationship Id="rId366" Type="http://schemas.openxmlformats.org/officeDocument/2006/relationships/hyperlink" Target="mailto:sarotitan@gmail.com" TargetMode="External"/><Relationship Id="rId573" Type="http://schemas.openxmlformats.org/officeDocument/2006/relationships/hyperlink" Target="https://resdex.naukri.com/v3/preview?tabKey=profile&amp;sid=8463799291&amp;paramString=8b485a994a0b1f7d419bf11cc53a6d4b13106&amp;hfFlowName=search&amp;commentSearchType=comment-my,comment-others&amp;totalResumes=5795&amp;hiringForFlowId=73bf904c746b2eae90c72424a49aabd5&amp;pFlow=SEARCH_ID&amp;pFlowId=73bf904c746b2eae90c72424a49aabd5&amp;tupleIndex=11&amp;storageKey=8463799291-1&amp;parentHighLightingKey=8463799291-1&amp;activeIn=7&amp;parentSid=8463799291&amp;sidGroupId=73bf904c746b2eae90c72424a49aabd5&amp;uresid=2b04ec6e03e130b106b41b1892c7b1a05d5e00514f1301121010465f5b09594a1a09161017455e5500594b126&amp;elasticType=es7&amp;uniqId=8c96f5736ed73464c94f04d69f76d5b358590e52431701190611465a5f5f54491501020216465e5d015143130e025245076" TargetMode="External"/><Relationship Id="rId226" Type="http://schemas.openxmlformats.org/officeDocument/2006/relationships/hyperlink" Target="https://resdex.naukri.com/v3/preview?tabKey=profile&amp;sid=8286118696&amp;paramString=8b485a994a0b1f7d419bf11cc53a6d4b13106&amp;hfFlowName=search&amp;commentSearchType=comment-my,comment-others&amp;totalResumes=589&amp;hiringForFlowId=efceea52b6e652a4f1e84f3ffe140afc&amp;pFlow=SEARCH_ID&amp;pFlowId=efceea52b6e652a4f1e84f3ffe140afc&amp;tupleIndex=15&amp;storageKey=8286118696-1&amp;parentHighLightingKey=8286118696-1&amp;activeIn=7&amp;parentSid=8286118696&amp;sidGroupId=efceea52b6e652a4f1e84f3ffe140afc&amp;uresid=6655c6a50196f8e656a06ec4b91527ae505b0f59481b0f141010465f5d08584b110b191018445d5a085043126&amp;elasticType=es7&amp;uniqId=234e9ba39955d3b4cefd2852185863a75e09585748170f100742125f085f544c110902021646585c0050481101025245076" TargetMode="External"/><Relationship Id="rId433" Type="http://schemas.openxmlformats.org/officeDocument/2006/relationships/hyperlink" Target="mailto:srikanths1687@gmail.com" TargetMode="External"/><Relationship Id="rId74" Type="http://schemas.openxmlformats.org/officeDocument/2006/relationships/hyperlink" Target="mailto:denniarems@gmail.com" TargetMode="External"/><Relationship Id="rId377" Type="http://schemas.openxmlformats.org/officeDocument/2006/relationships/hyperlink" Target="mailto:sangeethasrideev@gmail.com" TargetMode="External"/><Relationship Id="rId500" Type="http://schemas.openxmlformats.org/officeDocument/2006/relationships/hyperlink" Target="https://resdex.naukri.com/v3/preview?tabKey=profile&amp;sid=8432957083&amp;hfFlowName=contextcv&amp;totalResumes=85&amp;pageUid=f7a9fc5358947987b7bc29b926185f925b5f0956491608180302405f5a0c51491201170002425b5c0e584a1301196&amp;hiringForFlowId=e74fdbfdc16506c14be78b12db971c18&amp;pFlow=SEARCH_ID&amp;pFlowId=e74fdbfdc16506c14be78b12db971c18&amp;tupleIndex=38&amp;storageKey=8432957083-1&amp;parentHighLightingKey=8432890221-1&amp;refineHighlightKey=8432957083&amp;activeIn=15&amp;parentSid=8432957083&amp;sidGroupId=e74fdbfdc16506c14be78b12db971c18&amp;principalUserId=331790088&amp;uresid=91e92b0e7ef75ca732a2562413d562da5f5e08574e100b171010465f5809524b1a0d111019435f550e564c1b6&amp;parentActiveSimCvSource=content&amp;parentSimCvCount=13&amp;parentContextSimCvCount=100&amp;parentSimCvSource=content&amp;elasticType=es7&amp;simcvModelTag=purchase_retV1_modelV1_spark_rerankingCohortSkipped&amp;simCvSource=content&amp;uniqId=425043bc8f2ab52acebed5a977048e6a59550b0049170f180312405a095c044c140c020216465d5d0a50431709025245076&amp;parentSearchType=simcv" TargetMode="External"/><Relationship Id="rId584" Type="http://schemas.openxmlformats.org/officeDocument/2006/relationships/hyperlink" Target="https://resdex.naukri.com/v3/preview?tabKey=profile&amp;sid=8474071009&amp;paramString=8b485a994a0b1f7d419bf11cc53a6d4b13106&amp;hfFlowName=search&amp;commentSearchType=comment-my,comment-others&amp;totalResumes=7384&amp;hiringForFlowId=7750da8a4359257f62e04178351ae558&amp;pFlow=SEARCH_ID&amp;pFlowId=7750da8a4359257f62e04178351ae558&amp;tupleIndex=9&amp;storageKey=8474071009-1&amp;parentHighLightingKey=8474071009-1&amp;activeIn=7&amp;parentSid=8474071009&amp;sidGroupId=7750da8a4359257f62e04178351ae558&amp;uresid=db459954f16f1e1e3015919fcdcfc09f5a540a584e130b130302405f5a0f524e170f16010242585900584d1b0a136&amp;elasticType=es7&amp;uniqId=e7f5fa0a371d27139788302db9c79e8c0e540f554c1b0e40574748095909571f420d420b17490c5c0b054a460812571552595a0e5749170d1704135209094f6" TargetMode="External"/><Relationship Id="rId5" Type="http://schemas.openxmlformats.org/officeDocument/2006/relationships/hyperlink" Target="mailto:dhanyahari878@gmail.com" TargetMode="External"/><Relationship Id="rId237" Type="http://schemas.openxmlformats.org/officeDocument/2006/relationships/hyperlink" Target="mailto:somyaoriental@gmail.com" TargetMode="External"/><Relationship Id="rId444" Type="http://schemas.openxmlformats.org/officeDocument/2006/relationships/hyperlink" Target="mailto:jainpratham27@gmail.com" TargetMode="External"/><Relationship Id="rId290" Type="http://schemas.openxmlformats.org/officeDocument/2006/relationships/hyperlink" Target="mailto:deep08akash@gmail.com" TargetMode="External"/><Relationship Id="rId304" Type="http://schemas.openxmlformats.org/officeDocument/2006/relationships/hyperlink" Target="https://resdex.naukri.com/v3/preview?tabKey=profile&amp;sid=8320966016&amp;paramString=8b485a994a0b1f7d419bf11cc53a6d4b13106&amp;hfFlowName=search&amp;commentSearchType=comment-my,comment-others&amp;totalResumes=1724&amp;hiringForFlowId=42d53d241f068fa3ec0918e81928c07f&amp;pFlow=SEARCH_ID&amp;pFlowId=42d53d241f068fa3ec0918e81928c07f&amp;tupleIndex=28&amp;storageKey=8320966016-4&amp;parentHighLightingKey=8320966016-4&amp;activeIn=15&amp;parentSid=8320966016&amp;sidGroupId=42d53d241f068fa3ec0918e81928c07f&amp;uresid=8bfbecd6308a8e9ce1746d64e81395515a580b52481a0f160b02405f5a08524b1401120b02435e5e0a544e120b196&amp;elasticType=es7&amp;uniqId=4d9f5305b30f1520792ffc15585c24ec5f0b0d501b1608115514435e590b51191b0d135143155e5d0b0248130916051752595a0e5049120e1900195209094f6" TargetMode="External"/><Relationship Id="rId388" Type="http://schemas.openxmlformats.org/officeDocument/2006/relationships/hyperlink" Target="mailto:keerthikkumar3333@gmail.com" TargetMode="External"/><Relationship Id="rId511" Type="http://schemas.openxmlformats.org/officeDocument/2006/relationships/hyperlink" Target="mailto:aravindhansuresh3108@gmail.com" TargetMode="External"/><Relationship Id="rId85" Type="http://schemas.openxmlformats.org/officeDocument/2006/relationships/hyperlink" Target="mailto:pgcharulatha@gmail.com" TargetMode="External"/><Relationship Id="rId150" Type="http://schemas.openxmlformats.org/officeDocument/2006/relationships/hyperlink" Target="mailto:smreddy1998@gmail.com" TargetMode="External"/><Relationship Id="rId248" Type="http://schemas.openxmlformats.org/officeDocument/2006/relationships/hyperlink" Target="mailto:srashti.khare93@gmail.com" TargetMode="External"/><Relationship Id="rId455" Type="http://schemas.openxmlformats.org/officeDocument/2006/relationships/hyperlink" Target="mailto:sasank.km@gmail.com" TargetMode="External"/><Relationship Id="rId12" Type="http://schemas.openxmlformats.org/officeDocument/2006/relationships/hyperlink" Target="mailto:girishdivakar04@gmail.com" TargetMode="External"/><Relationship Id="rId108" Type="http://schemas.openxmlformats.org/officeDocument/2006/relationships/hyperlink" Target="mailto:gautihit@gmail.com" TargetMode="External"/><Relationship Id="rId315" Type="http://schemas.openxmlformats.org/officeDocument/2006/relationships/hyperlink" Target="mailto:aishwarya547541@gmail.com" TargetMode="External"/><Relationship Id="rId522" Type="http://schemas.openxmlformats.org/officeDocument/2006/relationships/hyperlink" Target="https://resdex.naukri.com/v3/preview?tabKey=profile&amp;sid=8446865223&amp;paramString=8b485a994a0b1f7d419bf11cc53a6d4b13106&amp;hfFlowName=search&amp;commentSearchType=comment-my,comment-others&amp;totalResumes=398&amp;hiringForFlowId=0bf2e2a5cbb0f78629eed4ed850e4da4&amp;pFlow=SEARCH_ID&amp;pFlowId=0bf2e2a5cbb0f78629eed4ed850e4da4&amp;tupleIndex=21&amp;storageKey=8446865223-1&amp;parentHighLightingKey=8446865223-1&amp;activeIn=7&amp;parentSid=8446865223&amp;sidGroupId=0bf2e2a5cbb0f78629eed4ed850e4da4&amp;uresid=572d9adde64587793a4db5767b30e38f5a580f564c1b0f160502405f5a0c544e1401160702435e5a0e594d140f136&amp;elasticType=es7&amp;uniqId=22f68173eb2843bab14540e18debb8415d0f5c074d405f425712485c5958004d1b5f12071317585f5c074a145d45034752595a0e544f170e1904155209094f6" TargetMode="External"/><Relationship Id="rId96" Type="http://schemas.openxmlformats.org/officeDocument/2006/relationships/hyperlink" Target="mailto:madhurinagraj2001@gmail.com" TargetMode="External"/><Relationship Id="rId161" Type="http://schemas.openxmlformats.org/officeDocument/2006/relationships/hyperlink" Target="mailto:krishnavs111@gmail.com" TargetMode="External"/><Relationship Id="rId399" Type="http://schemas.openxmlformats.org/officeDocument/2006/relationships/hyperlink" Target="https://resdex.naukri.com/v3/preview?tabKey=profile&amp;sid=8389927614&amp;hfFlowName=simcv&amp;totalResumes=214&amp;pageUid=4bf843f239ea09765c19cf938bcff05359590f514f1301140002405f5a0a574e160a120002405d580955421a01106&amp;hiringForFlowId=c9261cfd3dafa13c5a6f1302a462b874&amp;pFlow=SEARCH_ID&amp;pFlowId=c9261cfd3dafa13c5a6f1302a462b874&amp;tupleIndex=10&amp;storageKey=8389927614-1&amp;parentHighLightingKey=8389923166-1&amp;refineHighlightKey=8389927614&amp;activeIn=7&amp;parentSid=8389927614&amp;sidGroupId=c9261cfd3dafa13c5a6f1302a462b874&amp;principalUserId=155048981&amp;uresid=208f52c9183aebeefcc108cb0f8120b45a5f0857431a01140302405f5a0a574e160d120a02435b590053481b0e156&amp;parentActiveSimCvSource=collab&amp;parentSimCvCount=504&amp;parentContextSimCvCount=100&amp;parentSimCvSource=collab&amp;elasticType=es7&amp;simcvModelTag=default_rerankedV0&amp;simCvSource=collab&amp;uniqId=36f4a0a6b1101e8528c5dc8e0047b03b5b5a0c571b1b081905144758595854181a5f47551749505c5c591c120f45044452595a0e524c170c1500185209094f6&amp;parentSearchType=simcv" TargetMode="External"/><Relationship Id="rId259" Type="http://schemas.openxmlformats.org/officeDocument/2006/relationships/hyperlink" Target="https://resdex.naukri.com/v3/preview?tabKey=profile&amp;sid=8299555078&amp;paramString=8b485a994a0b1f7d419bf11cc53a6d4b13106&amp;hfFlowName=search&amp;commentSearchType=comment-my,comment-others&amp;totalResumes=2505&amp;hiringForFlowId=c165d494f634e5904b48ec57c705f589&amp;pFlow=SEARCH_ID&amp;pFlowId=c165d494f634e5904b48ec57c705f589&amp;tupleIndex=13&amp;storageKey=8299555078-2&amp;parentHighLightingKey=8299555078-2&amp;activeIn=7&amp;parentSid=8299555078&amp;sidGroupId=c165d494f634e5904b48ec57c705f589&amp;uresid=9bd9ed569dbfdc543b5869df375ef1e15a5900574f100e140302405f5a095749160e140502435e5f0d53481200176&amp;elasticType=es7&amp;uniqId=6ca73a73ee3b3bee42e72c588b482e5c5c0c0b5619410d115716400e590d534e1a58180615170c0808594d115d18514252595a0e514c100c1606175209094f6" TargetMode="External"/><Relationship Id="rId466" Type="http://schemas.openxmlformats.org/officeDocument/2006/relationships/hyperlink" Target="mailto:vishnuprakashg7@gmail.com" TargetMode="External"/><Relationship Id="rId23" Type="http://schemas.openxmlformats.org/officeDocument/2006/relationships/hyperlink" Target="mailto:aaqib.subhani1031@gmail.com" TargetMode="External"/><Relationship Id="rId119" Type="http://schemas.openxmlformats.org/officeDocument/2006/relationships/hyperlink" Target="mailto:rksvm.win@gmail.com" TargetMode="External"/><Relationship Id="rId326" Type="http://schemas.openxmlformats.org/officeDocument/2006/relationships/hyperlink" Target="mailto:nagaprathappasam@gmail.com" TargetMode="External"/><Relationship Id="rId533" Type="http://schemas.openxmlformats.org/officeDocument/2006/relationships/hyperlink" Target="mailto:Abilashabi812@gmail.com" TargetMode="External"/><Relationship Id="rId172" Type="http://schemas.openxmlformats.org/officeDocument/2006/relationships/hyperlink" Target="https://resdex.naukri.com/v3/preview?tabKey=profile&amp;sid=8277247792&amp;paramString=8b485a994a0b1f7d419bf11cc53a6d4b13106&amp;hfFlowName=search&amp;commentSearchType=comment-my,comment-others&amp;totalResumes=1175&amp;hiringForFlowId=057cee527d560d2317f5b0718726505c&amp;pFlow=SEARCH_ID&amp;pFlowId=057cee527d560d2317f5b0718726505c&amp;tupleIndex=0&amp;storageKey=8277247792-1&amp;parentHighLightingKey=8277247792-1&amp;activeIn=7&amp;parentSid=8277247792&amp;sidGroupId=057cee527d560d2317f5b0718726505c&amp;uresid=6d4ec36198885a7a1e6a927c6affc9295a5d0b534b1a0b140702405f5b00594e170b17070243595e0952491a0b116&amp;elasticType=es7&amp;uniqId=5082caaee8a13714e8c68fd1a65ed70f51580e024a1400420617455a595c51421b09420313170b545f521c110b16011852595a0f5842170d1305155209094f6" TargetMode="External"/><Relationship Id="rId477" Type="http://schemas.openxmlformats.org/officeDocument/2006/relationships/hyperlink" Target="https://resdex.naukri.com/v3/preview?tabKey=profile&amp;sid=8429617011&amp;paramString=8b485a994a0b1f7d419bf11cc53a6d4b13106&amp;hfFlowName=search&amp;commentSearchType=comment-my,comment-others&amp;totalResumes=8&amp;hiringForFlowId=1827e49aba3fa90308a54aa7796f14c1&amp;pFlow=SEARCH_ID&amp;pFlowId=1827e49aba3fa90308a54aa7796f14c1&amp;tupleIndex=5&amp;storageKey=8429617011-1&amp;parentHighLightingKey=8429617011-1&amp;activeIn=7&amp;parentSid=8429617011&amp;sidGroupId=1827e49aba3fa90308a54aa7796f14c1&amp;uresid=4e0b6a2688609c82bf3ea358aa4831265f5900584e150a171010465f5900554f130d18101940515408524a176&amp;elasticType=es7&amp;uniqId=2f17ada9f5d2368965861e2dfcb92e045d5b0f5948470e16074510515e0853191b0f020216465c540d544a1700025245076" TargetMode="External"/><Relationship Id="rId337" Type="http://schemas.openxmlformats.org/officeDocument/2006/relationships/hyperlink" Target="https://resdex.naukri.com/v3/preview?tabKey=profile&amp;sid=8340049342&amp;paramString=8b485a994a0b1f7d419bf11cc53a6d4b13106&amp;hfFlowName=search&amp;commentSearchType=comment-my,comment-others&amp;totalResumes=27&amp;hiringForFlowId=28e08f90eaa56e961687d8816514fcb6&amp;pFlow=SEARCH_ID&amp;pFlowId=28e08f90eaa56e961687d8816514fcb6&amp;tupleIndex=1&amp;storageKey=8340049342-1&amp;parentHighLightingKey=8340049342-1&amp;activeIn=7&amp;parentSid=8340049342&amp;sidGroupId=28e08f90eaa56e961687d8816514fcb6&amp;uresid=3259d3d30d43a1d3e129ea3e374c45205a5a0b564e140a190302405f5a08584b140e12030243505e0e584d1408156&amp;elasticType=es7&amp;uniqId=7ccf6d2f0c9580330489f8286eab92e0590f00034f1209450311445e595d04421a0a120513430d5f0c001f110e47004252595a0e5043120e1600115209094f6" TargetMode="External"/><Relationship Id="rId34" Type="http://schemas.openxmlformats.org/officeDocument/2006/relationships/hyperlink" Target="mailto:vimalsatna87@gmail.com" TargetMode="External"/><Relationship Id="rId544" Type="http://schemas.openxmlformats.org/officeDocument/2006/relationships/hyperlink" Target="mailto:ragul7248@gmail.com" TargetMode="External"/><Relationship Id="rId183" Type="http://schemas.openxmlformats.org/officeDocument/2006/relationships/hyperlink" Target="mailto:reddyavinash679@gmail.com" TargetMode="External"/><Relationship Id="rId390" Type="http://schemas.openxmlformats.org/officeDocument/2006/relationships/hyperlink" Target="https://resdex.naukri.com/v3/preview?tabKey=profile&amp;sid=8371017834&amp;paramString=8b485a994a0b1f7d419bf11cc53a6d4b13106&amp;hfFlowName=search&amp;commentSearchType=comment-my,comment-others&amp;totalResumes=3674&amp;hiringForFlowId=bd41fcb3c0ffcccbbdf915a7d328cdd6&amp;pFlow=SEARCH_ID&amp;pFlowId=bd41fcb3c0ffcccbbdf915a7d328cdd6&amp;tupleIndex=3&amp;storageKey=8371017834-1&amp;parentHighLightingKey=8371017834-1&amp;activeIn=7&amp;parentSid=8371017834&amp;sidGroupId=bd41fcb3c0ffcccbbdf915a7d328cdd6&amp;uresid=53a3014352e934d86ae488154e9b912659550c56481a0f180a02405f5a0a514e13091607024051550d50421008106&amp;elasticType=es7&amp;uniqId=3b302a85744faa313b1fd83ff23fba755e5f5a521e465a155042470a595a571e410910521014090c0e054f100a10564452595a0e524a17091104155209094f6" TargetMode="External"/><Relationship Id="rId404" Type="http://schemas.openxmlformats.org/officeDocument/2006/relationships/hyperlink" Target="https://resdex.naukri.com/v3/preview?tabKey=profile&amp;sid=8366027228&amp;paramString=8b485a994a0b1f7d419bf11cc53a6d4b13106&amp;hfFlowName=search&amp;commentSearchType=comment-my,comment-others&amp;totalResumes=300&amp;hiringForFlowId=00a93f9a8070f807c6648a5c9edf5cbc&amp;pFlow=SEARCH_ID&amp;pFlowId=00a93f9a8070f807c6648a5c9edf5cbc&amp;tupleIndex=12&amp;storageKey=8366027228-1&amp;parentHighLightingKey=8366027228-1&amp;activeIn=7&amp;parentSid=8366027228&amp;sidGroupId=00a93f9a8070f807c6648a5c9edf5cbc&amp;uresid=75efcb5aeffae4ab67cfaef8b40d40465a5f0d5242130b180b02405f5a0b56421009190602435b5a0f554f150e136&amp;elasticType=es7&amp;uniqId=5c027862cb4df48a247b6b09d93d9f155a5a0d574c1b5d1207124551595c05491a5f125715435a590a00191a0b43024352595a0e534d1b0a110b145209094f6" TargetMode="External"/><Relationship Id="rId250" Type="http://schemas.openxmlformats.org/officeDocument/2006/relationships/hyperlink" Target="mailto:aneeshbabucb04@gmail.com" TargetMode="External"/><Relationship Id="rId488" Type="http://schemas.openxmlformats.org/officeDocument/2006/relationships/hyperlink" Target="mailto:sundarvdvl@gmail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4"/>
  <sheetViews>
    <sheetView workbookViewId="0">
      <pane ySplit="1" topLeftCell="A60" activePane="bottomLeft" state="frozen"/>
      <selection pane="bottomLeft" activeCell="J4" sqref="J4"/>
    </sheetView>
  </sheetViews>
  <sheetFormatPr defaultColWidth="8.85546875" defaultRowHeight="14.45"/>
  <cols>
    <col min="1" max="1" width="14.42578125" customWidth="1"/>
    <col min="2" max="2" width="14.28515625" bestFit="1" customWidth="1"/>
    <col min="3" max="3" width="8.85546875" bestFit="1" customWidth="1"/>
    <col min="4" max="4" width="17.85546875" style="2" bestFit="1" customWidth="1"/>
    <col min="5" max="5" width="15.42578125" style="2" bestFit="1" customWidth="1"/>
    <col min="6" max="6" width="14.28515625" style="2" bestFit="1" customWidth="1"/>
    <col min="7" max="7" width="21.42578125" style="2" bestFit="1" customWidth="1"/>
    <col min="8" max="8" width="10.28515625" style="2" bestFit="1" customWidth="1"/>
    <col min="9" max="9" width="31.28515625" bestFit="1" customWidth="1"/>
    <col min="10" max="10" width="10" style="2" bestFit="1" customWidth="1"/>
    <col min="11" max="11" width="22.140625" style="2" bestFit="1" customWidth="1"/>
    <col min="12" max="12" width="24.42578125" style="2" bestFit="1" customWidth="1"/>
    <col min="13" max="13" width="11.140625" bestFit="1" customWidth="1"/>
    <col min="14" max="14" width="22.85546875" bestFit="1" customWidth="1"/>
    <col min="15" max="15" width="14.42578125" bestFit="1" customWidth="1"/>
    <col min="16" max="16" width="20.7109375" bestFit="1" customWidth="1"/>
    <col min="17" max="17" width="15.140625" bestFit="1" customWidth="1"/>
    <col min="18" max="18" width="16.85546875" bestFit="1" customWidth="1"/>
    <col min="19" max="19" width="18.7109375" bestFit="1" customWidth="1"/>
    <col min="20" max="20" width="14.7109375" bestFit="1" customWidth="1"/>
    <col min="21" max="21" width="18.85546875" bestFit="1" customWidth="1"/>
    <col min="22" max="22" width="18.28515625" bestFit="1" customWidth="1"/>
    <col min="23" max="23" width="22.85546875" bestFit="1" customWidth="1"/>
  </cols>
  <sheetData>
    <row r="1" spans="1:23">
      <c r="A1" s="85" t="s">
        <v>0</v>
      </c>
      <c r="B1" s="85" t="s">
        <v>1</v>
      </c>
      <c r="C1" s="85" t="s">
        <v>2</v>
      </c>
      <c r="D1" s="86" t="s">
        <v>3</v>
      </c>
      <c r="E1" s="86" t="s">
        <v>4</v>
      </c>
      <c r="F1" s="86" t="s">
        <v>5</v>
      </c>
      <c r="G1" s="86" t="s">
        <v>6</v>
      </c>
      <c r="H1" s="86" t="s">
        <v>7</v>
      </c>
      <c r="I1" s="85" t="s">
        <v>8</v>
      </c>
      <c r="J1" s="86" t="s">
        <v>9</v>
      </c>
      <c r="K1" s="86" t="s">
        <v>10</v>
      </c>
      <c r="L1" s="86" t="s">
        <v>11</v>
      </c>
      <c r="M1" s="85" t="s">
        <v>12</v>
      </c>
      <c r="N1" s="85" t="s">
        <v>13</v>
      </c>
      <c r="O1" s="85" t="s">
        <v>14</v>
      </c>
      <c r="P1" s="85" t="s">
        <v>15</v>
      </c>
      <c r="Q1" s="85" t="s">
        <v>16</v>
      </c>
      <c r="R1" s="85" t="s">
        <v>17</v>
      </c>
      <c r="S1" s="85" t="s">
        <v>18</v>
      </c>
      <c r="T1" s="85" t="s">
        <v>19</v>
      </c>
      <c r="U1" s="85" t="s">
        <v>20</v>
      </c>
      <c r="V1" s="85" t="s">
        <v>21</v>
      </c>
      <c r="W1" s="54" t="s">
        <v>22</v>
      </c>
    </row>
    <row r="2" spans="1:23">
      <c r="A2" s="54">
        <f t="shared" ref="A2:A27" ca="1" si="0">IF(OR(L2="Closed",L2="Offered"),Q2-D2,TODAY()-D2)</f>
        <v>163</v>
      </c>
      <c r="B2" s="54" t="s">
        <v>23</v>
      </c>
      <c r="C2" s="54" t="s">
        <v>24</v>
      </c>
      <c r="D2" s="55">
        <v>45976</v>
      </c>
      <c r="E2" s="3" t="s">
        <v>25</v>
      </c>
      <c r="F2" s="3"/>
      <c r="G2" s="3" t="s">
        <v>26</v>
      </c>
      <c r="H2" s="3" t="s">
        <v>27</v>
      </c>
      <c r="I2" s="54" t="s">
        <v>28</v>
      </c>
      <c r="J2" s="3" t="s">
        <v>29</v>
      </c>
      <c r="K2" s="3">
        <v>2</v>
      </c>
      <c r="L2" s="3" t="s">
        <v>30</v>
      </c>
      <c r="M2" s="54"/>
      <c r="N2" s="54"/>
      <c r="O2" s="56"/>
      <c r="P2" s="54"/>
      <c r="Q2" s="54"/>
      <c r="R2" s="54"/>
      <c r="S2" s="54"/>
      <c r="T2" s="54"/>
      <c r="U2" s="54"/>
      <c r="V2" s="54"/>
      <c r="W2" s="54"/>
    </row>
    <row r="3" spans="1:23">
      <c r="A3" s="54">
        <f t="shared" ca="1" si="0"/>
        <v>163</v>
      </c>
      <c r="B3" s="54" t="s">
        <v>23</v>
      </c>
      <c r="C3" s="54" t="s">
        <v>31</v>
      </c>
      <c r="D3" s="55">
        <v>45976</v>
      </c>
      <c r="E3" s="3" t="s">
        <v>25</v>
      </c>
      <c r="F3" s="3"/>
      <c r="G3" s="3" t="s">
        <v>26</v>
      </c>
      <c r="H3" s="3" t="s">
        <v>27</v>
      </c>
      <c r="I3" s="54" t="s">
        <v>32</v>
      </c>
      <c r="J3" s="3" t="s">
        <v>29</v>
      </c>
      <c r="K3" s="3">
        <v>4</v>
      </c>
      <c r="L3" s="3" t="s">
        <v>30</v>
      </c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</row>
    <row r="4" spans="1:23">
      <c r="A4" s="54">
        <f t="shared" ca="1" si="0"/>
        <v>163</v>
      </c>
      <c r="B4" s="54" t="s">
        <v>23</v>
      </c>
      <c r="C4" s="54" t="s">
        <v>33</v>
      </c>
      <c r="D4" s="55">
        <v>45976</v>
      </c>
      <c r="E4" s="3" t="s">
        <v>25</v>
      </c>
      <c r="F4" s="3"/>
      <c r="G4" s="3" t="s">
        <v>26</v>
      </c>
      <c r="H4" s="3" t="s">
        <v>27</v>
      </c>
      <c r="I4" s="54" t="s">
        <v>34</v>
      </c>
      <c r="J4" s="3" t="s">
        <v>29</v>
      </c>
      <c r="K4" s="3">
        <v>1</v>
      </c>
      <c r="L4" s="3" t="s">
        <v>30</v>
      </c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</row>
    <row r="5" spans="1:23">
      <c r="A5" s="54">
        <f t="shared" ca="1" si="0"/>
        <v>163</v>
      </c>
      <c r="B5" s="54" t="s">
        <v>23</v>
      </c>
      <c r="C5" s="54" t="s">
        <v>35</v>
      </c>
      <c r="D5" s="55">
        <v>45976</v>
      </c>
      <c r="E5" s="3" t="s">
        <v>25</v>
      </c>
      <c r="F5" s="3"/>
      <c r="G5" s="3" t="s">
        <v>26</v>
      </c>
      <c r="H5" s="3" t="s">
        <v>27</v>
      </c>
      <c r="I5" s="54" t="s">
        <v>36</v>
      </c>
      <c r="J5" s="3" t="s">
        <v>29</v>
      </c>
      <c r="K5" s="3">
        <v>1</v>
      </c>
      <c r="L5" s="3" t="s">
        <v>30</v>
      </c>
      <c r="M5" s="54"/>
      <c r="N5" s="54"/>
      <c r="O5" s="54"/>
      <c r="P5" s="54"/>
      <c r="Q5" s="54"/>
      <c r="R5" s="54"/>
      <c r="S5" s="54"/>
      <c r="T5" s="54"/>
      <c r="U5" s="54"/>
      <c r="V5" s="57"/>
      <c r="W5" s="54"/>
    </row>
    <row r="6" spans="1:23">
      <c r="A6" s="54">
        <f t="shared" ca="1" si="0"/>
        <v>187</v>
      </c>
      <c r="B6" s="54" t="s">
        <v>23</v>
      </c>
      <c r="C6" s="54" t="s">
        <v>37</v>
      </c>
      <c r="D6" s="55">
        <v>45952</v>
      </c>
      <c r="E6" s="3" t="s">
        <v>25</v>
      </c>
      <c r="F6" s="3"/>
      <c r="G6" s="3" t="s">
        <v>38</v>
      </c>
      <c r="H6" s="3" t="s">
        <v>27</v>
      </c>
      <c r="I6" s="54" t="s">
        <v>39</v>
      </c>
      <c r="J6" s="3" t="s">
        <v>29</v>
      </c>
      <c r="K6" s="3">
        <v>2</v>
      </c>
      <c r="L6" s="3" t="s">
        <v>30</v>
      </c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</row>
    <row r="7" spans="1:23">
      <c r="A7" s="54">
        <f t="shared" ca="1" si="0"/>
        <v>187</v>
      </c>
      <c r="B7" s="54" t="s">
        <v>23</v>
      </c>
      <c r="C7" s="54" t="s">
        <v>40</v>
      </c>
      <c r="D7" s="55">
        <v>45952</v>
      </c>
      <c r="E7" s="3" t="s">
        <v>25</v>
      </c>
      <c r="F7" s="3"/>
      <c r="G7" s="3" t="s">
        <v>38</v>
      </c>
      <c r="H7" s="3" t="s">
        <v>27</v>
      </c>
      <c r="I7" s="54" t="s">
        <v>41</v>
      </c>
      <c r="J7" s="3" t="s">
        <v>29</v>
      </c>
      <c r="K7" s="3">
        <v>1</v>
      </c>
      <c r="L7" s="3" t="s">
        <v>30</v>
      </c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</row>
    <row r="8" spans="1:23">
      <c r="A8" s="54">
        <f t="shared" ca="1" si="0"/>
        <v>187</v>
      </c>
      <c r="B8" s="54" t="s">
        <v>23</v>
      </c>
      <c r="C8" s="54" t="s">
        <v>42</v>
      </c>
      <c r="D8" s="55">
        <v>45952</v>
      </c>
      <c r="E8" s="3" t="s">
        <v>25</v>
      </c>
      <c r="F8" s="3"/>
      <c r="G8" s="3" t="s">
        <v>38</v>
      </c>
      <c r="H8" s="3" t="s">
        <v>27</v>
      </c>
      <c r="I8" s="54" t="s">
        <v>43</v>
      </c>
      <c r="J8" s="3" t="s">
        <v>29</v>
      </c>
      <c r="K8" s="3">
        <v>1</v>
      </c>
      <c r="L8" s="3" t="s">
        <v>30</v>
      </c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</row>
    <row r="9" spans="1:23">
      <c r="A9" s="54">
        <f t="shared" ca="1" si="0"/>
        <v>187</v>
      </c>
      <c r="B9" s="54" t="s">
        <v>23</v>
      </c>
      <c r="C9" s="54" t="s">
        <v>44</v>
      </c>
      <c r="D9" s="55">
        <v>45952</v>
      </c>
      <c r="E9" s="3" t="s">
        <v>25</v>
      </c>
      <c r="F9" s="3"/>
      <c r="G9" s="3" t="s">
        <v>45</v>
      </c>
      <c r="H9" s="3" t="s">
        <v>27</v>
      </c>
      <c r="I9" s="54" t="s">
        <v>46</v>
      </c>
      <c r="J9" s="3" t="s">
        <v>29</v>
      </c>
      <c r="K9" s="3">
        <v>1</v>
      </c>
      <c r="L9" s="3" t="s">
        <v>30</v>
      </c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</row>
    <row r="10" spans="1:23">
      <c r="A10" s="54">
        <f t="shared" ca="1" si="0"/>
        <v>187</v>
      </c>
      <c r="B10" s="54" t="s">
        <v>23</v>
      </c>
      <c r="C10" s="54" t="s">
        <v>47</v>
      </c>
      <c r="D10" s="55">
        <v>45952</v>
      </c>
      <c r="E10" s="3" t="s">
        <v>25</v>
      </c>
      <c r="F10" s="3"/>
      <c r="G10" s="3" t="s">
        <v>45</v>
      </c>
      <c r="H10" s="3" t="s">
        <v>27</v>
      </c>
      <c r="I10" s="54" t="s">
        <v>48</v>
      </c>
      <c r="J10" s="3" t="s">
        <v>29</v>
      </c>
      <c r="K10" s="3">
        <v>1</v>
      </c>
      <c r="L10" s="3" t="s">
        <v>30</v>
      </c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</row>
    <row r="11" spans="1:23">
      <c r="A11" s="54">
        <f t="shared" ca="1" si="0"/>
        <v>187</v>
      </c>
      <c r="B11" s="54" t="s">
        <v>23</v>
      </c>
      <c r="C11" s="54" t="s">
        <v>49</v>
      </c>
      <c r="D11" s="55">
        <v>45952</v>
      </c>
      <c r="E11" s="3" t="s">
        <v>25</v>
      </c>
      <c r="F11" s="3"/>
      <c r="G11" s="3" t="s">
        <v>45</v>
      </c>
      <c r="H11" s="3" t="s">
        <v>27</v>
      </c>
      <c r="I11" s="54" t="s">
        <v>50</v>
      </c>
      <c r="J11" s="3" t="s">
        <v>29</v>
      </c>
      <c r="K11" s="3">
        <v>1</v>
      </c>
      <c r="L11" s="3" t="s">
        <v>30</v>
      </c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</row>
    <row r="12" spans="1:23">
      <c r="A12" s="54">
        <f t="shared" ca="1" si="0"/>
        <v>187</v>
      </c>
      <c r="B12" s="54" t="s">
        <v>23</v>
      </c>
      <c r="C12" s="54" t="s">
        <v>51</v>
      </c>
      <c r="D12" s="55">
        <v>45952</v>
      </c>
      <c r="E12" s="3" t="s">
        <v>25</v>
      </c>
      <c r="F12" s="3"/>
      <c r="G12" s="3" t="s">
        <v>45</v>
      </c>
      <c r="H12" s="3" t="s">
        <v>27</v>
      </c>
      <c r="I12" s="54" t="s">
        <v>52</v>
      </c>
      <c r="J12" s="3" t="s">
        <v>53</v>
      </c>
      <c r="K12" s="3">
        <v>18</v>
      </c>
      <c r="L12" s="3" t="s">
        <v>54</v>
      </c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</row>
    <row r="13" spans="1:23">
      <c r="A13" s="54">
        <f t="shared" ca="1" si="0"/>
        <v>117</v>
      </c>
      <c r="B13" s="54" t="s">
        <v>23</v>
      </c>
      <c r="C13" s="54" t="s">
        <v>55</v>
      </c>
      <c r="D13" s="55">
        <v>46022</v>
      </c>
      <c r="E13" s="3" t="s">
        <v>25</v>
      </c>
      <c r="F13" s="3"/>
      <c r="G13" s="3" t="s">
        <v>56</v>
      </c>
      <c r="H13" s="3" t="s">
        <v>57</v>
      </c>
      <c r="I13" s="54" t="s">
        <v>58</v>
      </c>
      <c r="J13" s="3" t="s">
        <v>29</v>
      </c>
      <c r="K13" s="3">
        <v>3</v>
      </c>
      <c r="L13" s="3" t="s">
        <v>30</v>
      </c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</row>
    <row r="14" spans="1:23">
      <c r="A14" s="54">
        <f t="shared" ca="1" si="0"/>
        <v>117</v>
      </c>
      <c r="B14" s="54" t="s">
        <v>23</v>
      </c>
      <c r="C14" s="54" t="s">
        <v>59</v>
      </c>
      <c r="D14" s="55">
        <v>46022</v>
      </c>
      <c r="E14" s="3" t="s">
        <v>25</v>
      </c>
      <c r="F14" s="3"/>
      <c r="G14" s="3" t="s">
        <v>56</v>
      </c>
      <c r="H14" s="3" t="s">
        <v>57</v>
      </c>
      <c r="I14" s="54" t="s">
        <v>60</v>
      </c>
      <c r="J14" s="3" t="s">
        <v>29</v>
      </c>
      <c r="K14" s="3">
        <v>2</v>
      </c>
      <c r="L14" s="3" t="s">
        <v>30</v>
      </c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</row>
    <row r="15" spans="1:23">
      <c r="A15" s="54">
        <f t="shared" ca="1" si="0"/>
        <v>206</v>
      </c>
      <c r="B15" s="54" t="s">
        <v>23</v>
      </c>
      <c r="C15" s="54" t="s">
        <v>61</v>
      </c>
      <c r="D15" s="55">
        <v>45933</v>
      </c>
      <c r="E15" s="3" t="s">
        <v>25</v>
      </c>
      <c r="F15" s="3"/>
      <c r="G15" s="3" t="s">
        <v>62</v>
      </c>
      <c r="H15" s="3" t="s">
        <v>57</v>
      </c>
      <c r="I15" s="54" t="s">
        <v>63</v>
      </c>
      <c r="J15" s="3" t="s">
        <v>29</v>
      </c>
      <c r="K15" s="3">
        <v>3</v>
      </c>
      <c r="L15" s="3" t="s">
        <v>30</v>
      </c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</row>
    <row r="16" spans="1:23">
      <c r="A16" s="54">
        <f t="shared" ca="1" si="0"/>
        <v>206</v>
      </c>
      <c r="B16" s="54" t="s">
        <v>23</v>
      </c>
      <c r="C16" s="54" t="s">
        <v>64</v>
      </c>
      <c r="D16" s="55">
        <v>45933</v>
      </c>
      <c r="E16" s="3" t="s">
        <v>25</v>
      </c>
      <c r="F16" s="3"/>
      <c r="G16" s="3" t="s">
        <v>62</v>
      </c>
      <c r="H16" s="3" t="s">
        <v>57</v>
      </c>
      <c r="I16" s="54" t="s">
        <v>65</v>
      </c>
      <c r="J16" s="3" t="s">
        <v>29</v>
      </c>
      <c r="K16" s="3">
        <v>1</v>
      </c>
      <c r="L16" s="3" t="s">
        <v>30</v>
      </c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</row>
    <row r="17" spans="1:23">
      <c r="A17" s="54">
        <f t="shared" ca="1" si="0"/>
        <v>206</v>
      </c>
      <c r="B17" s="54" t="s">
        <v>23</v>
      </c>
      <c r="C17" s="54" t="s">
        <v>66</v>
      </c>
      <c r="D17" s="55">
        <v>45933</v>
      </c>
      <c r="E17" s="3" t="s">
        <v>25</v>
      </c>
      <c r="F17" s="3"/>
      <c r="G17" s="3" t="s">
        <v>62</v>
      </c>
      <c r="H17" s="3" t="s">
        <v>57</v>
      </c>
      <c r="I17" s="54" t="s">
        <v>67</v>
      </c>
      <c r="J17" s="3" t="s">
        <v>29</v>
      </c>
      <c r="K17" s="3">
        <v>1</v>
      </c>
      <c r="L17" s="3" t="s">
        <v>30</v>
      </c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</row>
    <row r="18" spans="1:23">
      <c r="A18" s="54">
        <f t="shared" ca="1" si="0"/>
        <v>206</v>
      </c>
      <c r="B18" s="54" t="s">
        <v>23</v>
      </c>
      <c r="C18" s="54" t="s">
        <v>68</v>
      </c>
      <c r="D18" s="55">
        <v>45933</v>
      </c>
      <c r="E18" s="3" t="s">
        <v>25</v>
      </c>
      <c r="F18" s="3"/>
      <c r="G18" s="3" t="s">
        <v>62</v>
      </c>
      <c r="H18" s="3" t="s">
        <v>57</v>
      </c>
      <c r="I18" s="54" t="s">
        <v>69</v>
      </c>
      <c r="J18" s="3" t="s">
        <v>29</v>
      </c>
      <c r="K18" s="3">
        <v>1</v>
      </c>
      <c r="L18" s="3" t="s">
        <v>30</v>
      </c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</row>
    <row r="19" spans="1:23">
      <c r="A19" s="54">
        <f t="shared" ca="1" si="0"/>
        <v>206</v>
      </c>
      <c r="B19" s="54" t="s">
        <v>23</v>
      </c>
      <c r="C19" s="54" t="s">
        <v>70</v>
      </c>
      <c r="D19" s="55">
        <v>45933</v>
      </c>
      <c r="E19" s="3" t="s">
        <v>25</v>
      </c>
      <c r="F19" s="3"/>
      <c r="G19" s="3" t="s">
        <v>62</v>
      </c>
      <c r="H19" s="3" t="s">
        <v>57</v>
      </c>
      <c r="I19" s="54" t="s">
        <v>71</v>
      </c>
      <c r="J19" s="3" t="s">
        <v>29</v>
      </c>
      <c r="K19" s="3">
        <v>1</v>
      </c>
      <c r="L19" s="3" t="s">
        <v>30</v>
      </c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</row>
    <row r="20" spans="1:23">
      <c r="A20" s="54">
        <f t="shared" ca="1" si="0"/>
        <v>216</v>
      </c>
      <c r="B20" s="54" t="s">
        <v>23</v>
      </c>
      <c r="C20" s="54" t="s">
        <v>72</v>
      </c>
      <c r="D20" s="55">
        <v>45923</v>
      </c>
      <c r="E20" s="3" t="s">
        <v>25</v>
      </c>
      <c r="F20" s="3"/>
      <c r="G20" s="3" t="s">
        <v>73</v>
      </c>
      <c r="H20" s="3" t="s">
        <v>27</v>
      </c>
      <c r="I20" s="54" t="s">
        <v>74</v>
      </c>
      <c r="J20" s="3" t="s">
        <v>29</v>
      </c>
      <c r="K20" s="3">
        <v>1</v>
      </c>
      <c r="L20" s="3" t="s">
        <v>30</v>
      </c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</row>
    <row r="21" spans="1:23">
      <c r="A21" s="54">
        <f t="shared" ca="1" si="0"/>
        <v>216</v>
      </c>
      <c r="B21" s="54" t="s">
        <v>23</v>
      </c>
      <c r="C21" s="54" t="s">
        <v>75</v>
      </c>
      <c r="D21" s="55">
        <v>45923</v>
      </c>
      <c r="E21" s="3" t="s">
        <v>25</v>
      </c>
      <c r="F21" s="3"/>
      <c r="G21" s="3" t="s">
        <v>73</v>
      </c>
      <c r="H21" s="3" t="s">
        <v>57</v>
      </c>
      <c r="I21" s="54" t="s">
        <v>76</v>
      </c>
      <c r="J21" s="3" t="s">
        <v>29</v>
      </c>
      <c r="K21" s="3">
        <v>1</v>
      </c>
      <c r="L21" s="3" t="s">
        <v>30</v>
      </c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</row>
    <row r="22" spans="1:23">
      <c r="A22" s="54">
        <f t="shared" ca="1" si="0"/>
        <v>216</v>
      </c>
      <c r="B22" s="54" t="s">
        <v>23</v>
      </c>
      <c r="C22" s="54" t="s">
        <v>77</v>
      </c>
      <c r="D22" s="55">
        <v>45923</v>
      </c>
      <c r="E22" s="3" t="s">
        <v>25</v>
      </c>
      <c r="F22" s="3"/>
      <c r="G22" s="3" t="s">
        <v>73</v>
      </c>
      <c r="H22" s="3" t="s">
        <v>57</v>
      </c>
      <c r="I22" s="54" t="s">
        <v>78</v>
      </c>
      <c r="J22" s="3" t="s">
        <v>29</v>
      </c>
      <c r="K22" s="3">
        <v>1</v>
      </c>
      <c r="L22" s="3" t="s">
        <v>30</v>
      </c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</row>
    <row r="23" spans="1:23">
      <c r="A23" s="54">
        <f t="shared" ca="1" si="0"/>
        <v>216</v>
      </c>
      <c r="B23" s="54" t="s">
        <v>23</v>
      </c>
      <c r="C23" s="54" t="s">
        <v>79</v>
      </c>
      <c r="D23" s="55">
        <v>45923</v>
      </c>
      <c r="E23" s="3" t="s">
        <v>25</v>
      </c>
      <c r="F23" s="3"/>
      <c r="G23" s="3" t="s">
        <v>80</v>
      </c>
      <c r="H23" s="3" t="s">
        <v>57</v>
      </c>
      <c r="I23" s="54" t="s">
        <v>81</v>
      </c>
      <c r="J23" s="3" t="s">
        <v>53</v>
      </c>
      <c r="K23" s="3">
        <v>10</v>
      </c>
      <c r="L23" s="3" t="s">
        <v>54</v>
      </c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</row>
    <row r="24" spans="1:23">
      <c r="A24" s="54">
        <f t="shared" ca="1" si="0"/>
        <v>216</v>
      </c>
      <c r="B24" s="54" t="s">
        <v>23</v>
      </c>
      <c r="C24" s="54" t="s">
        <v>82</v>
      </c>
      <c r="D24" s="55">
        <v>45923</v>
      </c>
      <c r="E24" s="3" t="s">
        <v>25</v>
      </c>
      <c r="F24" s="3"/>
      <c r="G24" s="3" t="s">
        <v>80</v>
      </c>
      <c r="H24" s="3" t="s">
        <v>57</v>
      </c>
      <c r="I24" s="54" t="s">
        <v>78</v>
      </c>
      <c r="J24" s="3" t="s">
        <v>29</v>
      </c>
      <c r="K24" s="3">
        <v>1</v>
      </c>
      <c r="L24" s="3" t="s">
        <v>30</v>
      </c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</row>
    <row r="25" spans="1:23">
      <c r="A25" s="54">
        <f t="shared" ca="1" si="0"/>
        <v>123</v>
      </c>
      <c r="B25" s="54" t="s">
        <v>23</v>
      </c>
      <c r="C25" s="54" t="s">
        <v>83</v>
      </c>
      <c r="D25" s="55">
        <v>46016</v>
      </c>
      <c r="E25" s="3" t="s">
        <v>25</v>
      </c>
      <c r="F25" s="3"/>
      <c r="G25" s="3" t="s">
        <v>84</v>
      </c>
      <c r="H25" s="3" t="s">
        <v>57</v>
      </c>
      <c r="I25" s="54" t="s">
        <v>85</v>
      </c>
      <c r="J25" s="3" t="s">
        <v>86</v>
      </c>
      <c r="K25" s="3">
        <v>1</v>
      </c>
      <c r="L25" s="3" t="s">
        <v>30</v>
      </c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</row>
    <row r="26" spans="1:23">
      <c r="A26" s="54">
        <f t="shared" ca="1" si="0"/>
        <v>123</v>
      </c>
      <c r="B26" s="54" t="s">
        <v>23</v>
      </c>
      <c r="C26" s="54" t="s">
        <v>87</v>
      </c>
      <c r="D26" s="55">
        <v>46016</v>
      </c>
      <c r="E26" s="3" t="s">
        <v>25</v>
      </c>
      <c r="F26" s="3"/>
      <c r="G26" s="3" t="s">
        <v>84</v>
      </c>
      <c r="H26" s="3" t="s">
        <v>57</v>
      </c>
      <c r="I26" s="54" t="s">
        <v>88</v>
      </c>
      <c r="J26" s="3" t="s">
        <v>86</v>
      </c>
      <c r="K26" s="3">
        <v>1</v>
      </c>
      <c r="L26" s="3" t="s">
        <v>30</v>
      </c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</row>
    <row r="27" spans="1:23">
      <c r="A27" s="54">
        <f t="shared" ca="1" si="0"/>
        <v>123</v>
      </c>
      <c r="B27" s="54" t="s">
        <v>89</v>
      </c>
      <c r="C27" s="54" t="s">
        <v>90</v>
      </c>
      <c r="D27" s="55">
        <v>46016</v>
      </c>
      <c r="E27" s="3" t="s">
        <v>25</v>
      </c>
      <c r="F27" s="3"/>
      <c r="G27" s="3" t="s">
        <v>80</v>
      </c>
      <c r="H27" s="3" t="s">
        <v>27</v>
      </c>
      <c r="I27" s="54" t="s">
        <v>91</v>
      </c>
      <c r="J27" s="3" t="s">
        <v>86</v>
      </c>
      <c r="K27" s="3">
        <v>2</v>
      </c>
      <c r="L27" s="3" t="s">
        <v>30</v>
      </c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</row>
    <row r="28" spans="1:23">
      <c r="A28" s="54">
        <f ca="1">IF(OR(L28="Closed",L28="Offered"),Q28-D28,TODAY()-D28)</f>
        <v>123</v>
      </c>
      <c r="B28" s="54" t="s">
        <v>23</v>
      </c>
      <c r="C28" s="54" t="s">
        <v>92</v>
      </c>
      <c r="D28" s="55">
        <v>46016</v>
      </c>
      <c r="E28" s="3" t="s">
        <v>25</v>
      </c>
      <c r="F28" s="3"/>
      <c r="G28" s="3" t="s">
        <v>45</v>
      </c>
      <c r="H28" s="3" t="s">
        <v>27</v>
      </c>
      <c r="I28" s="54" t="s">
        <v>32</v>
      </c>
      <c r="J28" s="3" t="s">
        <v>29</v>
      </c>
      <c r="K28" s="3">
        <v>1</v>
      </c>
      <c r="L28" s="3" t="s">
        <v>30</v>
      </c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</row>
    <row r="29" spans="1:23">
      <c r="A29" s="54">
        <f ca="1">IF(OR(L29="Closed",L29="Offered"),Q29-D29,TODAY()-D29)</f>
        <v>98</v>
      </c>
      <c r="B29" s="54" t="s">
        <v>23</v>
      </c>
      <c r="C29" s="54" t="s">
        <v>93</v>
      </c>
      <c r="D29" s="55">
        <v>46041</v>
      </c>
      <c r="E29" s="3" t="s">
        <v>25</v>
      </c>
      <c r="F29" s="3"/>
      <c r="G29" s="3" t="s">
        <v>26</v>
      </c>
      <c r="H29" s="3" t="s">
        <v>27</v>
      </c>
      <c r="I29" s="54" t="s">
        <v>94</v>
      </c>
      <c r="J29" s="3" t="s">
        <v>29</v>
      </c>
      <c r="K29" s="3">
        <v>2</v>
      </c>
      <c r="L29" s="3" t="s">
        <v>30</v>
      </c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</row>
    <row r="30" spans="1:23">
      <c r="A30" s="54">
        <f t="shared" ref="A30:A32" ca="1" si="1">IF(OR(L30="Closed",L30="Offered"),Q30-D30,TODAY()-D30)</f>
        <v>98</v>
      </c>
      <c r="B30" s="54" t="s">
        <v>23</v>
      </c>
      <c r="C30" s="54" t="s">
        <v>95</v>
      </c>
      <c r="D30" s="55">
        <v>46041</v>
      </c>
      <c r="E30" s="3" t="s">
        <v>25</v>
      </c>
      <c r="F30" s="3"/>
      <c r="G30" s="3" t="s">
        <v>96</v>
      </c>
      <c r="H30" s="3" t="s">
        <v>27</v>
      </c>
      <c r="I30" s="54" t="s">
        <v>97</v>
      </c>
      <c r="J30" s="3" t="s">
        <v>29</v>
      </c>
      <c r="K30" s="3">
        <v>1</v>
      </c>
      <c r="L30" s="3" t="s">
        <v>30</v>
      </c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</row>
    <row r="31" spans="1:23">
      <c r="A31" s="54">
        <f t="shared" ca="1" si="1"/>
        <v>14</v>
      </c>
      <c r="B31" s="54" t="s">
        <v>23</v>
      </c>
      <c r="C31" s="54" t="s">
        <v>98</v>
      </c>
      <c r="D31" s="55">
        <v>46016</v>
      </c>
      <c r="E31" s="3" t="s">
        <v>25</v>
      </c>
      <c r="F31" s="3"/>
      <c r="G31" s="3" t="s">
        <v>73</v>
      </c>
      <c r="H31" s="3" t="s">
        <v>27</v>
      </c>
      <c r="I31" s="54" t="s">
        <v>99</v>
      </c>
      <c r="J31" s="3" t="s">
        <v>29</v>
      </c>
      <c r="K31" s="3">
        <v>1</v>
      </c>
      <c r="L31" s="3" t="s">
        <v>100</v>
      </c>
      <c r="M31" s="54"/>
      <c r="N31" s="54" t="s">
        <v>101</v>
      </c>
      <c r="O31" s="54"/>
      <c r="P31" s="54"/>
      <c r="Q31" s="56">
        <v>46030</v>
      </c>
      <c r="R31" s="56">
        <v>46038</v>
      </c>
      <c r="S31" s="54" t="s">
        <v>102</v>
      </c>
      <c r="T31" s="54" t="s">
        <v>103</v>
      </c>
      <c r="U31" s="54"/>
      <c r="V31" s="54" t="s">
        <v>104</v>
      </c>
      <c r="W31" s="54"/>
    </row>
    <row r="32" spans="1:23">
      <c r="A32" s="54">
        <f t="shared" ca="1" si="1"/>
        <v>187</v>
      </c>
      <c r="B32" s="54" t="s">
        <v>23</v>
      </c>
      <c r="C32" s="54" t="s">
        <v>105</v>
      </c>
      <c r="D32" s="55">
        <v>45952</v>
      </c>
      <c r="E32" s="3" t="s">
        <v>25</v>
      </c>
      <c r="F32" s="3"/>
      <c r="G32" s="3" t="s">
        <v>45</v>
      </c>
      <c r="H32" s="3" t="s">
        <v>27</v>
      </c>
      <c r="I32" s="54" t="s">
        <v>106</v>
      </c>
      <c r="J32" s="3" t="s">
        <v>29</v>
      </c>
      <c r="K32" s="3">
        <v>1</v>
      </c>
      <c r="L32" s="3" t="s">
        <v>30</v>
      </c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</row>
    <row r="33" spans="1:23">
      <c r="A33" s="54">
        <f ca="1">IF(OR(L33="Closed",L33="Offered"),Q33-D33,TODAY()-D33)</f>
        <v>289</v>
      </c>
      <c r="B33" s="54" t="s">
        <v>23</v>
      </c>
      <c r="C33" s="54" t="s">
        <v>107</v>
      </c>
      <c r="D33" s="55">
        <v>45850</v>
      </c>
      <c r="E33" s="3" t="s">
        <v>25</v>
      </c>
      <c r="F33" s="3"/>
      <c r="G33" s="3" t="s">
        <v>108</v>
      </c>
      <c r="H33" s="3" t="s">
        <v>27</v>
      </c>
      <c r="I33" s="54" t="s">
        <v>109</v>
      </c>
      <c r="J33" s="3" t="s">
        <v>29</v>
      </c>
      <c r="K33" s="3">
        <v>1</v>
      </c>
      <c r="L33" s="3" t="s">
        <v>30</v>
      </c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</row>
    <row r="34" spans="1:23">
      <c r="A34" s="54">
        <f ca="1">IF(OR(L34="Closed",L34="Offered"),Q34-D34,TODAY()-D34)</f>
        <v>94</v>
      </c>
      <c r="B34" s="54" t="s">
        <v>23</v>
      </c>
      <c r="C34" s="54" t="s">
        <v>110</v>
      </c>
      <c r="D34" s="55">
        <v>46045</v>
      </c>
      <c r="E34" s="3" t="s">
        <v>25</v>
      </c>
      <c r="F34" s="3"/>
      <c r="G34" s="3" t="s">
        <v>108</v>
      </c>
      <c r="H34" s="3" t="s">
        <v>27</v>
      </c>
      <c r="I34" s="54" t="s">
        <v>111</v>
      </c>
      <c r="J34" s="3" t="s">
        <v>29</v>
      </c>
      <c r="K34" s="3">
        <v>3</v>
      </c>
      <c r="L34" s="3" t="s">
        <v>30</v>
      </c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</row>
    <row r="35" spans="1:23">
      <c r="A35" s="54">
        <f t="shared" ref="A35:A36" ca="1" si="2">IF(OR(L35="Closed",L35="Offered"),Q35-D35,TODAY()-D35)</f>
        <v>94</v>
      </c>
      <c r="B35" s="54" t="s">
        <v>23</v>
      </c>
      <c r="C35" s="54" t="s">
        <v>112</v>
      </c>
      <c r="D35" s="55">
        <v>46045</v>
      </c>
      <c r="E35" s="3" t="s">
        <v>25</v>
      </c>
      <c r="F35" s="3"/>
      <c r="G35" s="3" t="s">
        <v>113</v>
      </c>
      <c r="H35" s="3" t="s">
        <v>27</v>
      </c>
      <c r="I35" s="54" t="s">
        <v>114</v>
      </c>
      <c r="J35" s="3" t="s">
        <v>29</v>
      </c>
      <c r="K35" s="3">
        <v>1</v>
      </c>
      <c r="L35" s="3" t="s">
        <v>54</v>
      </c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</row>
    <row r="36" spans="1:23">
      <c r="A36" s="54">
        <f t="shared" ca="1" si="2"/>
        <v>93</v>
      </c>
      <c r="B36" s="54" t="s">
        <v>23</v>
      </c>
      <c r="C36" s="54" t="s">
        <v>115</v>
      </c>
      <c r="D36" s="55">
        <v>46046</v>
      </c>
      <c r="E36" s="3" t="s">
        <v>25</v>
      </c>
      <c r="F36" s="3"/>
      <c r="G36" s="3" t="s">
        <v>116</v>
      </c>
      <c r="H36" s="3" t="s">
        <v>27</v>
      </c>
      <c r="I36" s="54" t="s">
        <v>117</v>
      </c>
      <c r="J36" s="3" t="s">
        <v>29</v>
      </c>
      <c r="K36" s="3">
        <v>1</v>
      </c>
      <c r="L36" s="3" t="s">
        <v>30</v>
      </c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</row>
    <row r="37" spans="1:23">
      <c r="A37" s="54">
        <f t="shared" ref="A37:A43" ca="1" si="3">IF(OR(L37="Closed",L37="Offered"),Q37-D37,TODAY()-D37)</f>
        <v>90</v>
      </c>
      <c r="B37" s="54" t="s">
        <v>23</v>
      </c>
      <c r="C37" s="54" t="s">
        <v>118</v>
      </c>
      <c r="D37" s="55">
        <v>46049</v>
      </c>
      <c r="E37" s="3" t="s">
        <v>25</v>
      </c>
      <c r="F37" s="3"/>
      <c r="G37" s="3" t="s">
        <v>45</v>
      </c>
      <c r="H37" s="3" t="s">
        <v>27</v>
      </c>
      <c r="I37" s="54" t="s">
        <v>119</v>
      </c>
      <c r="J37" s="3" t="s">
        <v>29</v>
      </c>
      <c r="K37" s="3">
        <v>1</v>
      </c>
      <c r="L37" s="3" t="s">
        <v>30</v>
      </c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</row>
    <row r="38" spans="1:23">
      <c r="A38" s="54">
        <f t="shared" ca="1" si="3"/>
        <v>87</v>
      </c>
      <c r="B38" s="54" t="s">
        <v>23</v>
      </c>
      <c r="C38" s="54" t="s">
        <v>120</v>
      </c>
      <c r="D38" s="55">
        <v>46052</v>
      </c>
      <c r="E38" s="3" t="s">
        <v>25</v>
      </c>
      <c r="F38" s="3"/>
      <c r="G38" s="3" t="s">
        <v>26</v>
      </c>
      <c r="H38" s="3" t="s">
        <v>27</v>
      </c>
      <c r="I38" s="54" t="s">
        <v>121</v>
      </c>
      <c r="J38" s="3" t="s">
        <v>29</v>
      </c>
      <c r="K38" s="3">
        <v>1</v>
      </c>
      <c r="L38" s="3" t="s">
        <v>30</v>
      </c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</row>
    <row r="39" spans="1:23">
      <c r="A39" s="54">
        <f t="shared" ca="1" si="3"/>
        <v>87</v>
      </c>
      <c r="B39" s="54" t="s">
        <v>23</v>
      </c>
      <c r="C39" s="54" t="s">
        <v>122</v>
      </c>
      <c r="D39" s="55">
        <v>46052</v>
      </c>
      <c r="E39" s="3" t="s">
        <v>25</v>
      </c>
      <c r="F39" s="3"/>
      <c r="G39" s="3" t="s">
        <v>73</v>
      </c>
      <c r="H39" s="3" t="s">
        <v>27</v>
      </c>
      <c r="I39" s="54" t="s">
        <v>123</v>
      </c>
      <c r="J39" s="3" t="s">
        <v>29</v>
      </c>
      <c r="K39" s="3">
        <v>1</v>
      </c>
      <c r="L39" s="3" t="s">
        <v>30</v>
      </c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</row>
    <row r="40" spans="1:23">
      <c r="A40" s="54">
        <f t="shared" ca="1" si="3"/>
        <v>87</v>
      </c>
      <c r="B40" s="54" t="s">
        <v>23</v>
      </c>
      <c r="C40" s="54" t="s">
        <v>124</v>
      </c>
      <c r="D40" s="55">
        <v>46052</v>
      </c>
      <c r="E40" s="3" t="s">
        <v>25</v>
      </c>
      <c r="F40" s="3"/>
      <c r="G40" s="3" t="s">
        <v>73</v>
      </c>
      <c r="H40" s="3" t="s">
        <v>27</v>
      </c>
      <c r="I40" s="54" t="s">
        <v>125</v>
      </c>
      <c r="J40" s="3" t="s">
        <v>29</v>
      </c>
      <c r="K40" s="3">
        <v>1</v>
      </c>
      <c r="L40" s="3" t="s">
        <v>30</v>
      </c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</row>
    <row r="41" spans="1:23">
      <c r="A41" s="54">
        <f t="shared" ca="1" si="3"/>
        <v>75</v>
      </c>
      <c r="B41" s="54" t="s">
        <v>23</v>
      </c>
      <c r="C41" s="54" t="s">
        <v>126</v>
      </c>
      <c r="D41" s="55">
        <v>46064</v>
      </c>
      <c r="E41" s="3" t="s">
        <v>25</v>
      </c>
      <c r="F41" s="3"/>
      <c r="G41" s="3" t="s">
        <v>45</v>
      </c>
      <c r="H41" s="3" t="s">
        <v>27</v>
      </c>
      <c r="I41" s="54" t="s">
        <v>125</v>
      </c>
      <c r="J41" s="3" t="s">
        <v>29</v>
      </c>
      <c r="K41" s="3">
        <v>3</v>
      </c>
      <c r="L41" s="3" t="s">
        <v>30</v>
      </c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</row>
    <row r="42" spans="1:23">
      <c r="A42" s="54">
        <f t="shared" ca="1" si="3"/>
        <v>75</v>
      </c>
      <c r="B42" s="54" t="s">
        <v>23</v>
      </c>
      <c r="C42" s="54" t="s">
        <v>127</v>
      </c>
      <c r="D42" s="55">
        <v>46064</v>
      </c>
      <c r="E42" s="3" t="s">
        <v>25</v>
      </c>
      <c r="F42" s="3"/>
      <c r="G42" s="3" t="s">
        <v>45</v>
      </c>
      <c r="H42" s="3" t="s">
        <v>27</v>
      </c>
      <c r="I42" s="54" t="s">
        <v>128</v>
      </c>
      <c r="J42" s="3" t="s">
        <v>29</v>
      </c>
      <c r="K42" s="3">
        <v>3</v>
      </c>
      <c r="L42" s="3" t="s">
        <v>30</v>
      </c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</row>
    <row r="43" spans="1:23">
      <c r="A43" s="54">
        <f t="shared" ca="1" si="3"/>
        <v>75</v>
      </c>
      <c r="B43" s="54" t="s">
        <v>23</v>
      </c>
      <c r="C43" s="54" t="s">
        <v>129</v>
      </c>
      <c r="D43" s="55">
        <v>46064</v>
      </c>
      <c r="E43" s="3" t="s">
        <v>25</v>
      </c>
      <c r="F43" s="3"/>
      <c r="G43" s="3" t="s">
        <v>45</v>
      </c>
      <c r="H43" s="3" t="s">
        <v>27</v>
      </c>
      <c r="I43" s="54" t="s">
        <v>130</v>
      </c>
      <c r="J43" s="3" t="s">
        <v>29</v>
      </c>
      <c r="K43" s="3">
        <v>3</v>
      </c>
      <c r="L43" s="3" t="s">
        <v>30</v>
      </c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</row>
    <row r="44" spans="1:23">
      <c r="A44" s="54">
        <f ca="1">IF(OR(L44="Closed",L44="Offered"),Q44-D44,TODAY()-D44)</f>
        <v>75</v>
      </c>
      <c r="B44" s="54" t="s">
        <v>23</v>
      </c>
      <c r="C44" s="54" t="s">
        <v>131</v>
      </c>
      <c r="D44" s="55">
        <v>46064</v>
      </c>
      <c r="E44" s="3" t="s">
        <v>25</v>
      </c>
      <c r="F44" s="3"/>
      <c r="G44" s="3" t="s">
        <v>132</v>
      </c>
      <c r="H44" s="3" t="s">
        <v>27</v>
      </c>
      <c r="I44" s="54" t="s">
        <v>133</v>
      </c>
      <c r="J44" s="3" t="s">
        <v>29</v>
      </c>
      <c r="K44" s="3">
        <v>1</v>
      </c>
      <c r="L44" s="3" t="s">
        <v>30</v>
      </c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</row>
    <row r="45" spans="1:23">
      <c r="A45" s="54">
        <f ca="1">IF(OR(L45="Closed",L45="Offered"),Q45-D45,TODAY()-D45)</f>
        <v>74</v>
      </c>
      <c r="B45" s="54" t="s">
        <v>23</v>
      </c>
      <c r="C45" s="54" t="s">
        <v>134</v>
      </c>
      <c r="D45" s="55">
        <v>46065</v>
      </c>
      <c r="E45" s="3" t="s">
        <v>25</v>
      </c>
      <c r="F45" s="3"/>
      <c r="G45" s="3" t="s">
        <v>135</v>
      </c>
      <c r="H45" s="3" t="s">
        <v>57</v>
      </c>
      <c r="I45" s="54" t="s">
        <v>136</v>
      </c>
      <c r="J45" s="3" t="s">
        <v>29</v>
      </c>
      <c r="K45" s="3">
        <v>25</v>
      </c>
      <c r="L45" s="3" t="s">
        <v>30</v>
      </c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</row>
    <row r="46" spans="1:23">
      <c r="A46" s="54">
        <f ca="1">IF(OR(L46="Closed",L46="Offered"),Q46-D46,TODAY()-D46)</f>
        <v>56</v>
      </c>
      <c r="B46" s="54" t="s">
        <v>23</v>
      </c>
      <c r="C46" t="s">
        <v>137</v>
      </c>
      <c r="D46" s="55">
        <v>46083</v>
      </c>
      <c r="E46" s="3" t="s">
        <v>25</v>
      </c>
      <c r="G46" s="2" t="s">
        <v>138</v>
      </c>
      <c r="H46" s="2" t="s">
        <v>27</v>
      </c>
      <c r="I46" t="s">
        <v>139</v>
      </c>
      <c r="J46" s="3" t="s">
        <v>29</v>
      </c>
      <c r="K46" s="2">
        <v>14</v>
      </c>
      <c r="L46" s="3" t="s">
        <v>30</v>
      </c>
    </row>
    <row r="47" spans="1:23">
      <c r="A47" s="54">
        <f t="shared" ref="A47:A54" ca="1" si="4">IF(OR(L47="Closed",L47="Offered"),Q47-D47,TODAY()-D47)</f>
        <v>55</v>
      </c>
      <c r="B47" s="54" t="s">
        <v>23</v>
      </c>
      <c r="C47" t="s">
        <v>140</v>
      </c>
      <c r="D47" s="55">
        <v>46084</v>
      </c>
      <c r="E47" s="3" t="s">
        <v>25</v>
      </c>
      <c r="G47" s="2" t="s">
        <v>141</v>
      </c>
      <c r="H47" s="2" t="s">
        <v>57</v>
      </c>
      <c r="I47" t="s">
        <v>142</v>
      </c>
      <c r="J47" s="3" t="s">
        <v>29</v>
      </c>
      <c r="K47" s="2">
        <v>250</v>
      </c>
      <c r="L47" s="3" t="s">
        <v>30</v>
      </c>
    </row>
    <row r="48" spans="1:23">
      <c r="A48" s="54">
        <f t="shared" ca="1" si="4"/>
        <v>55</v>
      </c>
      <c r="B48" s="54" t="s">
        <v>23</v>
      </c>
      <c r="C48" t="s">
        <v>143</v>
      </c>
      <c r="D48" s="55">
        <v>46084</v>
      </c>
      <c r="E48" s="3" t="s">
        <v>25</v>
      </c>
      <c r="G48" s="2" t="s">
        <v>141</v>
      </c>
      <c r="H48" s="2" t="s">
        <v>57</v>
      </c>
      <c r="I48" t="s">
        <v>144</v>
      </c>
      <c r="J48" s="3" t="s">
        <v>29</v>
      </c>
      <c r="K48" s="2">
        <v>250</v>
      </c>
      <c r="L48" s="3" t="s">
        <v>30</v>
      </c>
    </row>
    <row r="49" spans="1:12">
      <c r="A49" s="54">
        <f t="shared" ca="1" si="4"/>
        <v>55</v>
      </c>
      <c r="B49" s="54" t="s">
        <v>23</v>
      </c>
      <c r="C49" t="s">
        <v>145</v>
      </c>
      <c r="D49" s="55">
        <v>46084</v>
      </c>
      <c r="E49" s="3" t="s">
        <v>25</v>
      </c>
      <c r="G49" s="2" t="s">
        <v>146</v>
      </c>
      <c r="H49" s="2" t="s">
        <v>27</v>
      </c>
      <c r="I49" t="s">
        <v>147</v>
      </c>
      <c r="J49" s="3" t="s">
        <v>29</v>
      </c>
      <c r="K49" s="2">
        <v>1</v>
      </c>
      <c r="L49" s="3" t="s">
        <v>30</v>
      </c>
    </row>
    <row r="50" spans="1:12">
      <c r="A50" s="54">
        <f t="shared" ca="1" si="4"/>
        <v>55</v>
      </c>
      <c r="B50" s="54" t="s">
        <v>23</v>
      </c>
      <c r="C50" t="s">
        <v>148</v>
      </c>
      <c r="D50" s="55">
        <v>46084</v>
      </c>
      <c r="E50" s="3" t="s">
        <v>25</v>
      </c>
      <c r="G50" s="2" t="s">
        <v>146</v>
      </c>
      <c r="H50" s="2" t="s">
        <v>27</v>
      </c>
      <c r="I50" t="s">
        <v>149</v>
      </c>
      <c r="J50" s="3" t="s">
        <v>29</v>
      </c>
      <c r="K50" s="2">
        <v>3</v>
      </c>
      <c r="L50" s="3" t="s">
        <v>30</v>
      </c>
    </row>
    <row r="51" spans="1:12">
      <c r="A51" s="54">
        <f t="shared" ca="1" si="4"/>
        <v>55</v>
      </c>
      <c r="B51" s="54" t="s">
        <v>23</v>
      </c>
      <c r="C51" t="s">
        <v>150</v>
      </c>
      <c r="D51" s="55">
        <v>46084</v>
      </c>
      <c r="E51" s="3" t="s">
        <v>25</v>
      </c>
      <c r="G51" s="2" t="s">
        <v>146</v>
      </c>
      <c r="H51" s="2" t="s">
        <v>27</v>
      </c>
      <c r="I51" t="s">
        <v>151</v>
      </c>
      <c r="J51" s="3" t="s">
        <v>29</v>
      </c>
      <c r="K51" s="2">
        <v>5</v>
      </c>
      <c r="L51" s="3" t="s">
        <v>30</v>
      </c>
    </row>
    <row r="52" spans="1:12">
      <c r="A52" s="54">
        <f t="shared" ca="1" si="4"/>
        <v>55</v>
      </c>
      <c r="B52" s="54" t="s">
        <v>23</v>
      </c>
      <c r="C52" t="s">
        <v>152</v>
      </c>
      <c r="D52" s="55">
        <v>46084</v>
      </c>
      <c r="E52" s="3" t="s">
        <v>25</v>
      </c>
      <c r="G52" s="2" t="s">
        <v>146</v>
      </c>
      <c r="H52" s="2" t="s">
        <v>27</v>
      </c>
      <c r="I52" t="s">
        <v>153</v>
      </c>
      <c r="J52" s="3" t="s">
        <v>29</v>
      </c>
      <c r="K52" s="2">
        <v>2</v>
      </c>
      <c r="L52" s="3" t="s">
        <v>30</v>
      </c>
    </row>
    <row r="53" spans="1:12">
      <c r="A53" s="54">
        <f t="shared" ca="1" si="4"/>
        <v>55</v>
      </c>
      <c r="B53" s="54" t="s">
        <v>23</v>
      </c>
      <c r="C53" t="s">
        <v>154</v>
      </c>
      <c r="D53" s="55">
        <v>46084</v>
      </c>
      <c r="E53" s="3" t="s">
        <v>25</v>
      </c>
      <c r="G53" s="2" t="s">
        <v>146</v>
      </c>
      <c r="H53" s="2" t="s">
        <v>27</v>
      </c>
      <c r="I53" t="s">
        <v>155</v>
      </c>
      <c r="J53" s="3" t="s">
        <v>29</v>
      </c>
      <c r="K53" s="2">
        <v>3</v>
      </c>
      <c r="L53" s="3" t="s">
        <v>30</v>
      </c>
    </row>
    <row r="54" spans="1:12">
      <c r="A54" s="54">
        <f t="shared" ca="1" si="4"/>
        <v>55</v>
      </c>
      <c r="B54" s="54" t="s">
        <v>23</v>
      </c>
      <c r="C54" t="s">
        <v>156</v>
      </c>
      <c r="D54" s="55">
        <v>46084</v>
      </c>
      <c r="E54" s="3" t="s">
        <v>25</v>
      </c>
      <c r="G54" s="2" t="s">
        <v>146</v>
      </c>
      <c r="H54" s="2" t="s">
        <v>27</v>
      </c>
      <c r="I54" t="s">
        <v>157</v>
      </c>
      <c r="J54" s="3" t="s">
        <v>29</v>
      </c>
      <c r="K54" s="2">
        <v>2</v>
      </c>
      <c r="L54" s="3" t="s">
        <v>30</v>
      </c>
    </row>
    <row r="55" spans="1:12">
      <c r="A55" s="54">
        <f t="shared" ref="A55:A63" ca="1" si="5">IF(OR(L55="Closed",L55="Offered"),Q55-D55,TODAY()-D55)</f>
        <v>45</v>
      </c>
      <c r="B55" s="54" t="s">
        <v>23</v>
      </c>
      <c r="C55" t="s">
        <v>158</v>
      </c>
      <c r="D55" s="55">
        <v>46094</v>
      </c>
      <c r="E55" s="3" t="s">
        <v>25</v>
      </c>
      <c r="G55" s="2" t="s">
        <v>146</v>
      </c>
      <c r="H55" s="2" t="s">
        <v>27</v>
      </c>
      <c r="I55" t="s">
        <v>159</v>
      </c>
      <c r="J55" s="3" t="s">
        <v>29</v>
      </c>
      <c r="K55" s="2">
        <v>2</v>
      </c>
      <c r="L55" s="3" t="s">
        <v>30</v>
      </c>
    </row>
    <row r="56" spans="1:12">
      <c r="A56" s="54">
        <f t="shared" ca="1" si="5"/>
        <v>37</v>
      </c>
      <c r="B56" s="54" t="s">
        <v>23</v>
      </c>
      <c r="C56" t="s">
        <v>160</v>
      </c>
      <c r="D56" s="55">
        <v>46102</v>
      </c>
      <c r="E56" s="3" t="s">
        <v>25</v>
      </c>
      <c r="G56" s="2" t="s">
        <v>26</v>
      </c>
      <c r="H56" s="2" t="s">
        <v>27</v>
      </c>
      <c r="I56" t="s">
        <v>161</v>
      </c>
      <c r="J56" s="3" t="s">
        <v>29</v>
      </c>
      <c r="K56" s="2">
        <v>1</v>
      </c>
      <c r="L56" s="3" t="s">
        <v>30</v>
      </c>
    </row>
    <row r="57" spans="1:12">
      <c r="A57" s="54">
        <f t="shared" ca="1" si="5"/>
        <v>37</v>
      </c>
      <c r="B57" s="54" t="s">
        <v>23</v>
      </c>
      <c r="C57" t="s">
        <v>162</v>
      </c>
      <c r="D57" s="55">
        <v>46102</v>
      </c>
      <c r="E57" s="3" t="s">
        <v>25</v>
      </c>
      <c r="G57" s="2" t="s">
        <v>26</v>
      </c>
      <c r="H57" s="2" t="s">
        <v>27</v>
      </c>
      <c r="I57" t="s">
        <v>163</v>
      </c>
      <c r="J57" s="3" t="s">
        <v>29</v>
      </c>
      <c r="K57" s="2">
        <v>1</v>
      </c>
      <c r="L57" s="3" t="s">
        <v>30</v>
      </c>
    </row>
    <row r="58" spans="1:12">
      <c r="A58" s="54">
        <f t="shared" ca="1" si="5"/>
        <v>30</v>
      </c>
      <c r="B58" s="54" t="s">
        <v>23</v>
      </c>
      <c r="C58" t="s">
        <v>164</v>
      </c>
      <c r="D58" s="55">
        <v>46109</v>
      </c>
      <c r="E58" s="3" t="s">
        <v>25</v>
      </c>
      <c r="G58" s="2" t="s">
        <v>146</v>
      </c>
      <c r="H58" s="2" t="s">
        <v>27</v>
      </c>
      <c r="I58" t="s">
        <v>165</v>
      </c>
      <c r="J58" s="3" t="s">
        <v>29</v>
      </c>
      <c r="K58" s="2">
        <v>1</v>
      </c>
      <c r="L58" s="3" t="s">
        <v>30</v>
      </c>
    </row>
    <row r="59" spans="1:12">
      <c r="A59" s="54">
        <f t="shared" ca="1" si="5"/>
        <v>30</v>
      </c>
      <c r="B59" s="54" t="s">
        <v>23</v>
      </c>
      <c r="C59" t="s">
        <v>166</v>
      </c>
      <c r="D59" s="55">
        <v>46109</v>
      </c>
      <c r="E59" s="3" t="s">
        <v>25</v>
      </c>
      <c r="G59" s="2" t="s">
        <v>146</v>
      </c>
      <c r="H59" s="2" t="s">
        <v>27</v>
      </c>
      <c r="I59" t="s">
        <v>167</v>
      </c>
      <c r="J59" s="3" t="s">
        <v>29</v>
      </c>
      <c r="K59" s="2">
        <v>1</v>
      </c>
      <c r="L59" s="3" t="s">
        <v>30</v>
      </c>
    </row>
    <row r="60" spans="1:12">
      <c r="A60" s="54">
        <f t="shared" ca="1" si="5"/>
        <v>30</v>
      </c>
      <c r="B60" s="54" t="s">
        <v>23</v>
      </c>
      <c r="C60" t="s">
        <v>168</v>
      </c>
      <c r="D60" s="55">
        <v>46109</v>
      </c>
      <c r="E60" s="3" t="s">
        <v>25</v>
      </c>
      <c r="G60" s="2" t="s">
        <v>26</v>
      </c>
      <c r="H60" s="2" t="s">
        <v>27</v>
      </c>
      <c r="I60" t="s">
        <v>169</v>
      </c>
      <c r="J60" s="3" t="s">
        <v>29</v>
      </c>
      <c r="K60" s="2">
        <v>1</v>
      </c>
      <c r="L60" s="3" t="s">
        <v>30</v>
      </c>
    </row>
    <row r="61" spans="1:12">
      <c r="A61" s="54">
        <f t="shared" ca="1" si="5"/>
        <v>30</v>
      </c>
      <c r="B61" s="54" t="s">
        <v>23</v>
      </c>
      <c r="C61" t="s">
        <v>170</v>
      </c>
      <c r="D61" s="55">
        <v>46109</v>
      </c>
      <c r="E61" s="3" t="s">
        <v>25</v>
      </c>
      <c r="G61" s="2" t="s">
        <v>26</v>
      </c>
      <c r="H61" s="2" t="s">
        <v>27</v>
      </c>
      <c r="I61" t="s">
        <v>171</v>
      </c>
      <c r="J61" s="3" t="s">
        <v>29</v>
      </c>
      <c r="K61" s="2">
        <v>1</v>
      </c>
      <c r="L61" s="3" t="s">
        <v>30</v>
      </c>
    </row>
    <row r="62" spans="1:12">
      <c r="A62" s="54">
        <f t="shared" ca="1" si="5"/>
        <v>30</v>
      </c>
      <c r="B62" s="54" t="s">
        <v>23</v>
      </c>
      <c r="C62" t="s">
        <v>172</v>
      </c>
      <c r="D62" s="55">
        <v>46109</v>
      </c>
      <c r="E62" s="3" t="s">
        <v>25</v>
      </c>
      <c r="G62" s="2" t="s">
        <v>26</v>
      </c>
      <c r="H62" s="2" t="s">
        <v>27</v>
      </c>
      <c r="I62" t="s">
        <v>173</v>
      </c>
      <c r="J62" s="3" t="s">
        <v>29</v>
      </c>
      <c r="K62" s="2">
        <v>1</v>
      </c>
      <c r="L62" s="3" t="s">
        <v>30</v>
      </c>
    </row>
    <row r="63" spans="1:12">
      <c r="A63" s="54">
        <f t="shared" ca="1" si="5"/>
        <v>19</v>
      </c>
      <c r="B63" s="54" t="s">
        <v>23</v>
      </c>
      <c r="C63" t="s">
        <v>174</v>
      </c>
      <c r="D63" s="55">
        <v>46120</v>
      </c>
      <c r="E63" s="3" t="s">
        <v>25</v>
      </c>
      <c r="G63" s="2" t="s">
        <v>135</v>
      </c>
      <c r="H63" s="2" t="s">
        <v>27</v>
      </c>
      <c r="I63" t="s">
        <v>175</v>
      </c>
      <c r="J63" s="3" t="s">
        <v>29</v>
      </c>
      <c r="K63" s="2">
        <v>1</v>
      </c>
      <c r="L63" s="3" t="s">
        <v>30</v>
      </c>
    </row>
    <row r="64" spans="1:12">
      <c r="A64" s="54">
        <f ca="1">IF(OR(L64="Closed",L64="Offered"),Q64-D64,TODAY()-D64)</f>
        <v>30</v>
      </c>
      <c r="B64" s="54" t="s">
        <v>23</v>
      </c>
      <c r="C64" t="s">
        <v>176</v>
      </c>
      <c r="D64" s="55">
        <v>46109</v>
      </c>
      <c r="E64" s="3" t="s">
        <v>25</v>
      </c>
      <c r="G64" s="2" t="s">
        <v>146</v>
      </c>
      <c r="H64" s="2" t="s">
        <v>27</v>
      </c>
      <c r="I64" t="s">
        <v>177</v>
      </c>
      <c r="J64" s="3" t="s">
        <v>29</v>
      </c>
      <c r="K64" s="2">
        <v>1</v>
      </c>
      <c r="L64" s="3" t="s">
        <v>30</v>
      </c>
    </row>
    <row r="65" spans="1:12">
      <c r="A65" s="54">
        <f ca="1">IF(OR(L65="Closed",L65="Offered"),Q65-D65,TODAY()-D65)</f>
        <v>30</v>
      </c>
      <c r="B65" s="54" t="s">
        <v>23</v>
      </c>
      <c r="C65" t="s">
        <v>178</v>
      </c>
      <c r="D65" s="55">
        <v>46109</v>
      </c>
      <c r="E65" s="3" t="s">
        <v>25</v>
      </c>
      <c r="G65" s="2" t="s">
        <v>146</v>
      </c>
      <c r="H65" s="2" t="s">
        <v>27</v>
      </c>
      <c r="I65" t="s">
        <v>179</v>
      </c>
      <c r="J65" s="3" t="s">
        <v>29</v>
      </c>
      <c r="K65" s="2">
        <v>1</v>
      </c>
      <c r="L65" s="3" t="s">
        <v>30</v>
      </c>
    </row>
    <row r="66" spans="1:12">
      <c r="A66" s="54">
        <f ca="1">IF(OR(L66="Closed",L66="Offered"),Q66-D66,TODAY()-D66)</f>
        <v>18</v>
      </c>
      <c r="B66" s="54" t="s">
        <v>23</v>
      </c>
      <c r="C66" t="s">
        <v>180</v>
      </c>
      <c r="D66" s="55">
        <v>46121</v>
      </c>
      <c r="E66" s="3" t="s">
        <v>25</v>
      </c>
      <c r="G66" s="2" t="s">
        <v>26</v>
      </c>
      <c r="H66" s="2" t="s">
        <v>27</v>
      </c>
      <c r="I66" t="s">
        <v>181</v>
      </c>
      <c r="J66" s="3" t="s">
        <v>29</v>
      </c>
      <c r="K66" s="2">
        <v>1</v>
      </c>
      <c r="L66" s="3" t="s">
        <v>30</v>
      </c>
    </row>
    <row r="67" spans="1:12">
      <c r="A67" s="54">
        <f ca="1">IF(OR(L67="Closed",L67="Offered"),Q67-D67,TODAY()-D67)</f>
        <v>13</v>
      </c>
      <c r="B67" s="54" t="s">
        <v>23</v>
      </c>
      <c r="C67" t="s">
        <v>182</v>
      </c>
      <c r="D67" s="55">
        <v>46126</v>
      </c>
      <c r="E67" s="3" t="s">
        <v>25</v>
      </c>
      <c r="G67" s="2" t="s">
        <v>26</v>
      </c>
      <c r="H67" s="2" t="s">
        <v>27</v>
      </c>
      <c r="I67" t="s">
        <v>183</v>
      </c>
      <c r="J67" s="3" t="s">
        <v>29</v>
      </c>
      <c r="K67" s="2">
        <v>1</v>
      </c>
      <c r="L67" s="3" t="s">
        <v>30</v>
      </c>
    </row>
    <row r="68" spans="1:12">
      <c r="A68" s="54">
        <f ca="1">IF(OR(L68="Closed",L68="Offered"),Q68-D68,TODAY()-D68)</f>
        <v>20</v>
      </c>
      <c r="B68" s="54" t="s">
        <v>23</v>
      </c>
      <c r="C68" t="s">
        <v>184</v>
      </c>
      <c r="D68" s="55">
        <v>46119</v>
      </c>
      <c r="E68" s="3" t="s">
        <v>25</v>
      </c>
      <c r="G68" s="2" t="s">
        <v>146</v>
      </c>
      <c r="H68" s="2" t="s">
        <v>27</v>
      </c>
      <c r="I68" t="s">
        <v>185</v>
      </c>
      <c r="J68" s="3" t="s">
        <v>29</v>
      </c>
      <c r="K68" s="2">
        <v>1</v>
      </c>
      <c r="L68" s="3" t="s">
        <v>30</v>
      </c>
    </row>
    <row r="69" spans="1:12">
      <c r="A69" s="54">
        <f ca="1">IF(OR(L69="Closed",L69="Offered"),Q69-D69,TODAY()-D69)</f>
        <v>20</v>
      </c>
      <c r="B69" s="54" t="s">
        <v>23</v>
      </c>
      <c r="C69" t="s">
        <v>186</v>
      </c>
      <c r="D69" s="55">
        <v>46119</v>
      </c>
      <c r="E69" s="3" t="s">
        <v>25</v>
      </c>
      <c r="G69" s="2" t="s">
        <v>73</v>
      </c>
      <c r="H69" s="2" t="s">
        <v>27</v>
      </c>
      <c r="I69" t="s">
        <v>187</v>
      </c>
      <c r="J69" s="3" t="s">
        <v>29</v>
      </c>
      <c r="K69" s="2">
        <v>1</v>
      </c>
      <c r="L69" s="3" t="s">
        <v>30</v>
      </c>
    </row>
    <row r="70" spans="1:12">
      <c r="A70" s="54">
        <f ca="1">IF(OR(L70="Closed",L70="Offered"),Q70-D70,TODAY()-D70)</f>
        <v>20</v>
      </c>
      <c r="B70" s="54" t="s">
        <v>23</v>
      </c>
      <c r="C70" t="s">
        <v>188</v>
      </c>
      <c r="D70" s="55">
        <v>46119</v>
      </c>
      <c r="E70" s="3" t="s">
        <v>25</v>
      </c>
      <c r="G70" s="2" t="s">
        <v>141</v>
      </c>
      <c r="H70" s="2" t="s">
        <v>57</v>
      </c>
      <c r="I70" t="s">
        <v>189</v>
      </c>
      <c r="J70" s="3" t="s">
        <v>29</v>
      </c>
      <c r="K70" s="2">
        <v>2</v>
      </c>
      <c r="L70" s="3" t="s">
        <v>30</v>
      </c>
    </row>
    <row r="71" spans="1:12" ht="15">
      <c r="A71" s="54">
        <f ca="1">IF(OR(L71="Closed",L71="Offered"),Q71-D71,TODAY()-D71)</f>
        <v>20</v>
      </c>
      <c r="B71" s="54" t="s">
        <v>23</v>
      </c>
      <c r="C71" t="s">
        <v>190</v>
      </c>
      <c r="D71" s="55">
        <v>46119</v>
      </c>
      <c r="E71" s="3" t="s">
        <v>25</v>
      </c>
      <c r="G71" s="2" t="s">
        <v>141</v>
      </c>
      <c r="H71" s="2" t="s">
        <v>57</v>
      </c>
      <c r="I71" t="s">
        <v>191</v>
      </c>
      <c r="J71" s="3" t="s">
        <v>29</v>
      </c>
      <c r="K71" s="2">
        <v>2</v>
      </c>
      <c r="L71" s="3" t="s">
        <v>30</v>
      </c>
    </row>
    <row r="72" spans="1:12">
      <c r="A72" s="54">
        <f ca="1">IF(OR(L72="Closed",L72="Offered"),Q72-D72,TODAY()-D72)</f>
        <v>20</v>
      </c>
      <c r="B72" s="54" t="s">
        <v>23</v>
      </c>
      <c r="C72" t="s">
        <v>192</v>
      </c>
      <c r="D72" s="55">
        <v>46119</v>
      </c>
      <c r="E72" s="3" t="s">
        <v>25</v>
      </c>
      <c r="G72" s="2" t="s">
        <v>146</v>
      </c>
      <c r="H72" s="2" t="s">
        <v>27</v>
      </c>
      <c r="I72" t="s">
        <v>193</v>
      </c>
      <c r="J72" s="3" t="s">
        <v>29</v>
      </c>
      <c r="K72" s="2">
        <v>1</v>
      </c>
      <c r="L72" s="3" t="s">
        <v>30</v>
      </c>
    </row>
    <row r="73" spans="1:12">
      <c r="A73" s="54">
        <f ca="1">IF(OR(L73="Closed",L73="Offered"),Q73-D73,TODAY()-D73)</f>
        <v>20</v>
      </c>
      <c r="B73" s="54" t="s">
        <v>23</v>
      </c>
      <c r="C73" t="s">
        <v>194</v>
      </c>
      <c r="D73" s="55">
        <v>46119</v>
      </c>
      <c r="E73" s="3" t="s">
        <v>25</v>
      </c>
      <c r="G73" s="2" t="s">
        <v>146</v>
      </c>
      <c r="H73" s="2" t="s">
        <v>27</v>
      </c>
      <c r="I73" t="s">
        <v>195</v>
      </c>
      <c r="J73" s="3" t="s">
        <v>29</v>
      </c>
      <c r="K73" s="2">
        <v>1</v>
      </c>
      <c r="L73" s="3" t="s">
        <v>30</v>
      </c>
    </row>
    <row r="74" spans="1:12">
      <c r="A74" s="54"/>
      <c r="B74" s="54"/>
      <c r="D74" s="55"/>
      <c r="E74" s="3"/>
      <c r="J74" s="3"/>
      <c r="L74" s="3"/>
    </row>
  </sheetData>
  <autoFilter ref="A1:W70" xr:uid="{00000000-0001-0000-0000-000000000000}"/>
  <dataValidations count="1">
    <dataValidation type="date" allowBlank="1" showInputMessage="1" showErrorMessage="1" sqref="O2:R1048576" xr:uid="{5720CDCB-0B59-4AC8-8B6B-11E164910647}">
      <formula1>46023</formula1>
      <formula2>46753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6D8B7CB-EC0B-4901-BFEF-40F11E2758EE}">
          <x14:formula1>
            <xm:f>Dropdowns!$Z$2:$Z$6</xm:f>
          </x14:formula1>
          <xm:sqref>M24 L2:L23 L31:L1048576</xm:sqref>
        </x14:dataValidation>
        <x14:dataValidation type="list" allowBlank="1" showInputMessage="1" showErrorMessage="1" xr:uid="{1A75B690-34D8-476E-89CD-2DE57C3E77D0}">
          <x14:formula1>
            <xm:f>Dropdowns!$P$2:$P$32</xm:f>
          </x14:formula1>
          <xm:sqref>F24 E2:E1048576</xm:sqref>
        </x14:dataValidation>
        <x14:dataValidation type="list" allowBlank="1" showInputMessage="1" showErrorMessage="1" xr:uid="{AC059698-56D4-4E3C-BDB0-58F129AEA6AC}">
          <x14:formula1>
            <xm:f>Dropdowns!$R$2:$R$59</xm:f>
          </x14:formula1>
          <xm:sqref>F2:F23 F25:F1048576</xm:sqref>
        </x14:dataValidation>
        <x14:dataValidation type="list" allowBlank="1" showInputMessage="1" showErrorMessage="1" xr:uid="{F6956529-7442-42F0-A180-D7ADE6D8D795}">
          <x14:formula1>
            <xm:f>Dropdowns!$G$2:$G$15</xm:f>
          </x14:formula1>
          <xm:sqref>U24 T2:T23 T25:T1048576</xm:sqref>
        </x14:dataValidation>
        <x14:dataValidation type="list" allowBlank="1" showInputMessage="1" showErrorMessage="1" xr:uid="{46A68783-45B1-4163-AFA1-1C344B9D9E17}">
          <x14:formula1>
            <xm:f>Dropdowns!$X$2:$X$4</xm:f>
          </x14:formula1>
          <xm:sqref>J2:J1048576</xm:sqref>
        </x14:dataValidation>
        <x14:dataValidation type="list" allowBlank="1" showInputMessage="1" showErrorMessage="1" xr:uid="{D04B87F2-0CC1-490A-B6C5-F0B47A1785CD}">
          <x14:formula1>
            <xm:f>Dropdowns!$T$2:$T$64</xm:f>
          </x14:formula1>
          <xm:sqref>G2:G1048576</xm:sqref>
        </x14:dataValidation>
        <x14:dataValidation type="list" allowBlank="1" showInputMessage="1" showErrorMessage="1" xr:uid="{E43F34BE-189D-4363-A9E4-AD8856853248}">
          <x14:formula1>
            <xm:f>Dropdowns!$V$2:$V$79</xm:f>
          </x14:formula1>
          <xm:sqref>H2:H1048576</xm:sqref>
        </x14:dataValidation>
        <x14:dataValidation type="list" allowBlank="1" showInputMessage="1" showErrorMessage="1" xr:uid="{A411BA2B-47F8-4644-83A2-C4AC261D4B63}">
          <x14:formula1>
            <xm:f>Dropdowns!$AB$2:$AB$208</xm:f>
          </x14:formula1>
          <xm:sqref>I2:I1048576</xm:sqref>
        </x14:dataValidation>
        <x14:dataValidation type="list" allowBlank="1" showInputMessage="1" showErrorMessage="1" xr:uid="{D55347AB-DFB7-48EC-AE4E-0DFDC7F88FED}">
          <x14:formula1>
            <xm:f>Dropdowns!$AD$2:$AD$3</xm:f>
          </x14:formula1>
          <xm:sqref>B2:B1048576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B9CE6-E515-4F98-A004-45BDAADDFD9A}">
  <dimension ref="A1:DO1048492"/>
  <sheetViews>
    <sheetView tabSelected="1" topLeftCell="M1" workbookViewId="0">
      <pane ySplit="1" topLeftCell="A1205" activePane="bottomLeft" state="frozen"/>
      <selection pane="bottomLeft" activeCell="E1223" sqref="E1223"/>
    </sheetView>
  </sheetViews>
  <sheetFormatPr defaultColWidth="8.85546875" defaultRowHeight="15" customHeight="1"/>
  <cols>
    <col min="1" max="1" width="8.7109375" style="24" bestFit="1" customWidth="1"/>
    <col min="2" max="2" width="13.85546875" style="24" bestFit="1" customWidth="1"/>
    <col min="3" max="3" width="17.5703125" style="24" bestFit="1" customWidth="1"/>
    <col min="4" max="4" width="15.5703125" style="24" bestFit="1" customWidth="1"/>
    <col min="5" max="5" width="10.42578125" style="24" bestFit="1" customWidth="1"/>
    <col min="6" max="6" width="41.42578125" style="24" customWidth="1"/>
    <col min="7" max="7" width="19.42578125" style="24" customWidth="1"/>
    <col min="8" max="8" width="30.140625" style="24" bestFit="1" customWidth="1"/>
    <col min="9" max="9" width="37.42578125" style="24" customWidth="1"/>
    <col min="10" max="10" width="33.140625" style="19" bestFit="1" customWidth="1"/>
    <col min="11" max="11" width="26.140625" style="24" bestFit="1" customWidth="1"/>
    <col min="12" max="12" width="34" style="24" customWidth="1"/>
    <col min="13" max="13" width="30.85546875" style="24" customWidth="1"/>
    <col min="14" max="14" width="37" style="24" customWidth="1"/>
    <col min="15" max="15" width="14.85546875" style="24" bestFit="1" customWidth="1"/>
    <col min="16" max="17" width="19.7109375" style="24" customWidth="1"/>
    <col min="18" max="18" width="29.28515625" style="24" customWidth="1"/>
    <col min="19" max="19" width="27.85546875" style="24" bestFit="1" customWidth="1"/>
    <col min="20" max="20" width="19.42578125" style="24" bestFit="1" customWidth="1"/>
    <col min="21" max="21" width="23.28515625" style="24" bestFit="1" customWidth="1"/>
    <col min="22" max="22" width="17" style="24" bestFit="1" customWidth="1"/>
    <col min="23" max="23" width="26.28515625" style="24" customWidth="1"/>
    <col min="24" max="24" width="13.7109375" style="24" bestFit="1" customWidth="1"/>
    <col min="25" max="25" width="15.28515625" style="24" bestFit="1" customWidth="1"/>
    <col min="26" max="26" width="17.5703125" style="24" bestFit="1" customWidth="1"/>
    <col min="27" max="27" width="14.5703125" style="24" bestFit="1" customWidth="1"/>
    <col min="28" max="28" width="13.7109375" style="24" bestFit="1" customWidth="1"/>
    <col min="29" max="29" width="15.28515625" style="24" bestFit="1" customWidth="1"/>
    <col min="30" max="30" width="17.5703125" style="24" bestFit="1" customWidth="1"/>
    <col min="31" max="31" width="14.5703125" style="24" bestFit="1" customWidth="1"/>
    <col min="32" max="32" width="13.7109375" style="24" bestFit="1" customWidth="1"/>
    <col min="33" max="33" width="15.28515625" style="24" bestFit="1" customWidth="1"/>
    <col min="34" max="34" width="17.5703125" style="24" bestFit="1" customWidth="1"/>
    <col min="35" max="35" width="14.5703125" style="24" bestFit="1" customWidth="1"/>
    <col min="36" max="36" width="23.5703125" style="24" bestFit="1" customWidth="1"/>
    <col min="37" max="37" width="29.7109375" style="24" bestFit="1" customWidth="1"/>
    <col min="38" max="38" width="18.7109375" style="19" bestFit="1" customWidth="1"/>
    <col min="39" max="39" width="12.85546875" style="19" bestFit="1" customWidth="1"/>
    <col min="40" max="40" width="15.85546875" style="24" bestFit="1" customWidth="1"/>
    <col min="41" max="41" width="28.7109375" style="24" bestFit="1" customWidth="1"/>
    <col min="42" max="42" width="21" style="24" bestFit="1" customWidth="1"/>
    <col min="43" max="43" width="17.140625" style="24" bestFit="1" customWidth="1"/>
    <col min="44" max="44" width="15.85546875" style="24" bestFit="1" customWidth="1"/>
    <col min="45" max="45" width="14.140625" style="19" bestFit="1" customWidth="1"/>
    <col min="46" max="16384" width="8.85546875" style="24"/>
  </cols>
  <sheetData>
    <row r="1" spans="1:45" s="21" customFormat="1" ht="15" customHeight="1">
      <c r="A1" s="470" t="s">
        <v>196</v>
      </c>
      <c r="B1" s="470" t="s">
        <v>197</v>
      </c>
      <c r="C1" s="470" t="s">
        <v>198</v>
      </c>
      <c r="D1" s="470" t="s">
        <v>4</v>
      </c>
      <c r="E1" s="470" t="s">
        <v>7</v>
      </c>
      <c r="F1" s="470" t="s">
        <v>8</v>
      </c>
      <c r="G1" s="470" t="s">
        <v>6</v>
      </c>
      <c r="H1" s="470" t="s">
        <v>199</v>
      </c>
      <c r="I1" s="470" t="s">
        <v>200</v>
      </c>
      <c r="J1" s="470" t="s">
        <v>201</v>
      </c>
      <c r="K1" s="470" t="s">
        <v>202</v>
      </c>
      <c r="L1" s="470" t="s">
        <v>203</v>
      </c>
      <c r="M1" s="470" t="s">
        <v>204</v>
      </c>
      <c r="N1" s="470" t="s">
        <v>205</v>
      </c>
      <c r="O1" s="470" t="s">
        <v>206</v>
      </c>
      <c r="P1" s="470" t="s">
        <v>207</v>
      </c>
      <c r="Q1" s="470" t="s">
        <v>208</v>
      </c>
      <c r="R1" s="470" t="s">
        <v>209</v>
      </c>
      <c r="S1" s="470" t="s">
        <v>210</v>
      </c>
      <c r="T1" s="470" t="s">
        <v>19</v>
      </c>
      <c r="U1" s="470" t="s">
        <v>211</v>
      </c>
      <c r="V1" s="470" t="s">
        <v>212</v>
      </c>
      <c r="W1" s="470" t="s">
        <v>213</v>
      </c>
      <c r="X1" s="470" t="s">
        <v>214</v>
      </c>
      <c r="Y1" s="470" t="s">
        <v>215</v>
      </c>
      <c r="Z1" s="470" t="s">
        <v>216</v>
      </c>
      <c r="AA1" s="470" t="s">
        <v>217</v>
      </c>
      <c r="AB1" s="470" t="s">
        <v>218</v>
      </c>
      <c r="AC1" s="470" t="s">
        <v>219</v>
      </c>
      <c r="AD1" s="470" t="s">
        <v>220</v>
      </c>
      <c r="AE1" s="661" t="s">
        <v>221</v>
      </c>
      <c r="AF1" s="640" t="s">
        <v>222</v>
      </c>
      <c r="AG1" s="640" t="s">
        <v>223</v>
      </c>
      <c r="AH1" s="640" t="s">
        <v>224</v>
      </c>
      <c r="AI1" s="640" t="s">
        <v>225</v>
      </c>
      <c r="AJ1" s="640" t="s">
        <v>226</v>
      </c>
      <c r="AK1" s="640" t="s">
        <v>227</v>
      </c>
      <c r="AL1" s="640" t="s">
        <v>228</v>
      </c>
      <c r="AM1" s="640" t="s">
        <v>229</v>
      </c>
      <c r="AN1" s="640" t="s">
        <v>230</v>
      </c>
      <c r="AO1" s="640" t="s">
        <v>231</v>
      </c>
      <c r="AP1" s="640" t="s">
        <v>232</v>
      </c>
      <c r="AQ1" s="640" t="s">
        <v>233</v>
      </c>
      <c r="AR1" s="640" t="s">
        <v>234</v>
      </c>
      <c r="AS1" s="640" t="s">
        <v>235</v>
      </c>
    </row>
    <row r="2" spans="1:45" s="47" customFormat="1" ht="15" customHeight="1">
      <c r="A2" s="47" t="s">
        <v>37</v>
      </c>
      <c r="B2" s="47" t="s">
        <v>236</v>
      </c>
      <c r="C2" s="47" t="s">
        <v>237</v>
      </c>
      <c r="D2" s="47" t="str">
        <f>IF(ISBLANK(A2),"",_xlfn.XLOOKUP(A2,'Requirement Overview'!C:C,'Requirement Overview'!E:E))</f>
        <v>Talme</v>
      </c>
      <c r="E2" s="47" t="s">
        <v>27</v>
      </c>
      <c r="F2" s="47" t="str">
        <f>IF(ISBLANK(A2),"",_xlfn.XLOOKUP(A2,'Requirement Overview'!C:C,'Requirement Overview'!I:I))</f>
        <v>Android BSP Developer</v>
      </c>
      <c r="G2" s="255" t="s">
        <v>38</v>
      </c>
      <c r="H2" s="429" t="s">
        <v>238</v>
      </c>
      <c r="I2" s="430"/>
      <c r="J2" s="431"/>
      <c r="K2" s="47">
        <v>6383142221</v>
      </c>
      <c r="L2" s="184"/>
      <c r="M2" s="47">
        <v>5.1100000000000003</v>
      </c>
      <c r="N2" s="432" t="s">
        <v>239</v>
      </c>
      <c r="O2" s="47">
        <v>12</v>
      </c>
      <c r="R2" s="47">
        <v>18</v>
      </c>
      <c r="S2" s="47" t="s">
        <v>240</v>
      </c>
      <c r="T2" s="47" t="s">
        <v>103</v>
      </c>
      <c r="U2" s="118">
        <v>46028</v>
      </c>
      <c r="V2" s="118">
        <v>46028</v>
      </c>
      <c r="AQ2" s="118"/>
    </row>
    <row r="3" spans="1:45" ht="15" customHeight="1">
      <c r="A3" s="24" t="s">
        <v>37</v>
      </c>
      <c r="B3" s="21" t="s">
        <v>236</v>
      </c>
      <c r="C3" s="24" t="s">
        <v>237</v>
      </c>
      <c r="D3" s="24" t="s">
        <v>25</v>
      </c>
      <c r="E3" s="24" t="str">
        <f>IF(ISBLANK(A3),"",_xlfn.XLOOKUP(A3,'Requirement Overview'!C:C,'Requirement Overview'!H:H))</f>
        <v>IT</v>
      </c>
      <c r="F3" s="24" t="str">
        <f>IF(ISBLANK(A3),"",_xlfn.XLOOKUP(A3,'Requirement Overview'!C:C,'Requirement Overview'!I:I))</f>
        <v>Android BSP Developer</v>
      </c>
      <c r="G3" s="146" t="s">
        <v>38</v>
      </c>
      <c r="H3" s="185" t="s">
        <v>241</v>
      </c>
      <c r="I3" s="153"/>
      <c r="J3" s="59"/>
      <c r="K3" s="21">
        <v>9985736277</v>
      </c>
      <c r="L3" s="46"/>
      <c r="N3" s="91"/>
      <c r="S3" s="24" t="s">
        <v>240</v>
      </c>
      <c r="T3" s="24" t="s">
        <v>103</v>
      </c>
      <c r="U3" s="29">
        <v>46028</v>
      </c>
      <c r="V3" s="29">
        <v>46028</v>
      </c>
      <c r="AL3" s="24"/>
      <c r="AM3" s="24"/>
      <c r="AS3" s="24"/>
    </row>
    <row r="4" spans="1:45" ht="14.45">
      <c r="A4" s="24" t="s">
        <v>37</v>
      </c>
      <c r="B4" s="21" t="s">
        <v>236</v>
      </c>
      <c r="C4" s="24" t="s">
        <v>237</v>
      </c>
      <c r="D4" s="21" t="s">
        <v>25</v>
      </c>
      <c r="E4" s="24" t="str">
        <f>IF(ISBLANK(A4),"",_xlfn.XLOOKUP(A4,'Requirement Overview'!C:C,'Requirement Overview'!H:H))</f>
        <v>IT</v>
      </c>
      <c r="F4" s="24" t="str">
        <f>IF(ISBLANK(A4),"",_xlfn.XLOOKUP(A4,'Requirement Overview'!C:C,'Requirement Overview'!I:I))</f>
        <v>Android BSP Developer</v>
      </c>
      <c r="G4" s="146" t="s">
        <v>38</v>
      </c>
      <c r="H4" s="185" t="s">
        <v>242</v>
      </c>
      <c r="I4" s="154"/>
      <c r="J4" s="59" t="s">
        <v>243</v>
      </c>
      <c r="K4" s="21">
        <v>9642601689</v>
      </c>
      <c r="L4" s="46"/>
      <c r="M4" s="24">
        <v>6.8</v>
      </c>
      <c r="N4" s="91"/>
      <c r="O4" s="24">
        <v>23</v>
      </c>
      <c r="R4" s="24" t="s">
        <v>244</v>
      </c>
      <c r="S4" s="24" t="s">
        <v>240</v>
      </c>
      <c r="T4" s="24" t="s">
        <v>103</v>
      </c>
      <c r="U4" s="29">
        <v>46028</v>
      </c>
      <c r="V4" s="29">
        <v>46028</v>
      </c>
      <c r="AL4" s="24"/>
      <c r="AM4" s="24"/>
      <c r="AS4" s="24"/>
    </row>
    <row r="5" spans="1:45" ht="14.45">
      <c r="A5" s="24" t="s">
        <v>37</v>
      </c>
      <c r="B5" s="21" t="s">
        <v>236</v>
      </c>
      <c r="C5" s="24" t="s">
        <v>237</v>
      </c>
      <c r="D5" s="21" t="s">
        <v>25</v>
      </c>
      <c r="E5" s="24" t="str">
        <f>IF(ISBLANK(A5),"",_xlfn.XLOOKUP(A5,'Requirement Overview'!C:C,'Requirement Overview'!H:H))</f>
        <v>IT</v>
      </c>
      <c r="F5" s="24" t="str">
        <f>IF(ISBLANK(A5),"",_xlfn.XLOOKUP(A5,'Requirement Overview'!C:C,'Requirement Overview'!I:I))</f>
        <v>Android BSP Developer</v>
      </c>
      <c r="G5" s="58" t="s">
        <v>38</v>
      </c>
      <c r="H5" s="185" t="s">
        <v>245</v>
      </c>
      <c r="I5" s="155"/>
      <c r="J5" s="193"/>
      <c r="K5" s="24">
        <v>9845892797</v>
      </c>
      <c r="L5" s="46"/>
      <c r="M5" s="24">
        <v>12</v>
      </c>
      <c r="N5" s="91" t="s">
        <v>239</v>
      </c>
      <c r="O5" s="24">
        <v>18.5</v>
      </c>
      <c r="R5" s="24">
        <v>25</v>
      </c>
      <c r="S5" s="24" t="s">
        <v>240</v>
      </c>
      <c r="T5" s="24" t="s">
        <v>103</v>
      </c>
      <c r="U5" s="29">
        <v>46028</v>
      </c>
      <c r="V5" s="29">
        <v>46028</v>
      </c>
      <c r="AL5" s="24"/>
      <c r="AM5" s="24"/>
      <c r="AS5" s="24"/>
    </row>
    <row r="6" spans="1:45" ht="14.45">
      <c r="A6" s="24" t="s">
        <v>37</v>
      </c>
      <c r="B6" s="21" t="s">
        <v>236</v>
      </c>
      <c r="C6" s="24" t="s">
        <v>237</v>
      </c>
      <c r="D6" s="21" t="s">
        <v>25</v>
      </c>
      <c r="E6" s="24" t="str">
        <f>IF(ISBLANK(A6),"",_xlfn.XLOOKUP(A6,'Requirement Overview'!C:C,'Requirement Overview'!H:H))</f>
        <v>IT</v>
      </c>
      <c r="F6" s="24" t="str">
        <f>IF(ISBLANK(A6),"",_xlfn.XLOOKUP(A6,'Requirement Overview'!C:C,'Requirement Overview'!I:I))</f>
        <v>Android BSP Developer</v>
      </c>
      <c r="G6" s="58" t="s">
        <v>38</v>
      </c>
      <c r="H6" s="185" t="s">
        <v>246</v>
      </c>
      <c r="I6" s="155"/>
      <c r="J6" s="193" t="s">
        <v>239</v>
      </c>
      <c r="K6" s="24">
        <v>9618943124</v>
      </c>
      <c r="L6" s="46"/>
      <c r="M6" s="24">
        <v>10.8</v>
      </c>
      <c r="N6" s="91" t="s">
        <v>239</v>
      </c>
      <c r="O6" s="24">
        <v>22.5</v>
      </c>
      <c r="R6" s="24">
        <v>32</v>
      </c>
      <c r="S6" s="24" t="s">
        <v>240</v>
      </c>
      <c r="T6" s="24" t="s">
        <v>103</v>
      </c>
      <c r="U6" s="29">
        <v>46028</v>
      </c>
      <c r="V6" s="29">
        <v>46028</v>
      </c>
      <c r="AL6" s="24"/>
      <c r="AM6" s="24"/>
      <c r="AS6" s="24"/>
    </row>
    <row r="7" spans="1:45" ht="14.45">
      <c r="A7" s="24" t="s">
        <v>37</v>
      </c>
      <c r="B7" s="21" t="s">
        <v>236</v>
      </c>
      <c r="C7" s="24" t="s">
        <v>237</v>
      </c>
      <c r="D7" s="21" t="s">
        <v>25</v>
      </c>
      <c r="E7" s="24" t="str">
        <f>IF(ISBLANK(A7),"",_xlfn.XLOOKUP(A7,'Requirement Overview'!C:C,'Requirement Overview'!H:H))</f>
        <v>IT</v>
      </c>
      <c r="F7" s="24" t="str">
        <f>IF(ISBLANK(A7),"",_xlfn.XLOOKUP(A7,'Requirement Overview'!C:C,'Requirement Overview'!I:I))</f>
        <v>Android BSP Developer</v>
      </c>
      <c r="G7" s="58" t="s">
        <v>38</v>
      </c>
      <c r="H7" s="185" t="s">
        <v>247</v>
      </c>
      <c r="I7" s="155"/>
      <c r="J7" s="193" t="s">
        <v>239</v>
      </c>
      <c r="K7" s="24">
        <v>7567041466</v>
      </c>
      <c r="L7" s="46"/>
      <c r="N7" s="91"/>
      <c r="S7" s="24" t="s">
        <v>240</v>
      </c>
      <c r="T7" s="24" t="s">
        <v>103</v>
      </c>
      <c r="U7" s="29">
        <v>46028</v>
      </c>
      <c r="V7" s="29">
        <v>46028</v>
      </c>
      <c r="AL7" s="24"/>
      <c r="AM7" s="24"/>
      <c r="AS7" s="24"/>
    </row>
    <row r="8" spans="1:45" ht="14.45">
      <c r="A8" s="24" t="s">
        <v>37</v>
      </c>
      <c r="B8" s="21" t="s">
        <v>236</v>
      </c>
      <c r="C8" s="24" t="str">
        <f>IF(ISBLANK(B8),"",_xlfn.XLOOKUP(B8,Recruiter!A:A,Recruiter!B:B))</f>
        <v>Pooja</v>
      </c>
      <c r="D8" s="21" t="s">
        <v>25</v>
      </c>
      <c r="E8" s="24" t="str">
        <f>IF(ISBLANK(A8),"",_xlfn.XLOOKUP(A8,'Requirement Overview'!C:C,'Requirement Overview'!H:H))</f>
        <v>IT</v>
      </c>
      <c r="F8" s="24" t="str">
        <f>IF(ISBLANK(A8),"",_xlfn.XLOOKUP(A8,'Requirement Overview'!C:C,'Requirement Overview'!I:I))</f>
        <v>Android BSP Developer</v>
      </c>
      <c r="G8" s="58" t="s">
        <v>38</v>
      </c>
      <c r="H8" s="185" t="s">
        <v>248</v>
      </c>
      <c r="I8" s="155"/>
      <c r="J8" s="192" t="s">
        <v>239</v>
      </c>
      <c r="K8" s="24">
        <v>9895080216</v>
      </c>
      <c r="L8" s="46"/>
      <c r="N8" s="91"/>
      <c r="S8" s="24" t="s">
        <v>240</v>
      </c>
      <c r="T8" s="24" t="s">
        <v>103</v>
      </c>
      <c r="U8" s="29">
        <v>46029</v>
      </c>
      <c r="V8" s="29">
        <v>46029</v>
      </c>
      <c r="AL8" s="24"/>
      <c r="AM8" s="24"/>
      <c r="AS8" s="24"/>
    </row>
    <row r="9" spans="1:45" ht="14.45">
      <c r="A9" s="24" t="s">
        <v>37</v>
      </c>
      <c r="B9" s="21" t="s">
        <v>236</v>
      </c>
      <c r="C9" s="24" t="str">
        <f>IF(ISBLANK(B9),"",_xlfn.XLOOKUP(B9,Recruiter!A:A,Recruiter!B:B))</f>
        <v>Pooja</v>
      </c>
      <c r="D9" s="21" t="s">
        <v>25</v>
      </c>
      <c r="E9" s="24" t="str">
        <f>IF(ISBLANK(A9),"",_xlfn.XLOOKUP(A9,'Requirement Overview'!C:C,'Requirement Overview'!H:H))</f>
        <v>IT</v>
      </c>
      <c r="F9" s="24" t="str">
        <f>IF(ISBLANK(A9),"",_xlfn.XLOOKUP(A9,'Requirement Overview'!C:C,'Requirement Overview'!I:I))</f>
        <v>Android BSP Developer</v>
      </c>
      <c r="G9" s="58" t="s">
        <v>38</v>
      </c>
      <c r="H9" s="185" t="s">
        <v>249</v>
      </c>
      <c r="I9" s="155"/>
      <c r="J9" s="192" t="s">
        <v>239</v>
      </c>
      <c r="K9" s="24">
        <v>9500383529</v>
      </c>
      <c r="L9" s="46"/>
      <c r="N9" s="91"/>
      <c r="S9" s="24" t="s">
        <v>240</v>
      </c>
      <c r="T9" s="24" t="s">
        <v>103</v>
      </c>
      <c r="U9" s="29">
        <v>46029</v>
      </c>
      <c r="V9" s="29">
        <v>46029</v>
      </c>
      <c r="AL9" s="24"/>
      <c r="AM9" s="24"/>
      <c r="AS9" s="24"/>
    </row>
    <row r="10" spans="1:45" ht="14.45">
      <c r="A10" s="24" t="s">
        <v>37</v>
      </c>
      <c r="B10" s="21" t="s">
        <v>236</v>
      </c>
      <c r="C10" s="24" t="str">
        <f>IF(ISBLANK(B10),"",_xlfn.XLOOKUP(B10,Recruiter!A:A,Recruiter!B:B))</f>
        <v>Pooja</v>
      </c>
      <c r="D10" s="21" t="s">
        <v>25</v>
      </c>
      <c r="E10" s="24" t="str">
        <f>IF(ISBLANK(A10),"",_xlfn.XLOOKUP(A10,'Requirement Overview'!C:C,'Requirement Overview'!H:H))</f>
        <v>IT</v>
      </c>
      <c r="F10" s="24" t="str">
        <f>IF(ISBLANK(A10),"",_xlfn.XLOOKUP(A10,'Requirement Overview'!C:C,'Requirement Overview'!I:I))</f>
        <v>Android BSP Developer</v>
      </c>
      <c r="G10" s="58" t="s">
        <v>38</v>
      </c>
      <c r="H10" s="185" t="s">
        <v>250</v>
      </c>
      <c r="I10" s="155"/>
      <c r="J10" s="192"/>
      <c r="K10" s="24">
        <v>9021483838</v>
      </c>
      <c r="L10" s="46"/>
      <c r="M10" s="24" t="s">
        <v>239</v>
      </c>
      <c r="N10" s="91"/>
      <c r="S10" s="24" t="s">
        <v>240</v>
      </c>
      <c r="T10" s="24" t="s">
        <v>103</v>
      </c>
      <c r="U10" s="29">
        <v>46029</v>
      </c>
      <c r="V10" s="29">
        <v>46029</v>
      </c>
      <c r="AL10" s="24"/>
      <c r="AM10" s="24"/>
      <c r="AS10" s="24"/>
    </row>
    <row r="11" spans="1:45" ht="14.45">
      <c r="A11" s="24" t="s">
        <v>37</v>
      </c>
      <c r="B11" s="21" t="s">
        <v>236</v>
      </c>
      <c r="C11" s="24" t="str">
        <f>IF(ISBLANK(B11),"",_xlfn.XLOOKUP(B11,Recruiter!A:A,Recruiter!B:B))</f>
        <v>Pooja</v>
      </c>
      <c r="D11" s="21" t="s">
        <v>25</v>
      </c>
      <c r="E11" s="24" t="str">
        <f>IF(ISBLANK(A11),"",_xlfn.XLOOKUP(A11,'Requirement Overview'!C:C,'Requirement Overview'!H:H))</f>
        <v>IT</v>
      </c>
      <c r="F11" s="24" t="str">
        <f>IF(ISBLANK(A11),"",_xlfn.XLOOKUP(A11,'Requirement Overview'!C:C,'Requirement Overview'!I:I))</f>
        <v>Android BSP Developer</v>
      </c>
      <c r="G11" s="58" t="s">
        <v>38</v>
      </c>
      <c r="H11" s="185" t="s">
        <v>251</v>
      </c>
      <c r="I11" s="155"/>
      <c r="J11" s="59" t="s">
        <v>252</v>
      </c>
      <c r="K11" s="24">
        <v>6281643063</v>
      </c>
      <c r="L11" s="46"/>
      <c r="M11" s="22"/>
      <c r="N11" s="91"/>
      <c r="O11" s="24">
        <v>20</v>
      </c>
      <c r="R11" s="24">
        <v>28</v>
      </c>
      <c r="S11" s="24" t="s">
        <v>240</v>
      </c>
      <c r="T11" s="24" t="s">
        <v>103</v>
      </c>
      <c r="U11" s="29">
        <v>46029</v>
      </c>
      <c r="V11" s="29">
        <v>46029</v>
      </c>
      <c r="AL11" s="24"/>
      <c r="AM11" s="24"/>
      <c r="AS11" s="24"/>
    </row>
    <row r="12" spans="1:45" ht="14.45">
      <c r="A12" s="24" t="s">
        <v>37</v>
      </c>
      <c r="B12" s="21" t="s">
        <v>236</v>
      </c>
      <c r="C12" s="24" t="str">
        <f>IF(ISBLANK(B12),"",_xlfn.XLOOKUP(B12,Recruiter!A:A,Recruiter!B:B))</f>
        <v>Pooja</v>
      </c>
      <c r="D12" s="21" t="s">
        <v>25</v>
      </c>
      <c r="E12" s="24" t="str">
        <f>IF(ISBLANK(A12),"",_xlfn.XLOOKUP(A12,'Requirement Overview'!C:C,'Requirement Overview'!H:H))</f>
        <v>IT</v>
      </c>
      <c r="F12" s="24" t="str">
        <f>IF(ISBLANK(A12),"",_xlfn.XLOOKUP(A12,'Requirement Overview'!C:C,'Requirement Overview'!I:I))</f>
        <v>Android BSP Developer</v>
      </c>
      <c r="G12" s="58" t="s">
        <v>38</v>
      </c>
      <c r="H12" s="185" t="s">
        <v>253</v>
      </c>
      <c r="I12" s="155"/>
      <c r="J12" s="192" t="s">
        <v>239</v>
      </c>
      <c r="K12" s="24">
        <v>7981241891</v>
      </c>
      <c r="L12" s="46"/>
      <c r="M12" s="24" t="s">
        <v>239</v>
      </c>
      <c r="N12" s="91"/>
      <c r="S12" s="24" t="s">
        <v>240</v>
      </c>
      <c r="T12" s="24" t="s">
        <v>103</v>
      </c>
      <c r="U12" s="29">
        <v>46029</v>
      </c>
      <c r="V12" s="29">
        <v>46029</v>
      </c>
      <c r="AL12" s="24"/>
      <c r="AM12" s="24"/>
      <c r="AS12" s="24"/>
    </row>
    <row r="13" spans="1:45" ht="14.45">
      <c r="A13" s="24" t="s">
        <v>37</v>
      </c>
      <c r="B13" s="21" t="s">
        <v>236</v>
      </c>
      <c r="C13" s="24" t="str">
        <f>IF(ISBLANK(B13),"",_xlfn.XLOOKUP(B13,Recruiter!A:A,Recruiter!B:B))</f>
        <v>Pooja</v>
      </c>
      <c r="D13" s="21" t="s">
        <v>25</v>
      </c>
      <c r="E13" s="24" t="str">
        <f>IF(ISBLANK(A13),"",_xlfn.XLOOKUP(A13,'Requirement Overview'!C:C,'Requirement Overview'!H:H))</f>
        <v>IT</v>
      </c>
      <c r="F13" s="24" t="str">
        <f>IF(ISBLANK(A13),"",_xlfn.XLOOKUP(A13,'Requirement Overview'!C:C,'Requirement Overview'!I:I))</f>
        <v>Android BSP Developer</v>
      </c>
      <c r="G13" s="58" t="s">
        <v>38</v>
      </c>
      <c r="H13" s="185" t="s">
        <v>254</v>
      </c>
      <c r="I13" s="155"/>
      <c r="J13" s="59" t="s">
        <v>255</v>
      </c>
      <c r="K13" s="24">
        <v>9400603341</v>
      </c>
      <c r="L13" s="46"/>
      <c r="M13" s="24" t="s">
        <v>239</v>
      </c>
      <c r="N13" s="91"/>
      <c r="O13" s="24">
        <v>26.7</v>
      </c>
      <c r="R13" s="24">
        <v>36</v>
      </c>
      <c r="S13" s="24" t="s">
        <v>240</v>
      </c>
      <c r="T13" s="24" t="s">
        <v>103</v>
      </c>
      <c r="U13" s="29">
        <v>46029</v>
      </c>
      <c r="V13" s="29">
        <v>46029</v>
      </c>
      <c r="AL13" s="24"/>
      <c r="AM13" s="24"/>
      <c r="AS13" s="24"/>
    </row>
    <row r="14" spans="1:45" ht="14.45">
      <c r="A14" s="24" t="s">
        <v>37</v>
      </c>
      <c r="B14" s="21" t="s">
        <v>236</v>
      </c>
      <c r="C14" s="24" t="str">
        <f>IF(ISBLANK(B14),"",_xlfn.XLOOKUP(B14,Recruiter!A:A,Recruiter!B:B))</f>
        <v>Pooja</v>
      </c>
      <c r="D14" s="21" t="s">
        <v>25</v>
      </c>
      <c r="E14" s="24" t="str">
        <f>IF(ISBLANK(A14),"",_xlfn.XLOOKUP(A14,'Requirement Overview'!C:C,'Requirement Overview'!H:H))</f>
        <v>IT</v>
      </c>
      <c r="F14" s="24" t="str">
        <f>IF(ISBLANK(A14),"",_xlfn.XLOOKUP(A14,'Requirement Overview'!C:C,'Requirement Overview'!I:I))</f>
        <v>Android BSP Developer</v>
      </c>
      <c r="G14" s="58" t="s">
        <v>38</v>
      </c>
      <c r="H14" s="185" t="s">
        <v>256</v>
      </c>
      <c r="I14" s="155"/>
      <c r="J14" s="192" t="s">
        <v>239</v>
      </c>
      <c r="K14" s="24">
        <v>9689959406</v>
      </c>
      <c r="L14" s="46"/>
      <c r="N14" s="91"/>
      <c r="S14" s="24" t="s">
        <v>240</v>
      </c>
      <c r="T14" s="24" t="s">
        <v>103</v>
      </c>
      <c r="U14" s="29">
        <v>46029</v>
      </c>
      <c r="V14" s="29">
        <v>46029</v>
      </c>
      <c r="AL14" s="24"/>
      <c r="AM14" s="24"/>
      <c r="AS14" s="24"/>
    </row>
    <row r="15" spans="1:45" ht="14.45">
      <c r="A15" s="51" t="s">
        <v>37</v>
      </c>
      <c r="B15" s="517" t="s">
        <v>236</v>
      </c>
      <c r="C15" s="51" t="str">
        <f>IF(ISBLANK(B15),"",_xlfn.XLOOKUP(B15,Recruiter!A:A,Recruiter!B:B))</f>
        <v>Pooja</v>
      </c>
      <c r="D15" s="51" t="str">
        <f>IF(ISBLANK(A15),"",_xlfn.XLOOKUP(A15,'Requirement Overview'!C:C,'Requirement Overview'!E:E))</f>
        <v>Talme</v>
      </c>
      <c r="E15" s="51" t="s">
        <v>27</v>
      </c>
      <c r="F15" s="51" t="str">
        <f>IF(ISBLANK(A15),"",_xlfn.XLOOKUP(A15,'Requirement Overview'!C:C,'Requirement Overview'!I:I))</f>
        <v>Android BSP Developer</v>
      </c>
      <c r="G15" s="62" t="str">
        <f>IF(ISBLANK(A15),"",_xlfn.XLOOKUP(A15,'Requirement Overview'!C:C,'Requirement Overview'!G:G))</f>
        <v>KPIT</v>
      </c>
      <c r="H15" s="518" t="s">
        <v>257</v>
      </c>
      <c r="I15" s="519"/>
      <c r="J15" s="520" t="s">
        <v>239</v>
      </c>
      <c r="K15" s="51">
        <v>9767204706</v>
      </c>
      <c r="L15" s="108"/>
      <c r="M15" s="51"/>
      <c r="N15" s="110"/>
      <c r="O15" s="51"/>
      <c r="P15" s="51"/>
      <c r="Q15" s="51"/>
      <c r="R15" s="51"/>
      <c r="S15" s="51" t="s">
        <v>240</v>
      </c>
      <c r="T15" s="51" t="s">
        <v>103</v>
      </c>
      <c r="U15" s="89">
        <v>46029</v>
      </c>
      <c r="V15" s="89">
        <v>46029</v>
      </c>
      <c r="W15" s="51"/>
      <c r="X15" s="51"/>
      <c r="Y15" s="51"/>
      <c r="Z15" s="51"/>
      <c r="AA15" s="51"/>
      <c r="AB15" s="51"/>
      <c r="AC15" s="51"/>
      <c r="AD15" s="51"/>
      <c r="AL15" s="24"/>
      <c r="AM15" s="24"/>
      <c r="AS15" s="24"/>
    </row>
    <row r="16" spans="1:45" ht="14.45">
      <c r="A16" s="702" t="s">
        <v>83</v>
      </c>
      <c r="B16" s="702" t="s">
        <v>258</v>
      </c>
      <c r="C16" s="702" t="s">
        <v>259</v>
      </c>
      <c r="D16" s="702" t="str">
        <f>IF(ISBLANK(A16),"",_xlfn.XLOOKUP(A16,'Requirement Overview'!C:C,'Requirement Overview'!E:E))</f>
        <v>Talme</v>
      </c>
      <c r="E16" s="702" t="str">
        <f>IF(ISBLANK(A16),"",_xlfn.XLOOKUP(A16,'Requirement Overview'!C:C,'Requirement Overview'!H:H))</f>
        <v>Non - IT</v>
      </c>
      <c r="F16" s="702" t="str">
        <f>IF(ISBLANK(A16),"",_xlfn.XLOOKUP(A16,'Requirement Overview'!C:C,'Requirement Overview'!I:I))</f>
        <v>Business developement executive</v>
      </c>
      <c r="G16" s="702" t="s">
        <v>260</v>
      </c>
      <c r="H16" s="470" t="s">
        <v>261</v>
      </c>
      <c r="I16" s="470" t="s">
        <v>262</v>
      </c>
      <c r="J16" s="495" t="s">
        <v>263</v>
      </c>
      <c r="K16" s="702">
        <v>9179265452</v>
      </c>
      <c r="L16" s="702" t="s">
        <v>264</v>
      </c>
      <c r="M16" s="702" t="s">
        <v>265</v>
      </c>
      <c r="N16" s="496" t="s">
        <v>266</v>
      </c>
      <c r="O16" s="702" t="s">
        <v>267</v>
      </c>
      <c r="P16" s="702" t="s">
        <v>268</v>
      </c>
      <c r="Q16" s="702" t="s">
        <v>268</v>
      </c>
      <c r="R16" s="702" t="s">
        <v>269</v>
      </c>
      <c r="S16" s="702" t="s">
        <v>270</v>
      </c>
      <c r="T16" s="702" t="s">
        <v>271</v>
      </c>
      <c r="U16" s="703">
        <v>46029</v>
      </c>
      <c r="V16" s="703">
        <v>46029</v>
      </c>
      <c r="W16" s="702"/>
      <c r="X16" s="702"/>
      <c r="Y16" s="702"/>
      <c r="Z16" s="702"/>
      <c r="AA16" s="702"/>
      <c r="AB16" s="702"/>
      <c r="AC16" s="702"/>
      <c r="AD16" s="702"/>
      <c r="AE16" s="46"/>
      <c r="AL16" s="24"/>
      <c r="AM16" s="24"/>
      <c r="AS16" s="24"/>
    </row>
    <row r="17" spans="1:31" ht="14.45">
      <c r="A17" s="702" t="s">
        <v>83</v>
      </c>
      <c r="B17" s="702" t="s">
        <v>258</v>
      </c>
      <c r="C17" s="702" t="s">
        <v>259</v>
      </c>
      <c r="D17" s="702" t="str">
        <f>IF(ISBLANK(A17),"",_xlfn.XLOOKUP(A17,'Requirement Overview'!C:C,'Requirement Overview'!E:E))</f>
        <v>Talme</v>
      </c>
      <c r="E17" s="702" t="str">
        <f>IF(ISBLANK(A17),"",_xlfn.XLOOKUP(A17,'Requirement Overview'!C:C,'Requirement Overview'!H:H))</f>
        <v>Non - IT</v>
      </c>
      <c r="F17" s="702" t="str">
        <f>IF(ISBLANK(A17),"",_xlfn.XLOOKUP(A17,'Requirement Overview'!C:C,'Requirement Overview'!I:I))</f>
        <v>Business developement executive</v>
      </c>
      <c r="G17" s="702" t="s">
        <v>260</v>
      </c>
      <c r="H17" s="470" t="s">
        <v>272</v>
      </c>
      <c r="I17" s="470"/>
      <c r="J17" s="476"/>
      <c r="K17" s="702">
        <v>9535544283</v>
      </c>
      <c r="L17" s="702"/>
      <c r="M17" s="702"/>
      <c r="N17" s="496"/>
      <c r="O17" s="702"/>
      <c r="P17" s="702"/>
      <c r="Q17" s="702"/>
      <c r="R17" s="702"/>
      <c r="S17" s="702" t="s">
        <v>240</v>
      </c>
      <c r="T17" s="702" t="s">
        <v>271</v>
      </c>
      <c r="U17" s="703">
        <v>46028</v>
      </c>
      <c r="V17" s="703">
        <v>46028</v>
      </c>
      <c r="W17" s="702"/>
      <c r="X17" s="702"/>
      <c r="Y17" s="702"/>
      <c r="Z17" s="702"/>
      <c r="AA17" s="702"/>
      <c r="AB17" s="702"/>
      <c r="AC17" s="702"/>
      <c r="AD17" s="702"/>
      <c r="AE17" s="46"/>
    </row>
    <row r="18" spans="1:31" ht="14.45">
      <c r="A18" s="702" t="s">
        <v>83</v>
      </c>
      <c r="B18" s="702" t="s">
        <v>258</v>
      </c>
      <c r="C18" s="702" t="s">
        <v>259</v>
      </c>
      <c r="D18" s="702" t="str">
        <f>IF(ISBLANK(A18),"",_xlfn.XLOOKUP(A18,'Requirement Overview'!C:C,'Requirement Overview'!E:E))</f>
        <v>Talme</v>
      </c>
      <c r="E18" s="702" t="str">
        <f>IF(ISBLANK(A18),"",_xlfn.XLOOKUP(A18,'Requirement Overview'!C:C,'Requirement Overview'!H:H))</f>
        <v>Non - IT</v>
      </c>
      <c r="F18" s="702" t="str">
        <f>IF(ISBLANK(A18),"",_xlfn.XLOOKUP(A18,'Requirement Overview'!C:C,'Requirement Overview'!I:I))</f>
        <v>Business developement executive</v>
      </c>
      <c r="G18" s="702" t="s">
        <v>260</v>
      </c>
      <c r="H18" s="470" t="s">
        <v>273</v>
      </c>
      <c r="I18" s="470"/>
      <c r="J18" s="476"/>
      <c r="K18" s="702">
        <v>9535735939</v>
      </c>
      <c r="L18" s="702"/>
      <c r="M18" s="702"/>
      <c r="N18" s="496"/>
      <c r="O18" s="702"/>
      <c r="P18" s="702"/>
      <c r="Q18" s="702"/>
      <c r="R18" s="702"/>
      <c r="S18" s="702" t="s">
        <v>240</v>
      </c>
      <c r="T18" s="702" t="s">
        <v>271</v>
      </c>
      <c r="U18" s="703">
        <v>46028</v>
      </c>
      <c r="V18" s="703">
        <v>46028</v>
      </c>
      <c r="W18" s="702"/>
      <c r="X18" s="702"/>
      <c r="Y18" s="702"/>
      <c r="Z18" s="702"/>
      <c r="AA18" s="702"/>
      <c r="AB18" s="702"/>
      <c r="AC18" s="702"/>
      <c r="AD18" s="702"/>
      <c r="AE18" s="46"/>
    </row>
    <row r="19" spans="1:31" ht="14.45">
      <c r="A19" s="702" t="s">
        <v>83</v>
      </c>
      <c r="B19" s="702" t="s">
        <v>258</v>
      </c>
      <c r="C19" s="702" t="s">
        <v>259</v>
      </c>
      <c r="D19" s="702" t="str">
        <f>IF(ISBLANK(A19),"",_xlfn.XLOOKUP(A19,'Requirement Overview'!C:C,'Requirement Overview'!E:E))</f>
        <v>Talme</v>
      </c>
      <c r="E19" s="702" t="str">
        <f>IF(ISBLANK(A19),"",_xlfn.XLOOKUP(A19,'Requirement Overview'!C:C,'Requirement Overview'!H:H))</f>
        <v>Non - IT</v>
      </c>
      <c r="F19" s="702" t="str">
        <f>IF(ISBLANK(A19),"",_xlfn.XLOOKUP(A19,'Requirement Overview'!C:C,'Requirement Overview'!I:I))</f>
        <v>Business developement executive</v>
      </c>
      <c r="G19" s="702" t="s">
        <v>260</v>
      </c>
      <c r="H19" s="470" t="s">
        <v>274</v>
      </c>
      <c r="I19" s="470"/>
      <c r="J19" s="476"/>
      <c r="K19" s="702">
        <v>7760182939</v>
      </c>
      <c r="L19" s="702"/>
      <c r="M19" s="702"/>
      <c r="N19" s="496"/>
      <c r="O19" s="702"/>
      <c r="P19" s="702"/>
      <c r="Q19" s="702"/>
      <c r="R19" s="702"/>
      <c r="S19" s="702" t="s">
        <v>240</v>
      </c>
      <c r="T19" s="702" t="s">
        <v>271</v>
      </c>
      <c r="U19" s="703">
        <v>46028</v>
      </c>
      <c r="V19" s="703">
        <v>46028</v>
      </c>
      <c r="W19" s="702"/>
      <c r="X19" s="702"/>
      <c r="Y19" s="702"/>
      <c r="Z19" s="702"/>
      <c r="AA19" s="702"/>
      <c r="AB19" s="702"/>
      <c r="AC19" s="702"/>
      <c r="AD19" s="702"/>
      <c r="AE19" s="46"/>
    </row>
    <row r="20" spans="1:31" ht="14.45">
      <c r="A20" s="702" t="s">
        <v>83</v>
      </c>
      <c r="B20" s="702" t="s">
        <v>258</v>
      </c>
      <c r="C20" s="702" t="s">
        <v>259</v>
      </c>
      <c r="D20" s="702" t="str">
        <f>IF(ISBLANK(A20),"",_xlfn.XLOOKUP(A20,'Requirement Overview'!C:C,'Requirement Overview'!E:E))</f>
        <v>Talme</v>
      </c>
      <c r="E20" s="702" t="str">
        <f>IF(ISBLANK(A20),"",_xlfn.XLOOKUP(A20,'Requirement Overview'!C:C,'Requirement Overview'!H:H))</f>
        <v>Non - IT</v>
      </c>
      <c r="F20" s="702" t="str">
        <f>IF(ISBLANK(A20),"",_xlfn.XLOOKUP(A20,'Requirement Overview'!C:C,'Requirement Overview'!I:I))</f>
        <v>Business developement executive</v>
      </c>
      <c r="G20" s="702" t="s">
        <v>260</v>
      </c>
      <c r="H20" s="470" t="s">
        <v>275</v>
      </c>
      <c r="I20" s="470"/>
      <c r="J20" s="476"/>
      <c r="K20" s="702">
        <v>6364919558</v>
      </c>
      <c r="L20" s="702"/>
      <c r="M20" s="702"/>
      <c r="N20" s="496"/>
      <c r="O20" s="702"/>
      <c r="P20" s="702"/>
      <c r="Q20" s="702"/>
      <c r="R20" s="702"/>
      <c r="S20" s="702" t="s">
        <v>240</v>
      </c>
      <c r="T20" s="702" t="s">
        <v>271</v>
      </c>
      <c r="U20" s="703">
        <v>46028</v>
      </c>
      <c r="V20" s="703">
        <v>46028</v>
      </c>
      <c r="W20" s="702"/>
      <c r="X20" s="702"/>
      <c r="Y20" s="702"/>
      <c r="Z20" s="702"/>
      <c r="AA20" s="702"/>
      <c r="AB20" s="702"/>
      <c r="AC20" s="702"/>
      <c r="AD20" s="702"/>
      <c r="AE20" s="46"/>
    </row>
    <row r="21" spans="1:31" ht="14.45">
      <c r="A21" s="702" t="s">
        <v>83</v>
      </c>
      <c r="B21" s="702" t="s">
        <v>258</v>
      </c>
      <c r="C21" s="702" t="s">
        <v>259</v>
      </c>
      <c r="D21" s="702" t="str">
        <f>IF(ISBLANK(A21),"",_xlfn.XLOOKUP(A21,'Requirement Overview'!C:C,'Requirement Overview'!E:E))</f>
        <v>Talme</v>
      </c>
      <c r="E21" s="702" t="str">
        <f>IF(ISBLANK(A21),"",_xlfn.XLOOKUP(A21,'Requirement Overview'!C:C,'Requirement Overview'!H:H))</f>
        <v>Non - IT</v>
      </c>
      <c r="F21" s="702" t="str">
        <f>IF(ISBLANK(A21),"",_xlfn.XLOOKUP(A21,'Requirement Overview'!C:C,'Requirement Overview'!I:I))</f>
        <v>Business developement executive</v>
      </c>
      <c r="G21" s="702" t="s">
        <v>260</v>
      </c>
      <c r="H21" s="470" t="s">
        <v>276</v>
      </c>
      <c r="I21" s="470"/>
      <c r="J21" s="476"/>
      <c r="K21" s="702">
        <v>8860765049</v>
      </c>
      <c r="L21" s="702"/>
      <c r="M21" s="702"/>
      <c r="N21" s="496"/>
      <c r="O21" s="702"/>
      <c r="P21" s="702"/>
      <c r="Q21" s="702"/>
      <c r="R21" s="702"/>
      <c r="S21" s="702" t="s">
        <v>240</v>
      </c>
      <c r="T21" s="702" t="s">
        <v>271</v>
      </c>
      <c r="U21" s="703">
        <v>46028</v>
      </c>
      <c r="V21" s="703">
        <v>46028</v>
      </c>
      <c r="W21" s="702"/>
      <c r="X21" s="702"/>
      <c r="Y21" s="702"/>
      <c r="Z21" s="702"/>
      <c r="AA21" s="702"/>
      <c r="AB21" s="702"/>
      <c r="AC21" s="702"/>
      <c r="AD21" s="702"/>
      <c r="AE21" s="46"/>
    </row>
    <row r="22" spans="1:31" ht="14.45">
      <c r="A22" s="702" t="s">
        <v>83</v>
      </c>
      <c r="B22" s="702" t="s">
        <v>258</v>
      </c>
      <c r="C22" s="702" t="s">
        <v>259</v>
      </c>
      <c r="D22" s="702" t="str">
        <f>IF(ISBLANK(A22),"",_xlfn.XLOOKUP(A22,'Requirement Overview'!C:C,'Requirement Overview'!E:E))</f>
        <v>Talme</v>
      </c>
      <c r="E22" s="702" t="str">
        <f>IF(ISBLANK(A22),"",_xlfn.XLOOKUP(A22,'Requirement Overview'!C:C,'Requirement Overview'!H:H))</f>
        <v>Non - IT</v>
      </c>
      <c r="F22" s="702" t="str">
        <f>IF(ISBLANK(A22),"",_xlfn.XLOOKUP(A22,'Requirement Overview'!C:C,'Requirement Overview'!I:I))</f>
        <v>Business developement executive</v>
      </c>
      <c r="G22" s="702" t="s">
        <v>260</v>
      </c>
      <c r="H22" s="470" t="s">
        <v>277</v>
      </c>
      <c r="I22" s="470"/>
      <c r="J22" s="476"/>
      <c r="K22" s="702">
        <v>6362554577</v>
      </c>
      <c r="L22" s="702"/>
      <c r="M22" s="702"/>
      <c r="N22" s="496"/>
      <c r="O22" s="702"/>
      <c r="P22" s="702"/>
      <c r="Q22" s="702"/>
      <c r="R22" s="702"/>
      <c r="S22" s="702" t="s">
        <v>240</v>
      </c>
      <c r="T22" s="702" t="s">
        <v>271</v>
      </c>
      <c r="U22" s="703">
        <v>46028</v>
      </c>
      <c r="V22" s="703">
        <v>46028</v>
      </c>
      <c r="W22" s="702"/>
      <c r="X22" s="702"/>
      <c r="Y22" s="702"/>
      <c r="Z22" s="702"/>
      <c r="AA22" s="702"/>
      <c r="AB22" s="702"/>
      <c r="AC22" s="702"/>
      <c r="AD22" s="702"/>
      <c r="AE22" s="46"/>
    </row>
    <row r="23" spans="1:31" ht="14.45">
      <c r="A23" s="702" t="s">
        <v>87</v>
      </c>
      <c r="B23" s="702" t="s">
        <v>258</v>
      </c>
      <c r="C23" s="702" t="str">
        <f>IF(ISBLANK(B23),"",_xlfn.XLOOKUP(B23,Recruiter!A:A,Recruiter!B:B))</f>
        <v>Bhoomika</v>
      </c>
      <c r="D23" s="702" t="str">
        <f>IF(ISBLANK(A23),"",_xlfn.XLOOKUP(A23,'Requirement Overview'!C:C,'Requirement Overview'!E:E))</f>
        <v>Talme</v>
      </c>
      <c r="E23" s="702" t="str">
        <f>IF(ISBLANK(A23),"",_xlfn.XLOOKUP(A23,'Requirement Overview'!C:C,'Requirement Overview'!H:H))</f>
        <v>Non - IT</v>
      </c>
      <c r="F23" s="702" t="str">
        <f>IF(ISBLANK(A23),"",_xlfn.XLOOKUP(A23,'Requirement Overview'!C:C,'Requirement Overview'!I:I))</f>
        <v>Founder office assoicate</v>
      </c>
      <c r="G23" s="702" t="s">
        <v>260</v>
      </c>
      <c r="H23" s="470" t="s">
        <v>278</v>
      </c>
      <c r="I23" s="702"/>
      <c r="J23" s="476"/>
      <c r="K23" s="702">
        <v>6387986418</v>
      </c>
      <c r="L23" s="702"/>
      <c r="M23" s="702" t="s">
        <v>279</v>
      </c>
      <c r="N23" s="496"/>
      <c r="O23" s="702" t="s">
        <v>280</v>
      </c>
      <c r="P23" s="702"/>
      <c r="Q23" s="702"/>
      <c r="R23" s="702" t="s">
        <v>281</v>
      </c>
      <c r="S23" s="702" t="s">
        <v>240</v>
      </c>
      <c r="T23" s="702" t="s">
        <v>271</v>
      </c>
      <c r="U23" s="703">
        <v>46027</v>
      </c>
      <c r="V23" s="703">
        <v>46027</v>
      </c>
      <c r="W23" s="702"/>
      <c r="X23" s="702"/>
      <c r="Y23" s="702"/>
      <c r="Z23" s="702"/>
      <c r="AA23" s="702"/>
      <c r="AB23" s="702"/>
      <c r="AC23" s="702"/>
      <c r="AD23" s="702"/>
      <c r="AE23" s="46"/>
    </row>
    <row r="24" spans="1:31" ht="14.45">
      <c r="A24" s="563" t="s">
        <v>61</v>
      </c>
      <c r="B24" s="563" t="s">
        <v>236</v>
      </c>
      <c r="C24" s="47" t="str">
        <f>IF(ISBLANK(B24),"",_xlfn.XLOOKUP(B24,Recruiter!A:A,Recruiter!B:B))</f>
        <v>Pooja</v>
      </c>
      <c r="D24" s="47" t="str">
        <f>IF(ISBLANK(A24),"",_xlfn.XLOOKUP(A24,'Requirement Overview'!C:C,'Requirement Overview'!E:E))</f>
        <v>Talme</v>
      </c>
      <c r="E24" s="47" t="str">
        <f>IF(ISBLANK(A24),"",_xlfn.XLOOKUP(A24,'Requirement Overview'!C:C,'Requirement Overview'!H:H))</f>
        <v>Non - IT</v>
      </c>
      <c r="F24" s="47" t="str">
        <f>IF(ISBLANK(A24),"",_xlfn.XLOOKUP(A24,'Requirement Overview'!C:C,'Requirement Overview'!I:I))</f>
        <v>Graphic Designer</v>
      </c>
      <c r="G24" s="255" t="str">
        <f>IF(ISBLANK(A24),"",_xlfn.XLOOKUP(A24,'Requirement Overview'!C:C,'Requirement Overview'!G:G))</f>
        <v>Avinashi Ads</v>
      </c>
      <c r="H24" s="429" t="s">
        <v>282</v>
      </c>
      <c r="I24" s="184"/>
      <c r="J24" s="564" t="s">
        <v>283</v>
      </c>
      <c r="K24" s="47">
        <v>9392779274</v>
      </c>
      <c r="L24" s="184"/>
      <c r="M24" s="47"/>
      <c r="N24" s="432"/>
      <c r="O24" s="47"/>
      <c r="P24" s="47"/>
      <c r="Q24" s="47"/>
      <c r="R24" s="47"/>
      <c r="S24" s="47" t="s">
        <v>240</v>
      </c>
      <c r="T24" s="47" t="s">
        <v>271</v>
      </c>
      <c r="U24" s="118">
        <v>46030</v>
      </c>
      <c r="V24" s="118">
        <v>46030</v>
      </c>
      <c r="W24" s="47"/>
      <c r="X24" s="47"/>
      <c r="Y24" s="47"/>
      <c r="Z24" s="47"/>
      <c r="AA24" s="47"/>
      <c r="AB24" s="47"/>
      <c r="AC24" s="47"/>
      <c r="AD24" s="47"/>
    </row>
    <row r="25" spans="1:31" ht="14.45">
      <c r="A25" s="21" t="s">
        <v>61</v>
      </c>
      <c r="B25" s="21" t="s">
        <v>236</v>
      </c>
      <c r="C25" s="24" t="str">
        <f>IF(ISBLANK(B25),"",_xlfn.XLOOKUP(B25,Recruiter!A:A,Recruiter!B:B))</f>
        <v>Pooja</v>
      </c>
      <c r="D25" s="24" t="str">
        <f>IF(ISBLANK(A25),"",_xlfn.XLOOKUP(A25,'Requirement Overview'!C:C,'Requirement Overview'!E:E))</f>
        <v>Talme</v>
      </c>
      <c r="E25" s="24" t="str">
        <f>IF(ISBLANK(A25),"",_xlfn.XLOOKUP(A25,'Requirement Overview'!C:C,'Requirement Overview'!H:H))</f>
        <v>Non - IT</v>
      </c>
      <c r="F25" s="24" t="str">
        <f>IF(ISBLANK(A25),"",_xlfn.XLOOKUP(A25,'Requirement Overview'!C:C,'Requirement Overview'!I:I))</f>
        <v>Graphic Designer</v>
      </c>
      <c r="G25" s="58" t="str">
        <f>IF(ISBLANK(A25),"",_xlfn.XLOOKUP(A25,'Requirement Overview'!C:C,'Requirement Overview'!G:G))</f>
        <v>Avinashi Ads</v>
      </c>
      <c r="H25" s="185" t="s">
        <v>284</v>
      </c>
      <c r="I25" s="46"/>
      <c r="J25" s="195" t="s">
        <v>285</v>
      </c>
      <c r="K25" s="24">
        <v>7704078279</v>
      </c>
      <c r="L25" s="46"/>
      <c r="N25" s="91"/>
      <c r="S25" s="24" t="s">
        <v>240</v>
      </c>
      <c r="T25" s="24" t="s">
        <v>271</v>
      </c>
      <c r="U25" s="29">
        <v>46030</v>
      </c>
      <c r="V25" s="29">
        <v>46030</v>
      </c>
    </row>
    <row r="26" spans="1:31" ht="14.45">
      <c r="A26" s="517" t="s">
        <v>61</v>
      </c>
      <c r="B26" s="517" t="s">
        <v>236</v>
      </c>
      <c r="C26" s="51" t="str">
        <f>IF(ISBLANK(B26),"",_xlfn.XLOOKUP(B26,Recruiter!A:A,Recruiter!B:B))</f>
        <v>Pooja</v>
      </c>
      <c r="D26" s="51" t="str">
        <f>IF(ISBLANK(A26),"",_xlfn.XLOOKUP(A26,'Requirement Overview'!C:C,'Requirement Overview'!E:E))</f>
        <v>Talme</v>
      </c>
      <c r="E26" s="51" t="str">
        <f>IF(ISBLANK(A26),"",_xlfn.XLOOKUP(A26,'Requirement Overview'!C:C,'Requirement Overview'!H:H))</f>
        <v>Non - IT</v>
      </c>
      <c r="F26" s="51" t="str">
        <f>IF(ISBLANK(A26),"",_xlfn.XLOOKUP(A26,'Requirement Overview'!C:C,'Requirement Overview'!I:I))</f>
        <v>Graphic Designer</v>
      </c>
      <c r="G26" s="62" t="str">
        <f>IF(ISBLANK(A26),"",_xlfn.XLOOKUP(A26,'Requirement Overview'!C:C,'Requirement Overview'!G:G))</f>
        <v>Avinashi Ads</v>
      </c>
      <c r="H26" s="518" t="s">
        <v>286</v>
      </c>
      <c r="I26" s="108"/>
      <c r="J26" s="521" t="s">
        <v>287</v>
      </c>
      <c r="K26" s="522">
        <v>8660746114</v>
      </c>
      <c r="L26" s="108"/>
      <c r="M26" s="51"/>
      <c r="N26" s="110"/>
      <c r="O26" s="51"/>
      <c r="P26" s="51"/>
      <c r="Q26" s="51"/>
      <c r="R26" s="51"/>
      <c r="S26" s="51" t="s">
        <v>240</v>
      </c>
      <c r="T26" s="51" t="s">
        <v>271</v>
      </c>
      <c r="U26" s="89">
        <v>46030</v>
      </c>
      <c r="V26" s="89">
        <v>46030</v>
      </c>
      <c r="W26" s="51"/>
      <c r="X26" s="51"/>
      <c r="Y26" s="51"/>
      <c r="Z26" s="51"/>
      <c r="AA26" s="51"/>
      <c r="AB26" s="51"/>
      <c r="AC26" s="51"/>
      <c r="AD26" s="51"/>
    </row>
    <row r="27" spans="1:31" ht="14.45">
      <c r="A27" s="702" t="s">
        <v>55</v>
      </c>
      <c r="B27" s="702" t="s">
        <v>258</v>
      </c>
      <c r="C27" s="702" t="str">
        <f>IF(ISBLANK(B27),"",_xlfn.XLOOKUP(B27,Recruiter!A:A,Recruiter!B:B))</f>
        <v>Bhoomika</v>
      </c>
      <c r="D27" s="702" t="str">
        <f>IF(ISBLANK(A27),"",_xlfn.XLOOKUP(A27,'Requirement Overview'!C:C,'Requirement Overview'!E:E))</f>
        <v>Talme</v>
      </c>
      <c r="E27" s="702" t="str">
        <f>IF(ISBLANK(A27),"",_xlfn.XLOOKUP(A27,'Requirement Overview'!C:C,'Requirement Overview'!H:H))</f>
        <v>Non - IT</v>
      </c>
      <c r="F27" s="702" t="str">
        <f>IF(ISBLANK(A27),"",_xlfn.XLOOKUP(A27,'Requirement Overview'!C:C,'Requirement Overview'!I:I))</f>
        <v>Inside Sales Executive</v>
      </c>
      <c r="G27" s="702" t="str">
        <f>IF(ISBLANK(A27),"",_xlfn.XLOOKUP(A27,'Requirement Overview'!C:C,'Requirement Overview'!G:G))</f>
        <v>Peritas</v>
      </c>
      <c r="H27" s="470" t="s">
        <v>288</v>
      </c>
      <c r="I27" s="702" t="s">
        <v>262</v>
      </c>
      <c r="J27" s="497" t="s">
        <v>289</v>
      </c>
      <c r="K27" s="702">
        <v>6377429482</v>
      </c>
      <c r="L27" s="702" t="s">
        <v>290</v>
      </c>
      <c r="M27" s="702" t="s">
        <v>291</v>
      </c>
      <c r="N27" s="496" t="s">
        <v>292</v>
      </c>
      <c r="O27" s="702" t="s">
        <v>293</v>
      </c>
      <c r="P27" s="702" t="s">
        <v>294</v>
      </c>
      <c r="Q27" s="702" t="s">
        <v>294</v>
      </c>
      <c r="R27" s="702" t="s">
        <v>295</v>
      </c>
      <c r="S27" s="702" t="s">
        <v>270</v>
      </c>
      <c r="T27" s="702" t="s">
        <v>103</v>
      </c>
      <c r="U27" s="703">
        <v>46029</v>
      </c>
      <c r="V27" s="703">
        <v>46029</v>
      </c>
      <c r="W27" s="702"/>
      <c r="X27" s="702"/>
      <c r="Y27" s="702"/>
      <c r="Z27" s="702"/>
      <c r="AA27" s="702"/>
      <c r="AB27" s="702"/>
      <c r="AC27" s="702"/>
      <c r="AD27" s="702"/>
      <c r="AE27" s="46"/>
    </row>
    <row r="28" spans="1:31" ht="14.45">
      <c r="A28" s="702" t="s">
        <v>55</v>
      </c>
      <c r="B28" s="702" t="s">
        <v>258</v>
      </c>
      <c r="C28" s="702" t="str">
        <f>IF(ISBLANK(B28),"",_xlfn.XLOOKUP(B28,Recruiter!A:A,Recruiter!B:B))</f>
        <v>Bhoomika</v>
      </c>
      <c r="D28" s="702" t="str">
        <f>IF(ISBLANK(A28),"",_xlfn.XLOOKUP(A28,'Requirement Overview'!C:C,'Requirement Overview'!E:E))</f>
        <v>Talme</v>
      </c>
      <c r="E28" s="702" t="str">
        <f>IF(ISBLANK(A28),"",_xlfn.XLOOKUP(A28,'Requirement Overview'!C:C,'Requirement Overview'!H:H))</f>
        <v>Non - IT</v>
      </c>
      <c r="F28" s="702" t="str">
        <f>IF(ISBLANK(A28),"",_xlfn.XLOOKUP(A28,'Requirement Overview'!C:C,'Requirement Overview'!I:I))</f>
        <v>Inside Sales Executive</v>
      </c>
      <c r="G28" s="702" t="str">
        <f>IF(ISBLANK(A28),"",_xlfn.XLOOKUP(A28,'Requirement Overview'!C:C,'Requirement Overview'!G:G))</f>
        <v>Peritas</v>
      </c>
      <c r="H28" s="470" t="s">
        <v>296</v>
      </c>
      <c r="I28" s="702" t="s">
        <v>297</v>
      </c>
      <c r="J28" s="497" t="s">
        <v>298</v>
      </c>
      <c r="K28" s="702">
        <v>7483352201</v>
      </c>
      <c r="L28" s="702" t="s">
        <v>299</v>
      </c>
      <c r="M28" s="702" t="s">
        <v>265</v>
      </c>
      <c r="N28" s="496" t="s">
        <v>300</v>
      </c>
      <c r="O28" s="702" t="s">
        <v>293</v>
      </c>
      <c r="P28" s="702" t="s">
        <v>294</v>
      </c>
      <c r="Q28" s="702" t="s">
        <v>294</v>
      </c>
      <c r="R28" s="702" t="s">
        <v>301</v>
      </c>
      <c r="S28" s="702" t="s">
        <v>270</v>
      </c>
      <c r="T28" s="702" t="s">
        <v>103</v>
      </c>
      <c r="U28" s="703">
        <v>46029</v>
      </c>
      <c r="V28" s="703">
        <v>46029</v>
      </c>
      <c r="W28" s="702"/>
      <c r="X28" s="702"/>
      <c r="Y28" s="702"/>
      <c r="Z28" s="702"/>
      <c r="AA28" s="702"/>
      <c r="AB28" s="702"/>
      <c r="AC28" s="702"/>
      <c r="AD28" s="702"/>
      <c r="AE28" s="46"/>
    </row>
    <row r="29" spans="1:31" ht="14.45">
      <c r="A29" s="702" t="s">
        <v>55</v>
      </c>
      <c r="B29" s="702" t="s">
        <v>258</v>
      </c>
      <c r="C29" s="702" t="str">
        <f>IF(ISBLANK(B29),"",_xlfn.XLOOKUP(B29,Recruiter!A:A,Recruiter!B:B))</f>
        <v>Bhoomika</v>
      </c>
      <c r="D29" s="702" t="str">
        <f>IF(ISBLANK(A29),"",_xlfn.XLOOKUP(A29,'Requirement Overview'!C:C,'Requirement Overview'!E:E))</f>
        <v>Talme</v>
      </c>
      <c r="E29" s="702" t="str">
        <f>IF(ISBLANK(A29),"",_xlfn.XLOOKUP(A29,'Requirement Overview'!C:C,'Requirement Overview'!H:H))</f>
        <v>Non - IT</v>
      </c>
      <c r="F29" s="702" t="str">
        <f>IF(ISBLANK(A29),"",_xlfn.XLOOKUP(A29,'Requirement Overview'!C:C,'Requirement Overview'!I:I))</f>
        <v>Inside Sales Executive</v>
      </c>
      <c r="G29" s="702" t="str">
        <f>IF(ISBLANK(A29),"",_xlfn.XLOOKUP(A29,'Requirement Overview'!C:C,'Requirement Overview'!G:G))</f>
        <v>Peritas</v>
      </c>
      <c r="H29" s="470" t="s">
        <v>302</v>
      </c>
      <c r="I29" s="702" t="s">
        <v>303</v>
      </c>
      <c r="J29" s="497" t="s">
        <v>304</v>
      </c>
      <c r="K29" s="702">
        <v>8918605535</v>
      </c>
      <c r="L29" s="702" t="s">
        <v>305</v>
      </c>
      <c r="M29" s="702" t="s">
        <v>306</v>
      </c>
      <c r="N29" s="496" t="s">
        <v>307</v>
      </c>
      <c r="O29" s="702" t="s">
        <v>269</v>
      </c>
      <c r="P29" s="702" t="s">
        <v>294</v>
      </c>
      <c r="Q29" s="702" t="s">
        <v>294</v>
      </c>
      <c r="R29" s="702" t="s">
        <v>308</v>
      </c>
      <c r="S29" s="702" t="s">
        <v>270</v>
      </c>
      <c r="T29" s="702" t="s">
        <v>103</v>
      </c>
      <c r="U29" s="703">
        <v>46029</v>
      </c>
      <c r="V29" s="703">
        <v>46029</v>
      </c>
      <c r="W29" s="702"/>
      <c r="X29" s="702"/>
      <c r="Y29" s="702"/>
      <c r="Z29" s="702"/>
      <c r="AA29" s="702"/>
      <c r="AB29" s="702"/>
      <c r="AC29" s="702"/>
      <c r="AD29" s="702"/>
      <c r="AE29" s="46"/>
    </row>
    <row r="30" spans="1:31" ht="14.45">
      <c r="A30" s="702" t="s">
        <v>55</v>
      </c>
      <c r="B30" s="702" t="s">
        <v>258</v>
      </c>
      <c r="C30" s="702" t="str">
        <f>IF(ISBLANK(B30),"",_xlfn.XLOOKUP(B30,Recruiter!A:A,Recruiter!B:B))</f>
        <v>Bhoomika</v>
      </c>
      <c r="D30" s="702" t="str">
        <f>IF(ISBLANK(A30),"",_xlfn.XLOOKUP(A30,'Requirement Overview'!C:C,'Requirement Overview'!E:E))</f>
        <v>Talme</v>
      </c>
      <c r="E30" s="702" t="str">
        <f>IF(ISBLANK(A30),"",_xlfn.XLOOKUP(A30,'Requirement Overview'!C:C,'Requirement Overview'!H:H))</f>
        <v>Non - IT</v>
      </c>
      <c r="F30" s="702" t="str">
        <f>IF(ISBLANK(A30),"",_xlfn.XLOOKUP(A30,'Requirement Overview'!C:C,'Requirement Overview'!I:I))</f>
        <v>Inside Sales Executive</v>
      </c>
      <c r="G30" s="702" t="str">
        <f>IF(ISBLANK(A30),"",_xlfn.XLOOKUP(A30,'Requirement Overview'!C:C,'Requirement Overview'!G:G))</f>
        <v>Peritas</v>
      </c>
      <c r="H30" s="470" t="s">
        <v>309</v>
      </c>
      <c r="I30" s="702" t="s">
        <v>297</v>
      </c>
      <c r="J30" s="497" t="s">
        <v>310</v>
      </c>
      <c r="K30" s="702">
        <v>9535796270</v>
      </c>
      <c r="L30" s="702" t="s">
        <v>311</v>
      </c>
      <c r="M30" s="702" t="s">
        <v>312</v>
      </c>
      <c r="N30" s="496" t="s">
        <v>313</v>
      </c>
      <c r="O30" s="702" t="s">
        <v>314</v>
      </c>
      <c r="P30" s="702" t="s">
        <v>294</v>
      </c>
      <c r="Q30" s="702" t="s">
        <v>294</v>
      </c>
      <c r="R30" s="702" t="s">
        <v>295</v>
      </c>
      <c r="S30" s="702" t="s">
        <v>270</v>
      </c>
      <c r="T30" s="702" t="s">
        <v>103</v>
      </c>
      <c r="U30" s="703">
        <v>46029</v>
      </c>
      <c r="V30" s="703">
        <v>46029</v>
      </c>
      <c r="W30" s="702"/>
      <c r="X30" s="702"/>
      <c r="Y30" s="702"/>
      <c r="Z30" s="702"/>
      <c r="AA30" s="702"/>
      <c r="AB30" s="702"/>
      <c r="AC30" s="702"/>
      <c r="AD30" s="702"/>
      <c r="AE30" s="46"/>
    </row>
    <row r="31" spans="1:31" ht="14.45">
      <c r="A31" s="702" t="s">
        <v>55</v>
      </c>
      <c r="B31" s="702" t="s">
        <v>258</v>
      </c>
      <c r="C31" s="702" t="str">
        <f>IF(ISBLANK(B31),"",_xlfn.XLOOKUP(B31,Recruiter!A:A,Recruiter!B:B))</f>
        <v>Bhoomika</v>
      </c>
      <c r="D31" s="702" t="str">
        <f>IF(ISBLANK(A31),"",_xlfn.XLOOKUP(A31,'Requirement Overview'!C:C,'Requirement Overview'!E:E))</f>
        <v>Talme</v>
      </c>
      <c r="E31" s="702" t="str">
        <f>IF(ISBLANK(A31),"",_xlfn.XLOOKUP(A31,'Requirement Overview'!C:C,'Requirement Overview'!H:H))</f>
        <v>Non - IT</v>
      </c>
      <c r="F31" s="702" t="str">
        <f>IF(ISBLANK(A31),"",_xlfn.XLOOKUP(A31,'Requirement Overview'!C:C,'Requirement Overview'!I:I))</f>
        <v>Inside Sales Executive</v>
      </c>
      <c r="G31" s="702" t="str">
        <f>IF(ISBLANK(A31),"",_xlfn.XLOOKUP(A31,'Requirement Overview'!C:C,'Requirement Overview'!G:G))</f>
        <v>Peritas</v>
      </c>
      <c r="H31" s="470" t="s">
        <v>315</v>
      </c>
      <c r="I31" s="702" t="s">
        <v>316</v>
      </c>
      <c r="J31" s="497" t="s">
        <v>317</v>
      </c>
      <c r="K31" s="702">
        <v>9880711626</v>
      </c>
      <c r="L31" s="702" t="s">
        <v>318</v>
      </c>
      <c r="M31" s="702" t="s">
        <v>319</v>
      </c>
      <c r="N31" s="496" t="s">
        <v>320</v>
      </c>
      <c r="O31" s="702" t="s">
        <v>321</v>
      </c>
      <c r="P31" s="702" t="s">
        <v>294</v>
      </c>
      <c r="Q31" s="702" t="s">
        <v>294</v>
      </c>
      <c r="R31" s="702" t="s">
        <v>295</v>
      </c>
      <c r="S31" s="702" t="s">
        <v>270</v>
      </c>
      <c r="T31" s="702" t="s">
        <v>103</v>
      </c>
      <c r="U31" s="703">
        <v>46030</v>
      </c>
      <c r="V31" s="703">
        <v>46030</v>
      </c>
      <c r="W31" s="702"/>
      <c r="X31" s="702"/>
      <c r="Y31" s="702"/>
      <c r="Z31" s="702"/>
      <c r="AA31" s="702"/>
      <c r="AB31" s="702"/>
      <c r="AC31" s="702"/>
      <c r="AD31" s="702"/>
      <c r="AE31" s="46"/>
    </row>
    <row r="32" spans="1:31" ht="14.45">
      <c r="A32" s="702" t="s">
        <v>55</v>
      </c>
      <c r="B32" s="702" t="s">
        <v>258</v>
      </c>
      <c r="C32" s="702" t="str">
        <f>IF(ISBLANK(B32),"",_xlfn.XLOOKUP(B32,Recruiter!A:A,Recruiter!B:B))</f>
        <v>Bhoomika</v>
      </c>
      <c r="D32" s="702" t="str">
        <f>IF(ISBLANK(A32),"",_xlfn.XLOOKUP(A32,'Requirement Overview'!C:C,'Requirement Overview'!E:E))</f>
        <v>Talme</v>
      </c>
      <c r="E32" s="702" t="str">
        <f>IF(ISBLANK(A32),"",_xlfn.XLOOKUP(A32,'Requirement Overview'!C:C,'Requirement Overview'!H:H))</f>
        <v>Non - IT</v>
      </c>
      <c r="F32" s="702" t="str">
        <f>IF(ISBLANK(A32),"",_xlfn.XLOOKUP(A32,'Requirement Overview'!C:C,'Requirement Overview'!I:I))</f>
        <v>Inside Sales Executive</v>
      </c>
      <c r="G32" s="702" t="str">
        <f>IF(ISBLANK(A32),"",_xlfn.XLOOKUP(A32,'Requirement Overview'!C:C,'Requirement Overview'!G:G))</f>
        <v>Peritas</v>
      </c>
      <c r="H32" s="470" t="s">
        <v>322</v>
      </c>
      <c r="I32" s="702" t="s">
        <v>316</v>
      </c>
      <c r="J32" s="497" t="s">
        <v>323</v>
      </c>
      <c r="K32" s="702">
        <v>9380875136</v>
      </c>
      <c r="L32" s="702" t="s">
        <v>318</v>
      </c>
      <c r="M32" s="702" t="s">
        <v>324</v>
      </c>
      <c r="N32" s="496" t="s">
        <v>325</v>
      </c>
      <c r="O32" s="702" t="s">
        <v>314</v>
      </c>
      <c r="P32" s="702" t="s">
        <v>326</v>
      </c>
      <c r="Q32" s="702" t="s">
        <v>294</v>
      </c>
      <c r="R32" s="702" t="s">
        <v>327</v>
      </c>
      <c r="S32" s="702" t="s">
        <v>270</v>
      </c>
      <c r="T32" s="702" t="s">
        <v>271</v>
      </c>
      <c r="U32" s="703">
        <v>46030</v>
      </c>
      <c r="V32" s="703">
        <v>46030</v>
      </c>
      <c r="W32" s="702"/>
      <c r="X32" s="702"/>
      <c r="Y32" s="702"/>
      <c r="Z32" s="702"/>
      <c r="AA32" s="702"/>
      <c r="AB32" s="702"/>
      <c r="AC32" s="702"/>
      <c r="AD32" s="702"/>
      <c r="AE32" s="46"/>
    </row>
    <row r="33" spans="1:31" ht="14.45">
      <c r="A33" s="702" t="s">
        <v>59</v>
      </c>
      <c r="B33" s="702" t="s">
        <v>258</v>
      </c>
      <c r="C33" s="702" t="str">
        <f>IF(ISBLANK(B33),"",_xlfn.XLOOKUP(B33,Recruiter!A:A,Recruiter!B:B))</f>
        <v>Bhoomika</v>
      </c>
      <c r="D33" s="702" t="str">
        <f>IF(ISBLANK(A33),"",_xlfn.XLOOKUP(A33,'Requirement Overview'!C:C,'Requirement Overview'!E:E))</f>
        <v>Talme</v>
      </c>
      <c r="E33" s="702" t="str">
        <f>IF(ISBLANK(A33),"",_xlfn.XLOOKUP(A33,'Requirement Overview'!C:C,'Requirement Overview'!H:H))</f>
        <v>Non - IT</v>
      </c>
      <c r="F33" s="702" t="str">
        <f>IF(ISBLANK(A33),"",_xlfn.XLOOKUP(A33,'Requirement Overview'!C:C,'Requirement Overview'!I:I))</f>
        <v>Field Sales Executive</v>
      </c>
      <c r="G33" s="702" t="str">
        <f>IF(ISBLANK(A33),"",_xlfn.XLOOKUP(A33,'Requirement Overview'!C:C,'Requirement Overview'!G:G))</f>
        <v>Peritas</v>
      </c>
      <c r="H33" s="470" t="s">
        <v>328</v>
      </c>
      <c r="I33" s="702" t="s">
        <v>316</v>
      </c>
      <c r="J33" s="497" t="s">
        <v>329</v>
      </c>
      <c r="K33" s="702">
        <v>9740531518</v>
      </c>
      <c r="L33" s="702" t="s">
        <v>330</v>
      </c>
      <c r="M33" s="702" t="s">
        <v>331</v>
      </c>
      <c r="N33" s="496" t="s">
        <v>332</v>
      </c>
      <c r="O33" s="702" t="s">
        <v>333</v>
      </c>
      <c r="P33" s="702" t="s">
        <v>294</v>
      </c>
      <c r="Q33" s="702" t="s">
        <v>294</v>
      </c>
      <c r="R33" s="702" t="s">
        <v>327</v>
      </c>
      <c r="S33" s="702" t="s">
        <v>270</v>
      </c>
      <c r="T33" s="702" t="s">
        <v>271</v>
      </c>
      <c r="U33" s="703">
        <v>46030</v>
      </c>
      <c r="V33" s="703">
        <v>46030</v>
      </c>
      <c r="W33" s="702"/>
      <c r="X33" s="702"/>
      <c r="Y33" s="702"/>
      <c r="Z33" s="702"/>
      <c r="AA33" s="702"/>
      <c r="AB33" s="702"/>
      <c r="AC33" s="702"/>
      <c r="AD33" s="702"/>
      <c r="AE33" s="46"/>
    </row>
    <row r="34" spans="1:31" ht="14.45">
      <c r="A34" s="702" t="s">
        <v>59</v>
      </c>
      <c r="B34" s="702" t="s">
        <v>258</v>
      </c>
      <c r="C34" s="702" t="str">
        <f>IF(ISBLANK(B34),"",_xlfn.XLOOKUP(B34,Recruiter!A:A,Recruiter!B:B))</f>
        <v>Bhoomika</v>
      </c>
      <c r="D34" s="702" t="str">
        <f>IF(ISBLANK(A34),"",_xlfn.XLOOKUP(A34,'Requirement Overview'!C:C,'Requirement Overview'!E:E))</f>
        <v>Talme</v>
      </c>
      <c r="E34" s="702" t="str">
        <f>IF(ISBLANK(A34),"",_xlfn.XLOOKUP(A34,'Requirement Overview'!C:C,'Requirement Overview'!H:H))</f>
        <v>Non - IT</v>
      </c>
      <c r="F34" s="702" t="str">
        <f>IF(ISBLANK(A34),"",_xlfn.XLOOKUP(A34,'Requirement Overview'!C:C,'Requirement Overview'!I:I))</f>
        <v>Field Sales Executive</v>
      </c>
      <c r="G34" s="702" t="str">
        <f>IF(ISBLANK(A34),"",_xlfn.XLOOKUP(A34,'Requirement Overview'!C:C,'Requirement Overview'!G:G))</f>
        <v>Peritas</v>
      </c>
      <c r="H34" s="470" t="s">
        <v>334</v>
      </c>
      <c r="I34" s="702" t="s">
        <v>316</v>
      </c>
      <c r="J34" s="497" t="s">
        <v>335</v>
      </c>
      <c r="K34" s="702" t="s">
        <v>336</v>
      </c>
      <c r="L34" s="702" t="s">
        <v>318</v>
      </c>
      <c r="M34" s="702" t="s">
        <v>337</v>
      </c>
      <c r="N34" s="496" t="s">
        <v>338</v>
      </c>
      <c r="O34" s="702" t="s">
        <v>301</v>
      </c>
      <c r="P34" s="702" t="s">
        <v>294</v>
      </c>
      <c r="Q34" s="702" t="s">
        <v>294</v>
      </c>
      <c r="R34" s="702" t="s">
        <v>339</v>
      </c>
      <c r="S34" s="702" t="s">
        <v>270</v>
      </c>
      <c r="T34" s="702" t="s">
        <v>271</v>
      </c>
      <c r="U34" s="703">
        <v>46030</v>
      </c>
      <c r="V34" s="703">
        <v>46030</v>
      </c>
      <c r="W34" s="702"/>
      <c r="X34" s="702"/>
      <c r="Y34" s="702"/>
      <c r="Z34" s="702"/>
      <c r="AA34" s="702"/>
      <c r="AB34" s="702"/>
      <c r="AC34" s="702"/>
      <c r="AD34" s="702"/>
      <c r="AE34" s="46"/>
    </row>
    <row r="35" spans="1:31" ht="14.45">
      <c r="A35" s="47" t="s">
        <v>33</v>
      </c>
      <c r="B35" s="47" t="s">
        <v>340</v>
      </c>
      <c r="C35" s="47" t="str">
        <f>IF(ISBLANK(B35),"",_xlfn.XLOOKUP(B35,Recruiter!A:A,Recruiter!B:B))</f>
        <v>Harshitha</v>
      </c>
      <c r="D35" s="47" t="str">
        <f>IF(ISBLANK(A35),"",_xlfn.XLOOKUP(A35,'Requirement Overview'!C:C,'Requirement Overview'!E:E))</f>
        <v>Talme</v>
      </c>
      <c r="E35" s="47" t="str">
        <f>IF(ISBLANK(A35),"",_xlfn.XLOOKUP(A35,'Requirement Overview'!C:C,'Requirement Overview'!H:H))</f>
        <v>IT</v>
      </c>
      <c r="F35" s="47" t="str">
        <f>IF(ISBLANK(A35),"",_xlfn.XLOOKUP(A35,'Requirement Overview'!C:C,'Requirement Overview'!I:I))</f>
        <v>Python Architect</v>
      </c>
      <c r="G35" s="255" t="str">
        <f>IF(ISBLANK(A35),"",_xlfn.XLOOKUP(A35,'Requirement Overview'!C:C,'Requirement Overview'!G:G))</f>
        <v>EMIDS</v>
      </c>
      <c r="H35" s="429" t="s">
        <v>341</v>
      </c>
      <c r="I35" s="565" t="s">
        <v>316</v>
      </c>
      <c r="J35" s="566" t="s">
        <v>342</v>
      </c>
      <c r="K35" s="567">
        <v>9456903676</v>
      </c>
      <c r="L35" s="184" t="s">
        <v>305</v>
      </c>
      <c r="M35" s="47" t="s">
        <v>343</v>
      </c>
      <c r="N35" s="432" t="s">
        <v>344</v>
      </c>
      <c r="O35" s="47" t="s">
        <v>345</v>
      </c>
      <c r="P35" s="47"/>
      <c r="Q35" s="47"/>
      <c r="R35" s="47" t="s">
        <v>346</v>
      </c>
      <c r="S35" s="47" t="s">
        <v>270</v>
      </c>
      <c r="T35" s="47" t="s">
        <v>103</v>
      </c>
      <c r="U35" s="118">
        <v>46030</v>
      </c>
      <c r="V35" s="118">
        <v>46030</v>
      </c>
      <c r="W35" s="47" t="s">
        <v>347</v>
      </c>
      <c r="X35" s="47"/>
      <c r="Y35" s="47"/>
      <c r="Z35" s="47"/>
      <c r="AA35" s="47"/>
      <c r="AB35" s="47"/>
      <c r="AC35" s="47"/>
      <c r="AD35" s="47"/>
    </row>
    <row r="36" spans="1:31" ht="14.45">
      <c r="A36" s="24" t="s">
        <v>33</v>
      </c>
      <c r="B36" s="24" t="s">
        <v>340</v>
      </c>
      <c r="C36" s="24" t="str">
        <f>IF(ISBLANK(B36),"",_xlfn.XLOOKUP(B36,Recruiter!A:A,Recruiter!B:B))</f>
        <v>Harshitha</v>
      </c>
      <c r="D36" s="24" t="str">
        <f>IF(ISBLANK(A36),"",_xlfn.XLOOKUP(A36,'Requirement Overview'!C:C,'Requirement Overview'!E:E))</f>
        <v>Talme</v>
      </c>
      <c r="E36" s="24" t="str">
        <f>IF(ISBLANK(A36),"",_xlfn.XLOOKUP(A36,'Requirement Overview'!C:C,'Requirement Overview'!H:H))</f>
        <v>IT</v>
      </c>
      <c r="F36" s="24" t="str">
        <f>IF(ISBLANK(A36),"",_xlfn.XLOOKUP(A36,'Requirement Overview'!C:C,'Requirement Overview'!I:I))</f>
        <v>Python Architect</v>
      </c>
      <c r="G36" s="58" t="str">
        <f>IF(ISBLANK(A36),"",_xlfn.XLOOKUP(A36,'Requirement Overview'!C:C,'Requirement Overview'!G:G))</f>
        <v>EMIDS</v>
      </c>
      <c r="H36" s="185" t="s">
        <v>348</v>
      </c>
      <c r="I36" s="154"/>
      <c r="J36" s="193" t="s">
        <v>349</v>
      </c>
      <c r="K36" s="38">
        <v>9900297636</v>
      </c>
      <c r="L36" s="46" t="s">
        <v>350</v>
      </c>
      <c r="M36" s="24" t="s">
        <v>351</v>
      </c>
      <c r="N36" s="91" t="s">
        <v>352</v>
      </c>
      <c r="O36" s="24" t="s">
        <v>353</v>
      </c>
      <c r="R36" s="24" t="s">
        <v>345</v>
      </c>
      <c r="S36" s="24" t="s">
        <v>270</v>
      </c>
      <c r="T36" s="24" t="s">
        <v>103</v>
      </c>
      <c r="U36" s="29">
        <v>46030</v>
      </c>
      <c r="V36" s="29">
        <v>46030</v>
      </c>
      <c r="W36" s="24" t="s">
        <v>347</v>
      </c>
    </row>
    <row r="37" spans="1:31" ht="14.45">
      <c r="A37" s="24" t="s">
        <v>33</v>
      </c>
      <c r="B37" s="24" t="s">
        <v>340</v>
      </c>
      <c r="C37" s="24" t="str">
        <f>IF(ISBLANK(B37),"",_xlfn.XLOOKUP(B37,Recruiter!A:A,Recruiter!B:B))</f>
        <v>Harshitha</v>
      </c>
      <c r="D37" s="24" t="str">
        <f>IF(ISBLANK(A37),"",_xlfn.XLOOKUP(A37,'Requirement Overview'!C:C,'Requirement Overview'!E:E))</f>
        <v>Talme</v>
      </c>
      <c r="E37" s="24" t="str">
        <f>IF(ISBLANK(A37),"",_xlfn.XLOOKUP(A37,'Requirement Overview'!C:C,'Requirement Overview'!H:H))</f>
        <v>IT</v>
      </c>
      <c r="F37" s="24" t="str">
        <f>IF(ISBLANK(A37),"",_xlfn.XLOOKUP(A37,'Requirement Overview'!C:C,'Requirement Overview'!I:I))</f>
        <v>Python Architect</v>
      </c>
      <c r="G37" s="58" t="str">
        <f>IF(ISBLANK(A37),"",_xlfn.XLOOKUP(A37,'Requirement Overview'!C:C,'Requirement Overview'!G:G))</f>
        <v>EMIDS</v>
      </c>
      <c r="H37" s="185" t="s">
        <v>354</v>
      </c>
      <c r="I37" s="154"/>
      <c r="J37" s="193" t="s">
        <v>355</v>
      </c>
      <c r="K37" s="38">
        <v>8639873718</v>
      </c>
      <c r="L37" s="46" t="s">
        <v>305</v>
      </c>
      <c r="M37" s="24" t="s">
        <v>356</v>
      </c>
      <c r="N37" s="91" t="s">
        <v>357</v>
      </c>
      <c r="O37" s="24" t="s">
        <v>358</v>
      </c>
      <c r="R37" s="24" t="s">
        <v>359</v>
      </c>
      <c r="S37" s="24" t="s">
        <v>360</v>
      </c>
      <c r="T37" s="24" t="s">
        <v>103</v>
      </c>
      <c r="U37" s="29">
        <v>46030</v>
      </c>
      <c r="V37" s="29">
        <v>46030</v>
      </c>
      <c r="W37" s="24" t="s">
        <v>361</v>
      </c>
      <c r="X37" s="29">
        <v>46037</v>
      </c>
      <c r="Y37" s="24" t="s">
        <v>362</v>
      </c>
    </row>
    <row r="38" spans="1:31" ht="14.45">
      <c r="A38" s="24" t="s">
        <v>35</v>
      </c>
      <c r="B38" s="24" t="s">
        <v>340</v>
      </c>
      <c r="C38" s="24" t="str">
        <f>IF(ISBLANK(B38),"",_xlfn.XLOOKUP(B38,Recruiter!A:A,Recruiter!B:B))</f>
        <v>Harshitha</v>
      </c>
      <c r="D38" s="24" t="str">
        <f>IF(ISBLANK(A38),"",_xlfn.XLOOKUP(A38,'Requirement Overview'!C:C,'Requirement Overview'!E:E))</f>
        <v>Talme</v>
      </c>
      <c r="E38" s="24" t="str">
        <f>IF(ISBLANK(A38),"",_xlfn.XLOOKUP(A38,'Requirement Overview'!C:C,'Requirement Overview'!H:H))</f>
        <v>IT</v>
      </c>
      <c r="F38" s="24" t="str">
        <f>IF(ISBLANK(A38),"",_xlfn.XLOOKUP(A38,'Requirement Overview'!C:C,'Requirement Overview'!I:I))</f>
        <v>Windows system adminstrator</v>
      </c>
      <c r="G38" s="58" t="str">
        <f>IF(ISBLANK(A38),"",_xlfn.XLOOKUP(A38,'Requirement Overview'!C:C,'Requirement Overview'!G:G))</f>
        <v>EMIDS</v>
      </c>
      <c r="H38" s="185" t="s">
        <v>363</v>
      </c>
      <c r="I38" s="154"/>
      <c r="J38" s="59" t="s">
        <v>364</v>
      </c>
      <c r="K38" s="21">
        <v>7683937847</v>
      </c>
      <c r="L38" s="46" t="s">
        <v>305</v>
      </c>
      <c r="M38" s="24" t="s">
        <v>365</v>
      </c>
      <c r="N38" s="91" t="s">
        <v>366</v>
      </c>
      <c r="O38" s="24" t="s">
        <v>367</v>
      </c>
      <c r="R38" s="24" t="s">
        <v>368</v>
      </c>
      <c r="S38" s="24" t="s">
        <v>240</v>
      </c>
      <c r="T38" s="24" t="s">
        <v>103</v>
      </c>
      <c r="U38" s="29">
        <v>46030</v>
      </c>
      <c r="V38" s="29">
        <v>46030</v>
      </c>
    </row>
    <row r="39" spans="1:31" ht="14.45">
      <c r="A39" s="24" t="s">
        <v>35</v>
      </c>
      <c r="B39" s="24" t="s">
        <v>340</v>
      </c>
      <c r="C39" s="24" t="str">
        <f>IF(ISBLANK(B39),"",_xlfn.XLOOKUP(B39,Recruiter!A:A,Recruiter!B:B))</f>
        <v>Harshitha</v>
      </c>
      <c r="D39" s="24" t="str">
        <f>IF(ISBLANK(A39),"",_xlfn.XLOOKUP(A39,'Requirement Overview'!C:C,'Requirement Overview'!E:E))</f>
        <v>Talme</v>
      </c>
      <c r="E39" s="24" t="str">
        <f>IF(ISBLANK(A39),"",_xlfn.XLOOKUP(A39,'Requirement Overview'!C:C,'Requirement Overview'!H:H))</f>
        <v>IT</v>
      </c>
      <c r="F39" s="24" t="str">
        <f>IF(ISBLANK(A39),"",_xlfn.XLOOKUP(A39,'Requirement Overview'!C:C,'Requirement Overview'!I:I))</f>
        <v>Windows system adminstrator</v>
      </c>
      <c r="G39" s="58" t="str">
        <f>IF(ISBLANK(A39),"",_xlfn.XLOOKUP(A39,'Requirement Overview'!C:C,'Requirement Overview'!G:G))</f>
        <v>EMIDS</v>
      </c>
      <c r="H39" s="185" t="s">
        <v>369</v>
      </c>
      <c r="I39" s="154"/>
      <c r="J39" s="59" t="s">
        <v>370</v>
      </c>
      <c r="K39" s="21">
        <v>9550345310</v>
      </c>
      <c r="L39" s="46" t="s">
        <v>305</v>
      </c>
      <c r="M39" s="24" t="s">
        <v>371</v>
      </c>
      <c r="N39" s="91" t="s">
        <v>372</v>
      </c>
      <c r="O39" s="24" t="s">
        <v>373</v>
      </c>
      <c r="R39" s="24" t="s">
        <v>374</v>
      </c>
      <c r="S39" s="24" t="s">
        <v>375</v>
      </c>
      <c r="T39" s="24" t="s">
        <v>103</v>
      </c>
      <c r="U39" s="29">
        <v>46030</v>
      </c>
      <c r="V39" s="29">
        <v>46030</v>
      </c>
    </row>
    <row r="40" spans="1:31" ht="14.45">
      <c r="A40" s="24" t="s">
        <v>35</v>
      </c>
      <c r="B40" s="24" t="s">
        <v>340</v>
      </c>
      <c r="C40" s="24" t="str">
        <f>IF(ISBLANK(B40),"",_xlfn.XLOOKUP(B40,Recruiter!A:A,Recruiter!B:B))</f>
        <v>Harshitha</v>
      </c>
      <c r="D40" s="24" t="str">
        <f>IF(ISBLANK(A40),"",_xlfn.XLOOKUP(A40,'Requirement Overview'!C:C,'Requirement Overview'!E:E))</f>
        <v>Talme</v>
      </c>
      <c r="E40" s="24" t="str">
        <f>IF(ISBLANK(A40),"",_xlfn.XLOOKUP(A40,'Requirement Overview'!C:C,'Requirement Overview'!H:H))</f>
        <v>IT</v>
      </c>
      <c r="F40" s="24" t="str">
        <f>IF(ISBLANK(A40),"",_xlfn.XLOOKUP(A40,'Requirement Overview'!C:C,'Requirement Overview'!I:I))</f>
        <v>Windows system adminstrator</v>
      </c>
      <c r="G40" s="58" t="str">
        <f>IF(ISBLANK(A40),"",_xlfn.XLOOKUP(A40,'Requirement Overview'!C:C,'Requirement Overview'!G:G))</f>
        <v>EMIDS</v>
      </c>
      <c r="H40" s="185" t="s">
        <v>376</v>
      </c>
      <c r="I40" s="154"/>
      <c r="J40" s="59" t="s">
        <v>377</v>
      </c>
      <c r="K40" s="21">
        <v>7017152771</v>
      </c>
      <c r="L40" s="46" t="s">
        <v>378</v>
      </c>
      <c r="M40" s="24" t="s">
        <v>379</v>
      </c>
      <c r="N40" s="91" t="s">
        <v>380</v>
      </c>
      <c r="O40" s="24" t="s">
        <v>381</v>
      </c>
      <c r="R40" s="24" t="s">
        <v>382</v>
      </c>
      <c r="S40" s="24" t="s">
        <v>240</v>
      </c>
      <c r="T40" s="24" t="s">
        <v>240</v>
      </c>
      <c r="U40" s="29">
        <v>46030</v>
      </c>
      <c r="V40" s="29">
        <v>46030</v>
      </c>
    </row>
    <row r="41" spans="1:31" ht="14.45">
      <c r="A41" s="24" t="s">
        <v>35</v>
      </c>
      <c r="B41" s="24" t="s">
        <v>340</v>
      </c>
      <c r="C41" s="24" t="str">
        <f>IF(ISBLANK(B41),"",_xlfn.XLOOKUP(B41,Recruiter!A:A,Recruiter!B:B))</f>
        <v>Harshitha</v>
      </c>
      <c r="D41" s="24" t="str">
        <f>IF(ISBLANK(A41),"",_xlfn.XLOOKUP(A41,'Requirement Overview'!C:C,'Requirement Overview'!E:E))</f>
        <v>Talme</v>
      </c>
      <c r="E41" s="24" t="str">
        <f>IF(ISBLANK(A41),"",_xlfn.XLOOKUP(A41,'Requirement Overview'!C:C,'Requirement Overview'!H:H))</f>
        <v>IT</v>
      </c>
      <c r="F41" s="24" t="str">
        <f>IF(ISBLANK(A41),"",_xlfn.XLOOKUP(A41,'Requirement Overview'!C:C,'Requirement Overview'!I:I))</f>
        <v>Windows system adminstrator</v>
      </c>
      <c r="G41" s="58" t="str">
        <f>IF(ISBLANK(A41),"",_xlfn.XLOOKUP(A41,'Requirement Overview'!C:C,'Requirement Overview'!G:G))</f>
        <v>EMIDS</v>
      </c>
      <c r="H41" s="185" t="s">
        <v>383</v>
      </c>
      <c r="I41" s="154"/>
      <c r="J41" s="59" t="s">
        <v>384</v>
      </c>
      <c r="K41" s="21">
        <v>9699738072</v>
      </c>
      <c r="L41" s="46" t="s">
        <v>305</v>
      </c>
      <c r="M41" s="24" t="s">
        <v>371</v>
      </c>
      <c r="N41" s="91" t="s">
        <v>385</v>
      </c>
      <c r="O41" s="24" t="s">
        <v>381</v>
      </c>
      <c r="R41" s="24" t="s">
        <v>386</v>
      </c>
      <c r="S41" s="24" t="s">
        <v>240</v>
      </c>
      <c r="T41" s="24" t="s">
        <v>103</v>
      </c>
      <c r="U41" s="29">
        <v>46030</v>
      </c>
      <c r="V41" s="29">
        <v>46030</v>
      </c>
    </row>
    <row r="42" spans="1:31" ht="14.45">
      <c r="A42" s="24" t="s">
        <v>35</v>
      </c>
      <c r="B42" s="24" t="s">
        <v>340</v>
      </c>
      <c r="C42" s="24" t="str">
        <f>IF(ISBLANK(B42),"",_xlfn.XLOOKUP(B42,Recruiter!A:A,Recruiter!B:B))</f>
        <v>Harshitha</v>
      </c>
      <c r="D42" s="24" t="str">
        <f>IF(ISBLANK(A42),"",_xlfn.XLOOKUP(A42,'Requirement Overview'!C:C,'Requirement Overview'!E:E))</f>
        <v>Talme</v>
      </c>
      <c r="E42" s="24" t="str">
        <f>IF(ISBLANK(A42),"",_xlfn.XLOOKUP(A42,'Requirement Overview'!C:C,'Requirement Overview'!H:H))</f>
        <v>IT</v>
      </c>
      <c r="F42" s="24" t="str">
        <f>IF(ISBLANK(A42),"",_xlfn.XLOOKUP(A42,'Requirement Overview'!C:C,'Requirement Overview'!I:I))</f>
        <v>Windows system adminstrator</v>
      </c>
      <c r="G42" s="58" t="str">
        <f>IF(ISBLANK(A42),"",_xlfn.XLOOKUP(A42,'Requirement Overview'!C:C,'Requirement Overview'!G:G))</f>
        <v>EMIDS</v>
      </c>
      <c r="H42" s="185" t="s">
        <v>387</v>
      </c>
      <c r="I42" s="154"/>
      <c r="J42" s="59" t="s">
        <v>388</v>
      </c>
      <c r="K42" s="21">
        <v>7799560844</v>
      </c>
      <c r="L42" s="46" t="s">
        <v>389</v>
      </c>
      <c r="M42" s="24" t="s">
        <v>390</v>
      </c>
      <c r="N42" s="91" t="s">
        <v>391</v>
      </c>
      <c r="O42" s="24" t="s">
        <v>392</v>
      </c>
      <c r="R42" s="24" t="s">
        <v>386</v>
      </c>
      <c r="S42" s="24" t="s">
        <v>240</v>
      </c>
      <c r="T42" s="24" t="s">
        <v>103</v>
      </c>
      <c r="U42" s="29">
        <v>46030</v>
      </c>
      <c r="V42" s="29">
        <v>46030</v>
      </c>
    </row>
    <row r="43" spans="1:31" ht="14.45">
      <c r="A43" s="24" t="s">
        <v>35</v>
      </c>
      <c r="B43" s="24" t="s">
        <v>340</v>
      </c>
      <c r="C43" s="24" t="str">
        <f>IF(ISBLANK(B43),"",_xlfn.XLOOKUP(B43,Recruiter!A:A,Recruiter!B:B))</f>
        <v>Harshitha</v>
      </c>
      <c r="D43" s="24" t="str">
        <f>IF(ISBLANK(A43),"",_xlfn.XLOOKUP(A43,'Requirement Overview'!C:C,'Requirement Overview'!E:E))</f>
        <v>Talme</v>
      </c>
      <c r="E43" s="24" t="str">
        <f>IF(ISBLANK(A43),"",_xlfn.XLOOKUP(A43,'Requirement Overview'!C:C,'Requirement Overview'!H:H))</f>
        <v>IT</v>
      </c>
      <c r="F43" s="24" t="str">
        <f>IF(ISBLANK(A43),"",_xlfn.XLOOKUP(A43,'Requirement Overview'!C:C,'Requirement Overview'!I:I))</f>
        <v>Windows system adminstrator</v>
      </c>
      <c r="G43" s="58" t="str">
        <f>IF(ISBLANK(A43),"",_xlfn.XLOOKUP(A43,'Requirement Overview'!C:C,'Requirement Overview'!G:G))</f>
        <v>EMIDS</v>
      </c>
      <c r="H43" s="185" t="s">
        <v>393</v>
      </c>
      <c r="I43" s="154"/>
      <c r="J43" s="59" t="s">
        <v>394</v>
      </c>
      <c r="K43" s="21">
        <v>7975905615</v>
      </c>
      <c r="L43" s="156" t="s">
        <v>305</v>
      </c>
      <c r="M43" s="21" t="s">
        <v>395</v>
      </c>
      <c r="N43" s="91" t="s">
        <v>396</v>
      </c>
      <c r="O43" s="21" t="s">
        <v>382</v>
      </c>
      <c r="P43" s="21"/>
      <c r="Q43" s="21"/>
      <c r="R43" s="21" t="s">
        <v>374</v>
      </c>
      <c r="S43" s="24" t="s">
        <v>360</v>
      </c>
      <c r="T43" s="24" t="s">
        <v>103</v>
      </c>
      <c r="U43" s="29">
        <v>46029</v>
      </c>
      <c r="V43" s="29">
        <v>46029</v>
      </c>
      <c r="W43" s="24" t="s">
        <v>361</v>
      </c>
      <c r="X43" s="29">
        <v>46037</v>
      </c>
      <c r="Y43" s="24" t="s">
        <v>362</v>
      </c>
    </row>
    <row r="44" spans="1:31" ht="14.45">
      <c r="A44" s="24" t="s">
        <v>35</v>
      </c>
      <c r="B44" s="24" t="s">
        <v>340</v>
      </c>
      <c r="C44" s="24" t="str">
        <f>IF(ISBLANK(B44),"",_xlfn.XLOOKUP(B44,Recruiter!A:A,Recruiter!B:B))</f>
        <v>Harshitha</v>
      </c>
      <c r="D44" s="24" t="str">
        <f>IF(ISBLANK(A44),"",_xlfn.XLOOKUP(A44,'Requirement Overview'!C:C,'Requirement Overview'!E:E))</f>
        <v>Talme</v>
      </c>
      <c r="E44" s="24" t="str">
        <f>IF(ISBLANK(A44),"",_xlfn.XLOOKUP(A44,'Requirement Overview'!C:C,'Requirement Overview'!H:H))</f>
        <v>IT</v>
      </c>
      <c r="F44" s="24" t="str">
        <f>IF(ISBLANK(A44),"",_xlfn.XLOOKUP(A44,'Requirement Overview'!C:C,'Requirement Overview'!I:I))</f>
        <v>Windows system adminstrator</v>
      </c>
      <c r="G44" s="58" t="str">
        <f>IF(ISBLANK(A44),"",_xlfn.XLOOKUP(A44,'Requirement Overview'!C:C,'Requirement Overview'!G:G))</f>
        <v>EMIDS</v>
      </c>
      <c r="H44" s="185" t="s">
        <v>397</v>
      </c>
      <c r="I44" s="154"/>
      <c r="J44" s="59" t="s">
        <v>398</v>
      </c>
      <c r="K44" s="21">
        <v>9381023541</v>
      </c>
      <c r="L44" s="156" t="s">
        <v>350</v>
      </c>
      <c r="M44" s="21" t="s">
        <v>399</v>
      </c>
      <c r="N44" s="91" t="s">
        <v>400</v>
      </c>
      <c r="O44" s="21" t="s">
        <v>401</v>
      </c>
      <c r="P44" s="21"/>
      <c r="Q44" s="21"/>
      <c r="R44" s="21" t="s">
        <v>386</v>
      </c>
      <c r="S44" s="24" t="s">
        <v>270</v>
      </c>
      <c r="T44" s="24" t="s">
        <v>103</v>
      </c>
      <c r="U44" s="29">
        <v>46029</v>
      </c>
      <c r="V44" s="29">
        <v>46029</v>
      </c>
      <c r="W44" s="24" t="s">
        <v>347</v>
      </c>
    </row>
    <row r="45" spans="1:31" ht="14.45">
      <c r="A45" s="24" t="s">
        <v>35</v>
      </c>
      <c r="B45" s="24" t="s">
        <v>340</v>
      </c>
      <c r="C45" s="24" t="str">
        <f>IF(ISBLANK(B45),"",_xlfn.XLOOKUP(B45,Recruiter!A:A,Recruiter!B:B))</f>
        <v>Harshitha</v>
      </c>
      <c r="D45" s="24" t="str">
        <f>IF(ISBLANK(A45),"",_xlfn.XLOOKUP(A45,'Requirement Overview'!C:C,'Requirement Overview'!E:E))</f>
        <v>Talme</v>
      </c>
      <c r="E45" s="24" t="str">
        <f>IF(ISBLANK(A45),"",_xlfn.XLOOKUP(A45,'Requirement Overview'!C:C,'Requirement Overview'!H:H))</f>
        <v>IT</v>
      </c>
      <c r="F45" s="24" t="str">
        <f>IF(ISBLANK(A45),"",_xlfn.XLOOKUP(A45,'Requirement Overview'!C:C,'Requirement Overview'!I:I))</f>
        <v>Windows system adminstrator</v>
      </c>
      <c r="G45" s="58" t="str">
        <f>IF(ISBLANK(A45),"",_xlfn.XLOOKUP(A45,'Requirement Overview'!C:C,'Requirement Overview'!G:G))</f>
        <v>EMIDS</v>
      </c>
      <c r="H45" s="185" t="s">
        <v>402</v>
      </c>
      <c r="I45" s="154"/>
      <c r="J45" s="59" t="s">
        <v>403</v>
      </c>
      <c r="K45" s="38">
        <v>9546892142</v>
      </c>
      <c r="L45" s="156" t="s">
        <v>404</v>
      </c>
      <c r="M45" s="21" t="s">
        <v>405</v>
      </c>
      <c r="N45" s="91" t="s">
        <v>406</v>
      </c>
      <c r="O45" s="21" t="s">
        <v>381</v>
      </c>
      <c r="P45" s="21"/>
      <c r="Q45" s="21"/>
      <c r="R45" s="21" t="s">
        <v>407</v>
      </c>
      <c r="S45" s="24" t="s">
        <v>360</v>
      </c>
      <c r="T45" s="24" t="s">
        <v>103</v>
      </c>
      <c r="U45" s="29">
        <v>46029</v>
      </c>
      <c r="V45" s="29">
        <v>46029</v>
      </c>
      <c r="W45" s="24" t="s">
        <v>361</v>
      </c>
      <c r="X45" s="29">
        <v>46037</v>
      </c>
      <c r="Y45" s="24" t="s">
        <v>362</v>
      </c>
    </row>
    <row r="46" spans="1:31" ht="14.45">
      <c r="A46" s="24" t="s">
        <v>35</v>
      </c>
      <c r="B46" s="24" t="s">
        <v>340</v>
      </c>
      <c r="C46" s="24" t="str">
        <f>IF(ISBLANK(B46),"",_xlfn.XLOOKUP(B46,Recruiter!A:A,Recruiter!B:B))</f>
        <v>Harshitha</v>
      </c>
      <c r="D46" s="24" t="str">
        <f>IF(ISBLANK(A46),"",_xlfn.XLOOKUP(A46,'Requirement Overview'!C:C,'Requirement Overview'!E:E))</f>
        <v>Talme</v>
      </c>
      <c r="E46" s="24" t="str">
        <f>IF(ISBLANK(A46),"",_xlfn.XLOOKUP(A46,'Requirement Overview'!C:C,'Requirement Overview'!H:H))</f>
        <v>IT</v>
      </c>
      <c r="F46" s="24" t="str">
        <f>IF(ISBLANK(A46),"",_xlfn.XLOOKUP(A46,'Requirement Overview'!C:C,'Requirement Overview'!I:I))</f>
        <v>Windows system adminstrator</v>
      </c>
      <c r="G46" s="58" t="str">
        <f>IF(ISBLANK(A46),"",_xlfn.XLOOKUP(A46,'Requirement Overview'!C:C,'Requirement Overview'!G:G))</f>
        <v>EMIDS</v>
      </c>
      <c r="H46" s="185" t="s">
        <v>408</v>
      </c>
      <c r="I46" s="154"/>
      <c r="J46" s="59" t="s">
        <v>409</v>
      </c>
      <c r="K46" s="21">
        <v>9008654476</v>
      </c>
      <c r="L46" s="156" t="s">
        <v>305</v>
      </c>
      <c r="M46" s="21" t="s">
        <v>379</v>
      </c>
      <c r="N46" s="91" t="s">
        <v>410</v>
      </c>
      <c r="O46" s="21" t="s">
        <v>411</v>
      </c>
      <c r="P46" s="21"/>
      <c r="Q46" s="21"/>
      <c r="R46" s="21" t="s">
        <v>386</v>
      </c>
      <c r="S46" s="24" t="s">
        <v>270</v>
      </c>
      <c r="T46" s="24" t="s">
        <v>103</v>
      </c>
      <c r="U46" s="29">
        <v>46029</v>
      </c>
      <c r="V46" s="29">
        <v>46029</v>
      </c>
      <c r="W46" s="24" t="s">
        <v>347</v>
      </c>
    </row>
    <row r="47" spans="1:31" ht="14.45">
      <c r="A47" s="24" t="s">
        <v>35</v>
      </c>
      <c r="B47" s="24" t="s">
        <v>340</v>
      </c>
      <c r="C47" s="24" t="str">
        <f>IF(ISBLANK(B47),"",_xlfn.XLOOKUP(B47,Recruiter!A:A,Recruiter!B:B))</f>
        <v>Harshitha</v>
      </c>
      <c r="D47" s="24" t="str">
        <f>IF(ISBLANK(A47),"",_xlfn.XLOOKUP(A47,'Requirement Overview'!C:C,'Requirement Overview'!E:E))</f>
        <v>Talme</v>
      </c>
      <c r="E47" s="24" t="str">
        <f>IF(ISBLANK(A47),"",_xlfn.XLOOKUP(A47,'Requirement Overview'!C:C,'Requirement Overview'!H:H))</f>
        <v>IT</v>
      </c>
      <c r="F47" s="24" t="str">
        <f>IF(ISBLANK(A47),"",_xlfn.XLOOKUP(A47,'Requirement Overview'!C:C,'Requirement Overview'!I:I))</f>
        <v>Windows system adminstrator</v>
      </c>
      <c r="G47" s="58" t="str">
        <f>IF(ISBLANK(A47),"",_xlfn.XLOOKUP(A47,'Requirement Overview'!C:C,'Requirement Overview'!G:G))</f>
        <v>EMIDS</v>
      </c>
      <c r="H47" s="185" t="s">
        <v>412</v>
      </c>
      <c r="I47" s="154"/>
      <c r="J47" s="59" t="s">
        <v>413</v>
      </c>
      <c r="K47" s="21">
        <v>8445865760</v>
      </c>
      <c r="L47" s="156" t="s">
        <v>330</v>
      </c>
      <c r="M47" s="21" t="s">
        <v>414</v>
      </c>
      <c r="N47" s="91" t="s">
        <v>415</v>
      </c>
      <c r="O47" s="21" t="s">
        <v>381</v>
      </c>
      <c r="P47" s="21"/>
      <c r="Q47" s="21"/>
      <c r="R47" s="21" t="s">
        <v>416</v>
      </c>
      <c r="S47" s="24" t="s">
        <v>270</v>
      </c>
      <c r="T47" s="24" t="s">
        <v>103</v>
      </c>
      <c r="U47" s="29">
        <v>46029</v>
      </c>
      <c r="V47" s="29">
        <v>46029</v>
      </c>
      <c r="W47" s="24" t="s">
        <v>347</v>
      </c>
    </row>
    <row r="48" spans="1:31" ht="14.45">
      <c r="A48" s="24" t="s">
        <v>35</v>
      </c>
      <c r="B48" s="24" t="s">
        <v>340</v>
      </c>
      <c r="C48" s="24" t="str">
        <f>IF(ISBLANK(B48),"",_xlfn.XLOOKUP(B48,Recruiter!A:A,Recruiter!B:B))</f>
        <v>Harshitha</v>
      </c>
      <c r="D48" s="24" t="str">
        <f>IF(ISBLANK(A48),"",_xlfn.XLOOKUP(A48,'Requirement Overview'!C:C,'Requirement Overview'!E:E))</f>
        <v>Talme</v>
      </c>
      <c r="E48" s="24" t="str">
        <f>IF(ISBLANK(A48),"",_xlfn.XLOOKUP(A48,'Requirement Overview'!C:C,'Requirement Overview'!H:H))</f>
        <v>IT</v>
      </c>
      <c r="F48" s="24" t="str">
        <f>IF(ISBLANK(A48),"",_xlfn.XLOOKUP(A48,'Requirement Overview'!C:C,'Requirement Overview'!I:I))</f>
        <v>Windows system adminstrator</v>
      </c>
      <c r="G48" s="58" t="str">
        <f>IF(ISBLANK(A48),"",_xlfn.XLOOKUP(A48,'Requirement Overview'!C:C,'Requirement Overview'!G:G))</f>
        <v>EMIDS</v>
      </c>
      <c r="H48" s="185" t="s">
        <v>417</v>
      </c>
      <c r="I48" s="154"/>
      <c r="J48" s="59" t="s">
        <v>418</v>
      </c>
      <c r="K48" s="21">
        <v>6362987622</v>
      </c>
      <c r="L48" s="156" t="s">
        <v>305</v>
      </c>
      <c r="M48" s="21" t="s">
        <v>395</v>
      </c>
      <c r="N48" s="91" t="s">
        <v>415</v>
      </c>
      <c r="O48" s="21" t="s">
        <v>367</v>
      </c>
      <c r="P48" s="21"/>
      <c r="Q48" s="21"/>
      <c r="R48" s="21" t="s">
        <v>368</v>
      </c>
      <c r="S48" s="24" t="s">
        <v>270</v>
      </c>
      <c r="T48" s="24" t="s">
        <v>103</v>
      </c>
      <c r="U48" s="29">
        <v>46029</v>
      </c>
      <c r="V48" s="29">
        <v>46029</v>
      </c>
      <c r="W48" s="24" t="s">
        <v>347</v>
      </c>
    </row>
    <row r="49" spans="1:31" ht="14.45">
      <c r="A49" s="24" t="s">
        <v>35</v>
      </c>
      <c r="B49" s="24" t="s">
        <v>340</v>
      </c>
      <c r="C49" s="24" t="str">
        <f>IF(ISBLANK(B49),"",_xlfn.XLOOKUP(B49,Recruiter!A:A,Recruiter!B:B))</f>
        <v>Harshitha</v>
      </c>
      <c r="D49" s="24" t="str">
        <f>IF(ISBLANK(A49),"",_xlfn.XLOOKUP(A49,'Requirement Overview'!C:C,'Requirement Overview'!E:E))</f>
        <v>Talme</v>
      </c>
      <c r="E49" s="24" t="str">
        <f>IF(ISBLANK(A49),"",_xlfn.XLOOKUP(A49,'Requirement Overview'!C:C,'Requirement Overview'!H:H))</f>
        <v>IT</v>
      </c>
      <c r="F49" s="24" t="str">
        <f>IF(ISBLANK(A49),"",_xlfn.XLOOKUP(A49,'Requirement Overview'!C:C,'Requirement Overview'!I:I))</f>
        <v>Windows system adminstrator</v>
      </c>
      <c r="G49" s="58" t="str">
        <f>IF(ISBLANK(A49),"",_xlfn.XLOOKUP(A49,'Requirement Overview'!C:C,'Requirement Overview'!G:G))</f>
        <v>EMIDS</v>
      </c>
      <c r="H49" s="185" t="s">
        <v>419</v>
      </c>
      <c r="I49" s="154"/>
      <c r="J49" s="59" t="s">
        <v>420</v>
      </c>
      <c r="K49" s="21">
        <v>7289872757</v>
      </c>
      <c r="L49" s="156" t="s">
        <v>421</v>
      </c>
      <c r="M49" s="21" t="s">
        <v>395</v>
      </c>
      <c r="N49" s="91" t="s">
        <v>422</v>
      </c>
      <c r="O49" s="21" t="s">
        <v>423</v>
      </c>
      <c r="P49" s="21"/>
      <c r="Q49" s="21"/>
      <c r="R49" s="21" t="s">
        <v>424</v>
      </c>
      <c r="S49" s="24" t="s">
        <v>270</v>
      </c>
      <c r="T49" s="24" t="s">
        <v>103</v>
      </c>
      <c r="U49" s="29">
        <v>46029</v>
      </c>
      <c r="V49" s="29">
        <v>46029</v>
      </c>
      <c r="W49" s="24" t="s">
        <v>347</v>
      </c>
    </row>
    <row r="50" spans="1:31" ht="14.45">
      <c r="A50" s="24" t="s">
        <v>35</v>
      </c>
      <c r="B50" s="24" t="s">
        <v>340</v>
      </c>
      <c r="C50" s="24" t="str">
        <f>IF(ISBLANK(B50),"",_xlfn.XLOOKUP(B50,Recruiter!A:A,Recruiter!B:B))</f>
        <v>Harshitha</v>
      </c>
      <c r="D50" s="24" t="str">
        <f>IF(ISBLANK(A50),"",_xlfn.XLOOKUP(A50,'Requirement Overview'!C:C,'Requirement Overview'!E:E))</f>
        <v>Talme</v>
      </c>
      <c r="E50" s="24" t="str">
        <f>IF(ISBLANK(A50),"",_xlfn.XLOOKUP(A50,'Requirement Overview'!C:C,'Requirement Overview'!H:H))</f>
        <v>IT</v>
      </c>
      <c r="F50" s="24" t="str">
        <f>IF(ISBLANK(A50),"",_xlfn.XLOOKUP(A50,'Requirement Overview'!C:C,'Requirement Overview'!I:I))</f>
        <v>Windows system adminstrator</v>
      </c>
      <c r="G50" s="58" t="str">
        <f>IF(ISBLANK(A50),"",_xlfn.XLOOKUP(A50,'Requirement Overview'!C:C,'Requirement Overview'!G:G))</f>
        <v>EMIDS</v>
      </c>
      <c r="H50" s="185" t="s">
        <v>425</v>
      </c>
      <c r="I50" s="154"/>
      <c r="J50" s="59" t="s">
        <v>426</v>
      </c>
      <c r="K50" s="21">
        <v>8586086798</v>
      </c>
      <c r="L50" s="156" t="s">
        <v>427</v>
      </c>
      <c r="M50" s="21" t="s">
        <v>379</v>
      </c>
      <c r="N50" s="91" t="s">
        <v>428</v>
      </c>
      <c r="O50" s="21" t="s">
        <v>429</v>
      </c>
      <c r="P50" s="21"/>
      <c r="Q50" s="21"/>
      <c r="R50" s="21" t="s">
        <v>386</v>
      </c>
      <c r="S50" s="24" t="s">
        <v>270</v>
      </c>
      <c r="T50" s="24" t="s">
        <v>103</v>
      </c>
      <c r="U50" s="29">
        <v>46029</v>
      </c>
      <c r="V50" s="29">
        <v>46029</v>
      </c>
      <c r="W50" s="24" t="s">
        <v>347</v>
      </c>
    </row>
    <row r="51" spans="1:31" ht="14.45">
      <c r="A51" s="24" t="s">
        <v>35</v>
      </c>
      <c r="B51" s="24" t="s">
        <v>340</v>
      </c>
      <c r="C51" s="24" t="str">
        <f>IF(ISBLANK(B51),"",_xlfn.XLOOKUP(B51,Recruiter!A:A,Recruiter!B:B))</f>
        <v>Harshitha</v>
      </c>
      <c r="D51" s="24" t="str">
        <f>IF(ISBLANK(A51),"",_xlfn.XLOOKUP(A51,'Requirement Overview'!C:C,'Requirement Overview'!E:E))</f>
        <v>Talme</v>
      </c>
      <c r="E51" s="24" t="str">
        <f>IF(ISBLANK(A51),"",_xlfn.XLOOKUP(A51,'Requirement Overview'!C:C,'Requirement Overview'!H:H))</f>
        <v>IT</v>
      </c>
      <c r="F51" s="24" t="str">
        <f>IF(ISBLANK(A51),"",_xlfn.XLOOKUP(A51,'Requirement Overview'!C:C,'Requirement Overview'!I:I))</f>
        <v>Windows system adminstrator</v>
      </c>
      <c r="G51" s="58" t="str">
        <f>IF(ISBLANK(A51),"",_xlfn.XLOOKUP(A51,'Requirement Overview'!C:C,'Requirement Overview'!G:G))</f>
        <v>EMIDS</v>
      </c>
      <c r="H51" s="185" t="s">
        <v>430</v>
      </c>
      <c r="I51" s="154"/>
      <c r="J51" s="59" t="s">
        <v>431</v>
      </c>
      <c r="K51" s="21">
        <v>9598212872</v>
      </c>
      <c r="L51" s="156" t="s">
        <v>432</v>
      </c>
      <c r="M51" s="21" t="s">
        <v>395</v>
      </c>
      <c r="N51" s="91" t="s">
        <v>433</v>
      </c>
      <c r="O51" s="21" t="s">
        <v>434</v>
      </c>
      <c r="P51" s="21"/>
      <c r="Q51" s="21"/>
      <c r="R51" s="21" t="s">
        <v>407</v>
      </c>
      <c r="S51" s="24" t="s">
        <v>270</v>
      </c>
      <c r="T51" s="24" t="s">
        <v>103</v>
      </c>
      <c r="U51" s="29">
        <v>46029</v>
      </c>
      <c r="V51" s="29">
        <v>46029</v>
      </c>
      <c r="W51" s="24" t="s">
        <v>347</v>
      </c>
    </row>
    <row r="52" spans="1:31" ht="14.45">
      <c r="A52" s="24" t="s">
        <v>35</v>
      </c>
      <c r="B52" s="24" t="s">
        <v>340</v>
      </c>
      <c r="C52" s="24" t="str">
        <f>IF(ISBLANK(B52),"",_xlfn.XLOOKUP(B52,Recruiter!A:A,Recruiter!B:B))</f>
        <v>Harshitha</v>
      </c>
      <c r="D52" s="24" t="str">
        <f>IF(ISBLANK(A52),"",_xlfn.XLOOKUP(A52,'Requirement Overview'!C:C,'Requirement Overview'!E:E))</f>
        <v>Talme</v>
      </c>
      <c r="E52" s="24" t="str">
        <f>IF(ISBLANK(A52),"",_xlfn.XLOOKUP(A52,'Requirement Overview'!C:C,'Requirement Overview'!H:H))</f>
        <v>IT</v>
      </c>
      <c r="F52" s="24" t="str">
        <f>IF(ISBLANK(A52),"",_xlfn.XLOOKUP(A52,'Requirement Overview'!C:C,'Requirement Overview'!I:I))</f>
        <v>Windows system adminstrator</v>
      </c>
      <c r="G52" s="58" t="str">
        <f>IF(ISBLANK(A52),"",_xlfn.XLOOKUP(A52,'Requirement Overview'!C:C,'Requirement Overview'!G:G))</f>
        <v>EMIDS</v>
      </c>
      <c r="H52" s="185" t="s">
        <v>435</v>
      </c>
      <c r="I52" s="154"/>
      <c r="J52" s="59" t="s">
        <v>436</v>
      </c>
      <c r="K52" s="21">
        <v>8096286100</v>
      </c>
      <c r="L52" s="156" t="s">
        <v>305</v>
      </c>
      <c r="M52" s="21" t="s">
        <v>437</v>
      </c>
      <c r="N52" s="91" t="s">
        <v>438</v>
      </c>
      <c r="O52" s="21" t="s">
        <v>368</v>
      </c>
      <c r="P52" s="21"/>
      <c r="Q52" s="21"/>
      <c r="R52" s="21" t="s">
        <v>439</v>
      </c>
      <c r="S52" s="24" t="s">
        <v>375</v>
      </c>
      <c r="T52" s="24" t="s">
        <v>271</v>
      </c>
      <c r="U52" s="29">
        <v>46029</v>
      </c>
      <c r="V52" s="29">
        <v>46029</v>
      </c>
      <c r="W52" s="24" t="s">
        <v>361</v>
      </c>
    </row>
    <row r="53" spans="1:31" ht="14.45">
      <c r="A53" s="24" t="s">
        <v>33</v>
      </c>
      <c r="B53" s="24" t="s">
        <v>236</v>
      </c>
      <c r="C53" s="24" t="str">
        <f>IF(ISBLANK(B53),"",_xlfn.XLOOKUP(B53,Recruiter!A:A,Recruiter!B:B))</f>
        <v>Pooja</v>
      </c>
      <c r="D53" s="24" t="str">
        <f>IF(ISBLANK(A53),"",_xlfn.XLOOKUP(A53,'Requirement Overview'!C:C,'Requirement Overview'!E:E))</f>
        <v>Talme</v>
      </c>
      <c r="E53" s="24" t="str">
        <f>IF(ISBLANK(A53),"",_xlfn.XLOOKUP(A53,'Requirement Overview'!C:C,'Requirement Overview'!H:H))</f>
        <v>IT</v>
      </c>
      <c r="F53" s="24" t="str">
        <f>IF(ISBLANK(A53),"",_xlfn.XLOOKUP(A53,'Requirement Overview'!C:C,'Requirement Overview'!I:I))</f>
        <v>Python Architect</v>
      </c>
      <c r="G53" s="58" t="str">
        <f>IF(ISBLANK(A53),"",_xlfn.XLOOKUP(A53,'Requirement Overview'!C:C,'Requirement Overview'!G:G))</f>
        <v>EMIDS</v>
      </c>
      <c r="H53" s="185" t="s">
        <v>440</v>
      </c>
      <c r="I53" s="156"/>
      <c r="J53" s="195" t="s">
        <v>441</v>
      </c>
      <c r="K53" s="21">
        <v>7068120242</v>
      </c>
      <c r="L53" s="46" t="s">
        <v>350</v>
      </c>
      <c r="M53" s="21" t="s">
        <v>442</v>
      </c>
      <c r="N53" s="91" t="s">
        <v>443</v>
      </c>
      <c r="O53" s="24" t="s">
        <v>444</v>
      </c>
      <c r="R53" s="24" t="s">
        <v>445</v>
      </c>
      <c r="S53" s="24" t="s">
        <v>360</v>
      </c>
      <c r="T53" s="24" t="s">
        <v>103</v>
      </c>
      <c r="U53" s="29">
        <v>46031</v>
      </c>
      <c r="V53" s="29">
        <v>46031</v>
      </c>
      <c r="X53" s="29">
        <v>46039</v>
      </c>
    </row>
    <row r="54" spans="1:31" ht="14.45">
      <c r="A54" s="24" t="s">
        <v>33</v>
      </c>
      <c r="B54" s="24" t="s">
        <v>236</v>
      </c>
      <c r="C54" s="24" t="str">
        <f>IF(ISBLANK(B54),"",_xlfn.XLOOKUP(B54,Recruiter!A:A,Recruiter!B:B))</f>
        <v>Pooja</v>
      </c>
      <c r="D54" s="24" t="str">
        <f>IF(ISBLANK(A54),"",_xlfn.XLOOKUP(A54,'Requirement Overview'!C:C,'Requirement Overview'!E:E))</f>
        <v>Talme</v>
      </c>
      <c r="E54" s="24" t="str">
        <f>IF(ISBLANK(A54),"",_xlfn.XLOOKUP(A54,'Requirement Overview'!C:C,'Requirement Overview'!H:H))</f>
        <v>IT</v>
      </c>
      <c r="F54" s="24" t="str">
        <f>IF(ISBLANK(A54),"",_xlfn.XLOOKUP(A54,'Requirement Overview'!C:C,'Requirement Overview'!I:I))</f>
        <v>Python Architect</v>
      </c>
      <c r="G54" s="58" t="str">
        <f>IF(ISBLANK(A54),"",_xlfn.XLOOKUP(A54,'Requirement Overview'!C:C,'Requirement Overview'!G:G))</f>
        <v>EMIDS</v>
      </c>
      <c r="H54" s="185" t="s">
        <v>446</v>
      </c>
      <c r="I54" s="156"/>
      <c r="J54" s="195" t="s">
        <v>447</v>
      </c>
      <c r="K54" s="21">
        <v>8050641316</v>
      </c>
      <c r="L54" s="46" t="s">
        <v>378</v>
      </c>
      <c r="M54" s="24" t="s">
        <v>448</v>
      </c>
      <c r="N54" s="91" t="s">
        <v>449</v>
      </c>
      <c r="O54" s="24" t="s">
        <v>450</v>
      </c>
      <c r="R54" s="24" t="s">
        <v>345</v>
      </c>
      <c r="S54" s="24" t="s">
        <v>360</v>
      </c>
      <c r="T54" s="24" t="s">
        <v>103</v>
      </c>
      <c r="U54" s="29">
        <v>46031</v>
      </c>
      <c r="V54" s="29">
        <v>46031</v>
      </c>
      <c r="X54" s="29">
        <v>46041</v>
      </c>
    </row>
    <row r="55" spans="1:31" ht="14.45">
      <c r="A55" s="24" t="s">
        <v>33</v>
      </c>
      <c r="B55" s="24" t="s">
        <v>236</v>
      </c>
      <c r="C55" s="24" t="str">
        <f>IF(ISBLANK(B55),"",_xlfn.XLOOKUP(B55,Recruiter!A:A,Recruiter!B:B))</f>
        <v>Pooja</v>
      </c>
      <c r="D55" s="24" t="str">
        <f>IF(ISBLANK(A55),"",_xlfn.XLOOKUP(A55,'Requirement Overview'!C:C,'Requirement Overview'!E:E))</f>
        <v>Talme</v>
      </c>
      <c r="E55" s="24" t="str">
        <f>IF(ISBLANK(A55),"",_xlfn.XLOOKUP(A55,'Requirement Overview'!C:C,'Requirement Overview'!H:H))</f>
        <v>IT</v>
      </c>
      <c r="F55" s="24" t="str">
        <f>IF(ISBLANK(A55),"",_xlfn.XLOOKUP(A55,'Requirement Overview'!C:C,'Requirement Overview'!I:I))</f>
        <v>Python Architect</v>
      </c>
      <c r="G55" s="58" t="str">
        <f>IF(ISBLANK(A55),"",_xlfn.XLOOKUP(A55,'Requirement Overview'!C:C,'Requirement Overview'!G:G))</f>
        <v>EMIDS</v>
      </c>
      <c r="H55" s="185" t="s">
        <v>451</v>
      </c>
      <c r="I55" s="156"/>
      <c r="J55" s="195" t="s">
        <v>452</v>
      </c>
      <c r="K55" s="21">
        <v>9045737395</v>
      </c>
      <c r="L55" s="46" t="s">
        <v>378</v>
      </c>
      <c r="M55" s="24" t="s">
        <v>453</v>
      </c>
      <c r="N55" s="91" t="s">
        <v>454</v>
      </c>
      <c r="O55" s="24" t="s">
        <v>353</v>
      </c>
      <c r="R55" s="24" t="s">
        <v>455</v>
      </c>
      <c r="S55" s="24" t="s">
        <v>360</v>
      </c>
      <c r="T55" s="24" t="s">
        <v>103</v>
      </c>
      <c r="U55" s="29">
        <v>46031</v>
      </c>
      <c r="V55" s="29">
        <v>46031</v>
      </c>
      <c r="X55" s="29">
        <v>46039</v>
      </c>
    </row>
    <row r="56" spans="1:31" ht="14.45">
      <c r="A56" s="24" t="s">
        <v>35</v>
      </c>
      <c r="B56" s="24" t="s">
        <v>340</v>
      </c>
      <c r="C56" s="24" t="str">
        <f>IF(ISBLANK(B56),"",_xlfn.XLOOKUP(B56,Recruiter!A:A,Recruiter!B:B))</f>
        <v>Harshitha</v>
      </c>
      <c r="D56" s="24" t="str">
        <f>IF(ISBLANK(A56),"",_xlfn.XLOOKUP(A56,'Requirement Overview'!C:C,'Requirement Overview'!E:E))</f>
        <v>Talme</v>
      </c>
      <c r="E56" s="24" t="str">
        <f>IF(ISBLANK(A56),"",_xlfn.XLOOKUP(A56,'Requirement Overview'!C:C,'Requirement Overview'!H:H))</f>
        <v>IT</v>
      </c>
      <c r="F56" s="24" t="str">
        <f>IF(ISBLANK(A56),"",_xlfn.XLOOKUP(A56,'Requirement Overview'!C:C,'Requirement Overview'!I:I))</f>
        <v>Windows system adminstrator</v>
      </c>
      <c r="G56" s="58" t="str">
        <f>IF(ISBLANK(A56),"",_xlfn.XLOOKUP(A56,'Requirement Overview'!C:C,'Requirement Overview'!G:G))</f>
        <v>EMIDS</v>
      </c>
      <c r="H56" s="185" t="s">
        <v>456</v>
      </c>
      <c r="I56" s="154"/>
      <c r="J56" s="193" t="s">
        <v>457</v>
      </c>
      <c r="K56" s="38">
        <v>8171446365</v>
      </c>
      <c r="L56" s="46" t="s">
        <v>458</v>
      </c>
      <c r="M56" s="24" t="s">
        <v>379</v>
      </c>
      <c r="N56" s="91" t="s">
        <v>406</v>
      </c>
      <c r="O56" s="24" t="s">
        <v>367</v>
      </c>
      <c r="R56" s="24" t="s">
        <v>386</v>
      </c>
      <c r="S56" s="24" t="s">
        <v>375</v>
      </c>
      <c r="T56" s="24" t="s">
        <v>103</v>
      </c>
      <c r="U56" s="29">
        <v>46031</v>
      </c>
      <c r="V56" s="29">
        <v>46031</v>
      </c>
      <c r="W56" s="24" t="s">
        <v>361</v>
      </c>
      <c r="X56" s="29">
        <v>46034</v>
      </c>
    </row>
    <row r="57" spans="1:31" ht="14.45">
      <c r="A57" s="24" t="s">
        <v>35</v>
      </c>
      <c r="B57" s="24" t="s">
        <v>340</v>
      </c>
      <c r="C57" s="24" t="str">
        <f>IF(ISBLANK(B57),"",_xlfn.XLOOKUP(B57,Recruiter!A:A,Recruiter!B:B))</f>
        <v>Harshitha</v>
      </c>
      <c r="D57" s="24" t="str">
        <f>IF(ISBLANK(A57),"",_xlfn.XLOOKUP(A57,'Requirement Overview'!C:C,'Requirement Overview'!E:E))</f>
        <v>Talme</v>
      </c>
      <c r="E57" s="24" t="str">
        <f>IF(ISBLANK(A57),"",_xlfn.XLOOKUP(A57,'Requirement Overview'!C:C,'Requirement Overview'!H:H))</f>
        <v>IT</v>
      </c>
      <c r="F57" s="24" t="str">
        <f>IF(ISBLANK(A57),"",_xlfn.XLOOKUP(A57,'Requirement Overview'!C:C,'Requirement Overview'!I:I))</f>
        <v>Windows system adminstrator</v>
      </c>
      <c r="G57" s="58" t="str">
        <f>IF(ISBLANK(A57),"",_xlfn.XLOOKUP(A57,'Requirement Overview'!C:C,'Requirement Overview'!G:G))</f>
        <v>EMIDS</v>
      </c>
      <c r="H57" s="185" t="s">
        <v>459</v>
      </c>
      <c r="I57" s="154"/>
      <c r="J57" s="193" t="s">
        <v>460</v>
      </c>
      <c r="K57" s="38">
        <v>9607049916</v>
      </c>
      <c r="L57" s="46" t="s">
        <v>305</v>
      </c>
      <c r="M57" s="24" t="s">
        <v>395</v>
      </c>
      <c r="N57" s="91" t="s">
        <v>461</v>
      </c>
      <c r="O57" s="24" t="s">
        <v>367</v>
      </c>
      <c r="R57" s="24" t="s">
        <v>407</v>
      </c>
      <c r="S57" s="24" t="s">
        <v>375</v>
      </c>
      <c r="T57" s="24" t="s">
        <v>103</v>
      </c>
      <c r="U57" s="29">
        <v>46031</v>
      </c>
      <c r="V57" s="29">
        <v>46031</v>
      </c>
      <c r="W57" s="24" t="s">
        <v>361</v>
      </c>
      <c r="X57" s="29">
        <v>46034</v>
      </c>
    </row>
    <row r="58" spans="1:31" ht="14.45">
      <c r="A58" s="24" t="s">
        <v>35</v>
      </c>
      <c r="B58" s="24" t="s">
        <v>340</v>
      </c>
      <c r="C58" s="24" t="str">
        <f>IF(ISBLANK(B58),"",_xlfn.XLOOKUP(B58,Recruiter!A:A,Recruiter!B:B))</f>
        <v>Harshitha</v>
      </c>
      <c r="D58" s="24" t="str">
        <f>IF(ISBLANK(A58),"",_xlfn.XLOOKUP(A58,'Requirement Overview'!C:C,'Requirement Overview'!E:E))</f>
        <v>Talme</v>
      </c>
      <c r="E58" s="24" t="str">
        <f>IF(ISBLANK(A58),"",_xlfn.XLOOKUP(A58,'Requirement Overview'!C:C,'Requirement Overview'!H:H))</f>
        <v>IT</v>
      </c>
      <c r="F58" s="24" t="str">
        <f>IF(ISBLANK(A58),"",_xlfn.XLOOKUP(A58,'Requirement Overview'!C:C,'Requirement Overview'!I:I))</f>
        <v>Windows system adminstrator</v>
      </c>
      <c r="G58" s="58" t="str">
        <f>IF(ISBLANK(A58),"",_xlfn.XLOOKUP(A58,'Requirement Overview'!C:C,'Requirement Overview'!G:G))</f>
        <v>EMIDS</v>
      </c>
      <c r="H58" s="185" t="s">
        <v>462</v>
      </c>
      <c r="I58" s="154"/>
      <c r="J58" s="193" t="s">
        <v>463</v>
      </c>
      <c r="K58" s="38">
        <v>8121182073</v>
      </c>
      <c r="L58" s="46" t="s">
        <v>305</v>
      </c>
      <c r="M58" s="24" t="s">
        <v>395</v>
      </c>
      <c r="N58" s="91" t="s">
        <v>464</v>
      </c>
      <c r="O58" s="24" t="s">
        <v>386</v>
      </c>
      <c r="R58" s="24" t="s">
        <v>374</v>
      </c>
      <c r="S58" s="24" t="s">
        <v>375</v>
      </c>
      <c r="T58" s="24" t="s">
        <v>103</v>
      </c>
      <c r="U58" s="29">
        <v>46031</v>
      </c>
      <c r="V58" s="29">
        <v>46031</v>
      </c>
      <c r="W58" s="24" t="s">
        <v>361</v>
      </c>
      <c r="X58" s="29">
        <v>46034</v>
      </c>
    </row>
    <row r="59" spans="1:31" ht="14.45">
      <c r="A59" s="24" t="s">
        <v>44</v>
      </c>
      <c r="B59" s="24" t="s">
        <v>340</v>
      </c>
      <c r="C59" s="24" t="str">
        <f>IF(ISBLANK(B59),"",_xlfn.XLOOKUP(B59,Recruiter!A:A,Recruiter!B:B))</f>
        <v>Harshitha</v>
      </c>
      <c r="D59" s="24" t="str">
        <f>IF(ISBLANK(A59),"",_xlfn.XLOOKUP(A59,'Requirement Overview'!C:C,'Requirement Overview'!E:E))</f>
        <v>Talme</v>
      </c>
      <c r="E59" s="24" t="str">
        <f>IF(ISBLANK(A59),"",_xlfn.XLOOKUP(A59,'Requirement Overview'!C:C,'Requirement Overview'!H:H))</f>
        <v>IT</v>
      </c>
      <c r="F59" s="24" t="str">
        <f>IF(ISBLANK(A59),"",_xlfn.XLOOKUP(A59,'Requirement Overview'!C:C,'Requirement Overview'!I:I))</f>
        <v>Data Delivery Manager</v>
      </c>
      <c r="G59" s="58" t="str">
        <f>IF(ISBLANK(A59),"",_xlfn.XLOOKUP(A59,'Requirement Overview'!C:C,'Requirement Overview'!G:G))</f>
        <v>Thoughtfocus</v>
      </c>
      <c r="H59" s="185" t="s">
        <v>465</v>
      </c>
      <c r="I59" s="154"/>
      <c r="J59" s="193" t="s">
        <v>466</v>
      </c>
      <c r="K59" s="28">
        <v>9663289898</v>
      </c>
      <c r="L59" s="46" t="s">
        <v>311</v>
      </c>
      <c r="M59" s="39" t="s">
        <v>343</v>
      </c>
      <c r="N59" s="91" t="s">
        <v>467</v>
      </c>
      <c r="O59" s="39" t="s">
        <v>468</v>
      </c>
      <c r="P59" s="39"/>
      <c r="Q59" s="39"/>
      <c r="R59" s="39" t="s">
        <v>469</v>
      </c>
      <c r="S59" s="24" t="s">
        <v>470</v>
      </c>
      <c r="T59" s="24" t="s">
        <v>103</v>
      </c>
      <c r="U59" s="29">
        <v>46031</v>
      </c>
      <c r="V59" s="29">
        <v>46031</v>
      </c>
    </row>
    <row r="60" spans="1:31" ht="14.45">
      <c r="A60" s="24" t="s">
        <v>44</v>
      </c>
      <c r="B60" s="24" t="s">
        <v>340</v>
      </c>
      <c r="C60" s="24" t="str">
        <f>IF(ISBLANK(B60),"",_xlfn.XLOOKUP(B60,Recruiter!A:A,Recruiter!B:B))</f>
        <v>Harshitha</v>
      </c>
      <c r="D60" s="24" t="str">
        <f>IF(ISBLANK(A60),"",_xlfn.XLOOKUP(A60,'Requirement Overview'!C:C,'Requirement Overview'!E:E))</f>
        <v>Talme</v>
      </c>
      <c r="E60" s="24" t="str">
        <f>IF(ISBLANK(A60),"",_xlfn.XLOOKUP(A60,'Requirement Overview'!C:C,'Requirement Overview'!H:H))</f>
        <v>IT</v>
      </c>
      <c r="F60" s="24" t="str">
        <f>IF(ISBLANK(A60),"",_xlfn.XLOOKUP(A60,'Requirement Overview'!C:C,'Requirement Overview'!I:I))</f>
        <v>Data Delivery Manager</v>
      </c>
      <c r="G60" s="58" t="str">
        <f>IF(ISBLANK(A60),"",_xlfn.XLOOKUP(A60,'Requirement Overview'!C:C,'Requirement Overview'!G:G))</f>
        <v>Thoughtfocus</v>
      </c>
      <c r="H60" s="185" t="s">
        <v>471</v>
      </c>
      <c r="I60" s="156"/>
      <c r="J60" s="196" t="s">
        <v>472</v>
      </c>
      <c r="K60" s="21">
        <v>8010464869</v>
      </c>
      <c r="L60" s="46" t="s">
        <v>378</v>
      </c>
      <c r="M60" s="21" t="s">
        <v>343</v>
      </c>
      <c r="N60" s="91" t="s">
        <v>473</v>
      </c>
      <c r="O60" s="21" t="s">
        <v>474</v>
      </c>
      <c r="P60" s="21"/>
      <c r="Q60" s="21"/>
      <c r="R60" s="21" t="s">
        <v>475</v>
      </c>
      <c r="S60" s="24" t="s">
        <v>470</v>
      </c>
      <c r="T60" s="24" t="s">
        <v>103</v>
      </c>
      <c r="U60" s="29">
        <v>46031</v>
      </c>
      <c r="V60" s="29">
        <v>46031</v>
      </c>
    </row>
    <row r="61" spans="1:31" ht="14.45">
      <c r="A61" s="24" t="s">
        <v>44</v>
      </c>
      <c r="B61" s="24" t="s">
        <v>340</v>
      </c>
      <c r="C61" s="24" t="str">
        <f>IF(ISBLANK(B61),"",_xlfn.XLOOKUP(B61,Recruiter!A:A,Recruiter!B:B))</f>
        <v>Harshitha</v>
      </c>
      <c r="D61" s="24" t="str">
        <f>IF(ISBLANK(A61),"",_xlfn.XLOOKUP(A61,'Requirement Overview'!C:C,'Requirement Overview'!E:E))</f>
        <v>Talme</v>
      </c>
      <c r="E61" s="24" t="str">
        <f>IF(ISBLANK(A61),"",_xlfn.XLOOKUP(A61,'Requirement Overview'!C:C,'Requirement Overview'!H:H))</f>
        <v>IT</v>
      </c>
      <c r="F61" s="24" t="str">
        <f>IF(ISBLANK(A61),"",_xlfn.XLOOKUP(A61,'Requirement Overview'!C:C,'Requirement Overview'!I:I))</f>
        <v>Data Delivery Manager</v>
      </c>
      <c r="G61" s="58" t="str">
        <f>IF(ISBLANK(A61),"",_xlfn.XLOOKUP(A61,'Requirement Overview'!C:C,'Requirement Overview'!G:G))</f>
        <v>Thoughtfocus</v>
      </c>
      <c r="H61" s="185" t="s">
        <v>476</v>
      </c>
      <c r="I61" s="154"/>
      <c r="J61" s="59" t="s">
        <v>477</v>
      </c>
      <c r="K61" s="28">
        <v>8951736588</v>
      </c>
      <c r="L61" s="46" t="s">
        <v>311</v>
      </c>
      <c r="M61" s="21" t="s">
        <v>478</v>
      </c>
      <c r="N61" s="91" t="s">
        <v>479</v>
      </c>
      <c r="O61" s="21" t="s">
        <v>475</v>
      </c>
      <c r="P61" s="21"/>
      <c r="Q61" s="21"/>
      <c r="R61" s="21" t="s">
        <v>480</v>
      </c>
      <c r="S61" s="24" t="s">
        <v>470</v>
      </c>
      <c r="T61" s="24" t="s">
        <v>103</v>
      </c>
      <c r="U61" s="29">
        <v>46031</v>
      </c>
      <c r="V61" s="29">
        <v>46031</v>
      </c>
    </row>
    <row r="62" spans="1:31" ht="14.45">
      <c r="A62" s="24" t="s">
        <v>44</v>
      </c>
      <c r="B62" s="24" t="s">
        <v>340</v>
      </c>
      <c r="C62" s="24" t="str">
        <f>IF(ISBLANK(B62),"",_xlfn.XLOOKUP(B62,Recruiter!A:A,Recruiter!B:B))</f>
        <v>Harshitha</v>
      </c>
      <c r="D62" s="24" t="str">
        <f>IF(ISBLANK(A62),"",_xlfn.XLOOKUP(A62,'Requirement Overview'!C:C,'Requirement Overview'!E:E))</f>
        <v>Talme</v>
      </c>
      <c r="E62" s="24" t="str">
        <f>IF(ISBLANK(A62),"",_xlfn.XLOOKUP(A62,'Requirement Overview'!C:C,'Requirement Overview'!H:H))</f>
        <v>IT</v>
      </c>
      <c r="F62" s="24" t="str">
        <f>IF(ISBLANK(A62),"",_xlfn.XLOOKUP(A62,'Requirement Overview'!C:C,'Requirement Overview'!I:I))</f>
        <v>Data Delivery Manager</v>
      </c>
      <c r="G62" s="58" t="str">
        <f>IF(ISBLANK(A62),"",_xlfn.XLOOKUP(A62,'Requirement Overview'!C:C,'Requirement Overview'!G:G))</f>
        <v>Thoughtfocus</v>
      </c>
      <c r="H62" s="185" t="s">
        <v>481</v>
      </c>
      <c r="I62" s="157"/>
      <c r="J62" s="59" t="s">
        <v>482</v>
      </c>
      <c r="K62" s="28">
        <v>8754994013</v>
      </c>
      <c r="L62" s="46" t="s">
        <v>421</v>
      </c>
      <c r="M62" s="21" t="s">
        <v>483</v>
      </c>
      <c r="N62" s="91" t="s">
        <v>484</v>
      </c>
      <c r="O62" s="21" t="s">
        <v>450</v>
      </c>
      <c r="P62" s="21"/>
      <c r="Q62" s="21"/>
      <c r="R62" s="21" t="s">
        <v>455</v>
      </c>
      <c r="S62" s="24" t="s">
        <v>470</v>
      </c>
      <c r="T62" s="24" t="s">
        <v>103</v>
      </c>
      <c r="U62" s="29">
        <v>46031</v>
      </c>
      <c r="V62" s="29">
        <v>46031</v>
      </c>
    </row>
    <row r="63" spans="1:31" ht="14.45">
      <c r="A63" s="51" t="s">
        <v>44</v>
      </c>
      <c r="B63" s="51" t="s">
        <v>340</v>
      </c>
      <c r="C63" s="51" t="str">
        <f>IF(ISBLANK(B63),"",_xlfn.XLOOKUP(B63,Recruiter!A:A,Recruiter!B:B))</f>
        <v>Harshitha</v>
      </c>
      <c r="D63" s="51" t="str">
        <f>IF(ISBLANK(A63),"",_xlfn.XLOOKUP(A63,'Requirement Overview'!C:C,'Requirement Overview'!E:E))</f>
        <v>Talme</v>
      </c>
      <c r="E63" s="51" t="str">
        <f>IF(ISBLANK(A63),"",_xlfn.XLOOKUP(A63,'Requirement Overview'!C:C,'Requirement Overview'!H:H))</f>
        <v>IT</v>
      </c>
      <c r="F63" s="51" t="str">
        <f>IF(ISBLANK(A63),"",_xlfn.XLOOKUP(A63,'Requirement Overview'!C:C,'Requirement Overview'!I:I))</f>
        <v>Data Delivery Manager</v>
      </c>
      <c r="G63" s="62" t="str">
        <f>IF(ISBLANK(A63),"",_xlfn.XLOOKUP(A63,'Requirement Overview'!C:C,'Requirement Overview'!G:G))</f>
        <v>Thoughtfocus</v>
      </c>
      <c r="H63" s="518" t="s">
        <v>485</v>
      </c>
      <c r="I63" s="519"/>
      <c r="J63" s="225" t="s">
        <v>486</v>
      </c>
      <c r="K63" s="517">
        <v>8939715912</v>
      </c>
      <c r="L63" s="108" t="s">
        <v>311</v>
      </c>
      <c r="M63" s="517" t="s">
        <v>487</v>
      </c>
      <c r="N63" s="110" t="s">
        <v>488</v>
      </c>
      <c r="O63" s="517" t="s">
        <v>489</v>
      </c>
      <c r="P63" s="517"/>
      <c r="Q63" s="517"/>
      <c r="R63" s="517" t="s">
        <v>490</v>
      </c>
      <c r="S63" s="51" t="s">
        <v>470</v>
      </c>
      <c r="T63" s="51" t="s">
        <v>103</v>
      </c>
      <c r="U63" s="89">
        <v>46031</v>
      </c>
      <c r="V63" s="89">
        <v>46031</v>
      </c>
      <c r="W63" s="51"/>
      <c r="X63" s="51"/>
      <c r="Y63" s="51"/>
      <c r="Z63" s="51"/>
      <c r="AA63" s="51"/>
      <c r="AB63" s="51"/>
      <c r="AC63" s="51"/>
      <c r="AD63" s="51"/>
    </row>
    <row r="64" spans="1:31" ht="14.45">
      <c r="A64" s="702" t="s">
        <v>61</v>
      </c>
      <c r="B64" s="702" t="s">
        <v>258</v>
      </c>
      <c r="C64" s="702" t="str">
        <f>IF(ISBLANK(B64),"",_xlfn.XLOOKUP(B64,Recruiter!A:A,Recruiter!B:B))</f>
        <v>Bhoomika</v>
      </c>
      <c r="D64" s="702" t="str">
        <f>IF(ISBLANK(A64),"",_xlfn.XLOOKUP(A64,'Requirement Overview'!C:C,'Requirement Overview'!E:E))</f>
        <v>Talme</v>
      </c>
      <c r="E64" s="702" t="str">
        <f>IF(ISBLANK(A64),"",_xlfn.XLOOKUP(A64,'Requirement Overview'!C:C,'Requirement Overview'!H:H))</f>
        <v>Non - IT</v>
      </c>
      <c r="F64" s="702" t="str">
        <f>IF(ISBLANK(A64),"",_xlfn.XLOOKUP(A64,'Requirement Overview'!C:C,'Requirement Overview'!I:I))</f>
        <v>Graphic Designer</v>
      </c>
      <c r="G64" s="702" t="str">
        <f>IF(ISBLANK(A64),"",_xlfn.XLOOKUP(A64,'Requirement Overview'!C:C,'Requirement Overview'!G:G))</f>
        <v>Avinashi Ads</v>
      </c>
      <c r="H64" s="470" t="s">
        <v>491</v>
      </c>
      <c r="I64" s="702"/>
      <c r="J64" s="476"/>
      <c r="K64" s="702">
        <v>9025937640</v>
      </c>
      <c r="L64" s="702"/>
      <c r="M64" s="702"/>
      <c r="N64" s="496"/>
      <c r="O64" s="702"/>
      <c r="P64" s="702"/>
      <c r="Q64" s="702"/>
      <c r="R64" s="702"/>
      <c r="S64" s="702" t="s">
        <v>240</v>
      </c>
      <c r="T64" s="702" t="s">
        <v>271</v>
      </c>
      <c r="U64" s="703">
        <v>46031</v>
      </c>
      <c r="V64" s="703">
        <v>46031</v>
      </c>
      <c r="W64" s="702"/>
      <c r="X64" s="702"/>
      <c r="Y64" s="702"/>
      <c r="Z64" s="702"/>
      <c r="AA64" s="702"/>
      <c r="AB64" s="702"/>
      <c r="AC64" s="702"/>
      <c r="AD64" s="702"/>
      <c r="AE64" s="46"/>
    </row>
    <row r="65" spans="1:31" ht="14.45">
      <c r="A65" s="702" t="s">
        <v>61</v>
      </c>
      <c r="B65" s="702" t="s">
        <v>258</v>
      </c>
      <c r="C65" s="702" t="str">
        <f>IF(ISBLANK(B65),"",_xlfn.XLOOKUP(B65,Recruiter!A:A,Recruiter!B:B))</f>
        <v>Bhoomika</v>
      </c>
      <c r="D65" s="702" t="str">
        <f>IF(ISBLANK(A65),"",_xlfn.XLOOKUP(A65,'Requirement Overview'!C:C,'Requirement Overview'!E:E))</f>
        <v>Talme</v>
      </c>
      <c r="E65" s="702" t="str">
        <f>IF(ISBLANK(A65),"",_xlfn.XLOOKUP(A65,'Requirement Overview'!C:C,'Requirement Overview'!H:H))</f>
        <v>Non - IT</v>
      </c>
      <c r="F65" s="702" t="str">
        <f>IF(ISBLANK(A65),"",_xlfn.XLOOKUP(A65,'Requirement Overview'!C:C,'Requirement Overview'!I:I))</f>
        <v>Graphic Designer</v>
      </c>
      <c r="G65" s="702" t="str">
        <f>IF(ISBLANK(A65),"",_xlfn.XLOOKUP(A65,'Requirement Overview'!C:C,'Requirement Overview'!G:G))</f>
        <v>Avinashi Ads</v>
      </c>
      <c r="H65" s="470" t="s">
        <v>492</v>
      </c>
      <c r="I65" s="702"/>
      <c r="J65" s="476"/>
      <c r="K65" s="702">
        <v>9716790203</v>
      </c>
      <c r="L65" s="702"/>
      <c r="M65" s="702"/>
      <c r="N65" s="496"/>
      <c r="O65" s="702"/>
      <c r="P65" s="702"/>
      <c r="Q65" s="702"/>
      <c r="R65" s="702"/>
      <c r="S65" s="702" t="s">
        <v>240</v>
      </c>
      <c r="T65" s="702" t="s">
        <v>271</v>
      </c>
      <c r="U65" s="703">
        <v>46031</v>
      </c>
      <c r="V65" s="703">
        <v>46031</v>
      </c>
      <c r="W65" s="702"/>
      <c r="X65" s="702"/>
      <c r="Y65" s="702"/>
      <c r="Z65" s="702"/>
      <c r="AA65" s="702"/>
      <c r="AB65" s="702"/>
      <c r="AC65" s="702"/>
      <c r="AD65" s="702"/>
      <c r="AE65" s="46"/>
    </row>
    <row r="66" spans="1:31" ht="14.45">
      <c r="A66" s="702" t="s">
        <v>61</v>
      </c>
      <c r="B66" s="702" t="s">
        <v>258</v>
      </c>
      <c r="C66" s="702" t="str">
        <f>IF(ISBLANK(B66),"",_xlfn.XLOOKUP(B66,Recruiter!A:A,Recruiter!B:B))</f>
        <v>Bhoomika</v>
      </c>
      <c r="D66" s="702" t="str">
        <f>IF(ISBLANK(A66),"",_xlfn.XLOOKUP(A66,'Requirement Overview'!C:C,'Requirement Overview'!E:E))</f>
        <v>Talme</v>
      </c>
      <c r="E66" s="702" t="str">
        <f>IF(ISBLANK(A66),"",_xlfn.XLOOKUP(A66,'Requirement Overview'!C:C,'Requirement Overview'!H:H))</f>
        <v>Non - IT</v>
      </c>
      <c r="F66" s="702" t="str">
        <f>IF(ISBLANK(A66),"",_xlfn.XLOOKUP(A66,'Requirement Overview'!C:C,'Requirement Overview'!I:I))</f>
        <v>Graphic Designer</v>
      </c>
      <c r="G66" s="702" t="str">
        <f>IF(ISBLANK(A66),"",_xlfn.XLOOKUP(A66,'Requirement Overview'!C:C,'Requirement Overview'!G:G))</f>
        <v>Avinashi Ads</v>
      </c>
      <c r="H66" s="470" t="s">
        <v>493</v>
      </c>
      <c r="I66" s="702"/>
      <c r="J66" s="476"/>
      <c r="K66" s="702">
        <v>6300030330</v>
      </c>
      <c r="L66" s="702"/>
      <c r="M66" s="702"/>
      <c r="N66" s="496"/>
      <c r="O66" s="702"/>
      <c r="P66" s="702"/>
      <c r="Q66" s="702"/>
      <c r="R66" s="702"/>
      <c r="S66" s="702" t="s">
        <v>240</v>
      </c>
      <c r="T66" s="702" t="s">
        <v>271</v>
      </c>
      <c r="U66" s="703">
        <v>46031</v>
      </c>
      <c r="V66" s="703">
        <v>46031</v>
      </c>
      <c r="W66" s="702"/>
      <c r="X66" s="702"/>
      <c r="Y66" s="702"/>
      <c r="Z66" s="702"/>
      <c r="AA66" s="702"/>
      <c r="AB66" s="702"/>
      <c r="AC66" s="702"/>
      <c r="AD66" s="702"/>
      <c r="AE66" s="46"/>
    </row>
    <row r="67" spans="1:31" ht="14.45">
      <c r="A67" s="702" t="s">
        <v>61</v>
      </c>
      <c r="B67" s="702" t="s">
        <v>258</v>
      </c>
      <c r="C67" s="702" t="str">
        <f>IF(ISBLANK(B67),"",_xlfn.XLOOKUP(B67,Recruiter!A:A,Recruiter!B:B))</f>
        <v>Bhoomika</v>
      </c>
      <c r="D67" s="702" t="str">
        <f>IF(ISBLANK(A67),"",_xlfn.XLOOKUP(A67,'Requirement Overview'!C:C,'Requirement Overview'!E:E))</f>
        <v>Talme</v>
      </c>
      <c r="E67" s="702" t="str">
        <f>IF(ISBLANK(A67),"",_xlfn.XLOOKUP(A67,'Requirement Overview'!C:C,'Requirement Overview'!H:H))</f>
        <v>Non - IT</v>
      </c>
      <c r="F67" s="702" t="str">
        <f>IF(ISBLANK(A67),"",_xlfn.XLOOKUP(A67,'Requirement Overview'!C:C,'Requirement Overview'!I:I))</f>
        <v>Graphic Designer</v>
      </c>
      <c r="G67" s="702" t="str">
        <f>IF(ISBLANK(A67),"",_xlfn.XLOOKUP(A67,'Requirement Overview'!C:C,'Requirement Overview'!G:G))</f>
        <v>Avinashi Ads</v>
      </c>
      <c r="H67" s="470" t="s">
        <v>494</v>
      </c>
      <c r="I67" s="702"/>
      <c r="J67" s="476"/>
      <c r="K67" s="702">
        <v>6363447926</v>
      </c>
      <c r="L67" s="702"/>
      <c r="M67" s="702"/>
      <c r="N67" s="496"/>
      <c r="O67" s="702"/>
      <c r="P67" s="702"/>
      <c r="Q67" s="702"/>
      <c r="R67" s="702"/>
      <c r="S67" s="702" t="s">
        <v>240</v>
      </c>
      <c r="T67" s="702" t="s">
        <v>271</v>
      </c>
      <c r="U67" s="703">
        <v>46031</v>
      </c>
      <c r="V67" s="703">
        <v>46031</v>
      </c>
      <c r="W67" s="702"/>
      <c r="X67" s="702"/>
      <c r="Y67" s="702"/>
      <c r="Z67" s="702"/>
      <c r="AA67" s="702"/>
      <c r="AB67" s="702"/>
      <c r="AC67" s="702"/>
      <c r="AD67" s="702"/>
      <c r="AE67" s="46"/>
    </row>
    <row r="68" spans="1:31" ht="14.45">
      <c r="A68" s="702" t="s">
        <v>61</v>
      </c>
      <c r="B68" s="702" t="s">
        <v>258</v>
      </c>
      <c r="C68" s="702" t="str">
        <f>IF(ISBLANK(B68),"",_xlfn.XLOOKUP(B68,Recruiter!A:A,Recruiter!B:B))</f>
        <v>Bhoomika</v>
      </c>
      <c r="D68" s="702" t="str">
        <f>IF(ISBLANK(A68),"",_xlfn.XLOOKUP(A68,'Requirement Overview'!C:C,'Requirement Overview'!E:E))</f>
        <v>Talme</v>
      </c>
      <c r="E68" s="702" t="str">
        <f>IF(ISBLANK(A68),"",_xlfn.XLOOKUP(A68,'Requirement Overview'!C:C,'Requirement Overview'!H:H))</f>
        <v>Non - IT</v>
      </c>
      <c r="F68" s="702" t="str">
        <f>IF(ISBLANK(A68),"",_xlfn.XLOOKUP(A68,'Requirement Overview'!C:C,'Requirement Overview'!I:I))</f>
        <v>Graphic Designer</v>
      </c>
      <c r="G68" s="702" t="str">
        <f>IF(ISBLANK(A68),"",_xlfn.XLOOKUP(A68,'Requirement Overview'!C:C,'Requirement Overview'!G:G))</f>
        <v>Avinashi Ads</v>
      </c>
      <c r="H68" s="470" t="s">
        <v>495</v>
      </c>
      <c r="I68" s="702"/>
      <c r="J68" s="476"/>
      <c r="K68" s="702">
        <v>6303733025</v>
      </c>
      <c r="L68" s="702"/>
      <c r="M68" s="702"/>
      <c r="N68" s="496"/>
      <c r="O68" s="702"/>
      <c r="P68" s="702"/>
      <c r="Q68" s="702"/>
      <c r="R68" s="702"/>
      <c r="S68" s="702" t="s">
        <v>240</v>
      </c>
      <c r="T68" s="702" t="s">
        <v>271</v>
      </c>
      <c r="U68" s="703">
        <v>46031</v>
      </c>
      <c r="V68" s="703">
        <v>46031</v>
      </c>
      <c r="W68" s="702"/>
      <c r="X68" s="702"/>
      <c r="Y68" s="702"/>
      <c r="Z68" s="702"/>
      <c r="AA68" s="702"/>
      <c r="AB68" s="702"/>
      <c r="AC68" s="702"/>
      <c r="AD68" s="702"/>
      <c r="AE68" s="46"/>
    </row>
    <row r="69" spans="1:31" ht="14.45">
      <c r="A69" s="702" t="s">
        <v>61</v>
      </c>
      <c r="B69" s="702" t="s">
        <v>258</v>
      </c>
      <c r="C69" s="702" t="str">
        <f>IF(ISBLANK(B69),"",_xlfn.XLOOKUP(B69,Recruiter!A:A,Recruiter!B:B))</f>
        <v>Bhoomika</v>
      </c>
      <c r="D69" s="702" t="str">
        <f>IF(ISBLANK(A69),"",_xlfn.XLOOKUP(A69,'Requirement Overview'!C:C,'Requirement Overview'!E:E))</f>
        <v>Talme</v>
      </c>
      <c r="E69" s="702" t="str">
        <f>IF(ISBLANK(A69),"",_xlfn.XLOOKUP(A69,'Requirement Overview'!C:C,'Requirement Overview'!H:H))</f>
        <v>Non - IT</v>
      </c>
      <c r="F69" s="702" t="str">
        <f>IF(ISBLANK(A69),"",_xlfn.XLOOKUP(A69,'Requirement Overview'!C:C,'Requirement Overview'!I:I))</f>
        <v>Graphic Designer</v>
      </c>
      <c r="G69" s="702" t="str">
        <f>IF(ISBLANK(A69),"",_xlfn.XLOOKUP(A69,'Requirement Overview'!C:C,'Requirement Overview'!G:G))</f>
        <v>Avinashi Ads</v>
      </c>
      <c r="H69" s="470" t="s">
        <v>496</v>
      </c>
      <c r="I69" s="702" t="s">
        <v>497</v>
      </c>
      <c r="J69" s="478" t="s">
        <v>498</v>
      </c>
      <c r="K69" s="702">
        <v>9972367632</v>
      </c>
      <c r="L69" s="702" t="s">
        <v>311</v>
      </c>
      <c r="M69" s="702" t="s">
        <v>499</v>
      </c>
      <c r="N69" s="496" t="s">
        <v>500</v>
      </c>
      <c r="O69" s="702" t="s">
        <v>501</v>
      </c>
      <c r="P69" s="702" t="s">
        <v>294</v>
      </c>
      <c r="Q69" s="702" t="s">
        <v>294</v>
      </c>
      <c r="R69" s="470" t="s">
        <v>502</v>
      </c>
      <c r="S69" s="702" t="s">
        <v>270</v>
      </c>
      <c r="T69" s="702" t="s">
        <v>271</v>
      </c>
      <c r="U69" s="703">
        <v>46031</v>
      </c>
      <c r="V69" s="703">
        <v>46031</v>
      </c>
      <c r="W69" s="702"/>
      <c r="X69" s="702"/>
      <c r="Y69" s="702"/>
      <c r="Z69" s="702"/>
      <c r="AA69" s="702"/>
      <c r="AB69" s="702"/>
      <c r="AC69" s="702"/>
      <c r="AD69" s="702"/>
      <c r="AE69" s="46"/>
    </row>
    <row r="70" spans="1:31" ht="14.45">
      <c r="A70" s="702" t="s">
        <v>61</v>
      </c>
      <c r="B70" s="702" t="s">
        <v>258</v>
      </c>
      <c r="C70" s="702" t="str">
        <f>IF(ISBLANK(B70),"",_xlfn.XLOOKUP(B70,Recruiter!A:A,Recruiter!B:B))</f>
        <v>Bhoomika</v>
      </c>
      <c r="D70" s="702" t="str">
        <f>IF(ISBLANK(A70),"",_xlfn.XLOOKUP(A70,'Requirement Overview'!C:C,'Requirement Overview'!E:E))</f>
        <v>Talme</v>
      </c>
      <c r="E70" s="702" t="str">
        <f>IF(ISBLANK(A70),"",_xlfn.XLOOKUP(A70,'Requirement Overview'!C:C,'Requirement Overview'!H:H))</f>
        <v>Non - IT</v>
      </c>
      <c r="F70" s="702" t="str">
        <f>IF(ISBLANK(A70),"",_xlfn.XLOOKUP(A70,'Requirement Overview'!C:C,'Requirement Overview'!I:I))</f>
        <v>Graphic Designer</v>
      </c>
      <c r="G70" s="702" t="str">
        <f>IF(ISBLANK(A70),"",_xlfn.XLOOKUP(A70,'Requirement Overview'!C:C,'Requirement Overview'!G:G))</f>
        <v>Avinashi Ads</v>
      </c>
      <c r="H70" s="470" t="s">
        <v>503</v>
      </c>
      <c r="I70" s="702" t="s">
        <v>262</v>
      </c>
      <c r="J70" s="478" t="s">
        <v>504</v>
      </c>
      <c r="K70" s="702">
        <v>6363447926</v>
      </c>
      <c r="L70" s="702" t="s">
        <v>505</v>
      </c>
      <c r="M70" s="702" t="s">
        <v>506</v>
      </c>
      <c r="N70" s="496" t="s">
        <v>507</v>
      </c>
      <c r="O70" s="702" t="s">
        <v>508</v>
      </c>
      <c r="P70" s="702" t="s">
        <v>294</v>
      </c>
      <c r="Q70" s="702" t="s">
        <v>294</v>
      </c>
      <c r="R70" s="702" t="s">
        <v>509</v>
      </c>
      <c r="S70" s="702" t="s">
        <v>270</v>
      </c>
      <c r="T70" s="702" t="s">
        <v>271</v>
      </c>
      <c r="U70" s="703">
        <v>46031</v>
      </c>
      <c r="V70" s="703">
        <v>46031</v>
      </c>
      <c r="W70" s="702"/>
      <c r="X70" s="702"/>
      <c r="Y70" s="702"/>
      <c r="Z70" s="702"/>
      <c r="AA70" s="702"/>
      <c r="AB70" s="702"/>
      <c r="AC70" s="702"/>
      <c r="AD70" s="702"/>
      <c r="AE70" s="46"/>
    </row>
    <row r="71" spans="1:31" ht="14.45">
      <c r="A71" s="47" t="s">
        <v>55</v>
      </c>
      <c r="B71" s="47" t="s">
        <v>236</v>
      </c>
      <c r="C71" s="47" t="s">
        <v>510</v>
      </c>
      <c r="D71" s="47" t="s">
        <v>25</v>
      </c>
      <c r="E71" s="47" t="s">
        <v>57</v>
      </c>
      <c r="F71" s="47" t="s">
        <v>511</v>
      </c>
      <c r="G71" s="255" t="s">
        <v>56</v>
      </c>
      <c r="H71" s="429" t="s">
        <v>512</v>
      </c>
      <c r="I71" s="568"/>
      <c r="J71" s="375" t="s">
        <v>513</v>
      </c>
      <c r="K71" s="47">
        <v>6363651396</v>
      </c>
      <c r="L71" s="569" t="s">
        <v>330</v>
      </c>
      <c r="M71" s="47" t="s">
        <v>514</v>
      </c>
      <c r="N71" s="432" t="s">
        <v>515</v>
      </c>
      <c r="O71" s="47" t="s">
        <v>516</v>
      </c>
      <c r="P71" s="47"/>
      <c r="Q71" s="47"/>
      <c r="R71" s="47" t="s">
        <v>517</v>
      </c>
      <c r="S71" s="47" t="s">
        <v>518</v>
      </c>
      <c r="T71" s="47" t="s">
        <v>519</v>
      </c>
      <c r="U71" s="118">
        <v>46031</v>
      </c>
      <c r="V71" s="118">
        <v>46031</v>
      </c>
      <c r="W71" s="47"/>
      <c r="X71" s="47"/>
      <c r="Y71" s="47"/>
      <c r="Z71" s="47"/>
      <c r="AA71" s="47"/>
      <c r="AB71" s="47"/>
      <c r="AC71" s="47"/>
      <c r="AD71" s="47"/>
    </row>
    <row r="72" spans="1:31" s="21" customFormat="1" ht="17.25" customHeight="1">
      <c r="A72" s="21" t="s">
        <v>35</v>
      </c>
      <c r="B72" s="21" t="s">
        <v>520</v>
      </c>
      <c r="C72" s="21" t="str">
        <f>IF(ISBLANK(B72),"",_xlfn.XLOOKUP(B72,Recruiter!A:A,Recruiter!B:B))</f>
        <v>Narthana</v>
      </c>
      <c r="D72" s="21" t="str">
        <f>IF(ISBLANK(A72),"",_xlfn.XLOOKUP(A72,'Requirement Overview'!C:C,'Requirement Overview'!E:E))</f>
        <v>Talme</v>
      </c>
      <c r="E72" s="21" t="str">
        <f>IF(ISBLANK(A72),"",_xlfn.XLOOKUP(A72,'Requirement Overview'!C:C,'Requirement Overview'!H:H))</f>
        <v>IT</v>
      </c>
      <c r="F72" s="21" t="str">
        <f>IF(ISBLANK(A72),"",_xlfn.XLOOKUP(A72,'Requirement Overview'!C:C,'Requirement Overview'!I:I))</f>
        <v>Windows system adminstrator</v>
      </c>
      <c r="G72" s="146" t="str">
        <f>IF(ISBLANK(A72),"",_xlfn.XLOOKUP(A72,'Requirement Overview'!C:C,'Requirement Overview'!G:G))</f>
        <v>EMIDS</v>
      </c>
      <c r="H72" s="185" t="s">
        <v>521</v>
      </c>
      <c r="I72" s="323" t="s">
        <v>522</v>
      </c>
      <c r="J72" s="194" t="s">
        <v>523</v>
      </c>
      <c r="K72" s="21">
        <v>9490296380</v>
      </c>
      <c r="L72" s="156"/>
      <c r="M72" s="21" t="s">
        <v>524</v>
      </c>
      <c r="N72" s="92" t="s">
        <v>525</v>
      </c>
      <c r="O72" s="21" t="s">
        <v>429</v>
      </c>
      <c r="R72" s="21" t="s">
        <v>439</v>
      </c>
      <c r="S72" s="21" t="s">
        <v>470</v>
      </c>
      <c r="T72" s="21" t="s">
        <v>103</v>
      </c>
      <c r="U72" s="29">
        <v>46031</v>
      </c>
      <c r="V72" s="29">
        <v>46031</v>
      </c>
    </row>
    <row r="73" spans="1:31" s="21" customFormat="1" ht="15.75" customHeight="1">
      <c r="A73" s="21" t="s">
        <v>35</v>
      </c>
      <c r="B73" s="21" t="s">
        <v>520</v>
      </c>
      <c r="C73" s="21" t="str">
        <f>IF(ISBLANK(B73),"",_xlfn.XLOOKUP(B73,Recruiter!A:A,Recruiter!B:B))</f>
        <v>Narthana</v>
      </c>
      <c r="D73" s="21" t="str">
        <f>IF(ISBLANK(A73),"",_xlfn.XLOOKUP(A73,'Requirement Overview'!C:C,'Requirement Overview'!E:E))</f>
        <v>Talme</v>
      </c>
      <c r="E73" s="21" t="str">
        <f>IF(ISBLANK(A73),"",_xlfn.XLOOKUP(A73,'Requirement Overview'!C:C,'Requirement Overview'!H:H))</f>
        <v>IT</v>
      </c>
      <c r="F73" s="21" t="str">
        <f>IF(ISBLANK(A73),"",_xlfn.XLOOKUP(A73,'Requirement Overview'!C:C,'Requirement Overview'!I:I))</f>
        <v>Windows system adminstrator</v>
      </c>
      <c r="G73" s="146" t="str">
        <f>IF(ISBLANK(A73),"",_xlfn.XLOOKUP(A73,'Requirement Overview'!C:C,'Requirement Overview'!G:G))</f>
        <v>EMIDS</v>
      </c>
      <c r="H73" s="185" t="s">
        <v>526</v>
      </c>
      <c r="I73" s="323" t="s">
        <v>527</v>
      </c>
      <c r="J73" s="198" t="s">
        <v>528</v>
      </c>
      <c r="K73" s="21">
        <v>8688773988</v>
      </c>
      <c r="L73" s="156"/>
      <c r="M73" s="21" t="s">
        <v>395</v>
      </c>
      <c r="N73" s="92" t="s">
        <v>529</v>
      </c>
      <c r="O73" s="21" t="s">
        <v>407</v>
      </c>
      <c r="R73" s="21" t="s">
        <v>439</v>
      </c>
      <c r="S73" s="21" t="s">
        <v>470</v>
      </c>
      <c r="T73" s="21" t="s">
        <v>103</v>
      </c>
      <c r="U73" s="29">
        <v>46031</v>
      </c>
      <c r="V73" s="29">
        <v>46031</v>
      </c>
    </row>
    <row r="74" spans="1:31" s="21" customFormat="1" ht="14.45">
      <c r="A74" s="21" t="s">
        <v>35</v>
      </c>
      <c r="B74" s="21" t="s">
        <v>520</v>
      </c>
      <c r="C74" s="21" t="str">
        <f>IF(ISBLANK(B74),"",_xlfn.XLOOKUP(B74,Recruiter!A:A,Recruiter!B:B))</f>
        <v>Narthana</v>
      </c>
      <c r="D74" s="21" t="str">
        <f>IF(ISBLANK(A74),"",_xlfn.XLOOKUP(A74,'Requirement Overview'!C:C,'Requirement Overview'!E:E))</f>
        <v>Talme</v>
      </c>
      <c r="E74" s="21" t="str">
        <f>IF(ISBLANK(A74),"",_xlfn.XLOOKUP(A74,'Requirement Overview'!C:C,'Requirement Overview'!H:H))</f>
        <v>IT</v>
      </c>
      <c r="F74" s="21" t="str">
        <f>IF(ISBLANK(A74),"",_xlfn.XLOOKUP(A74,'Requirement Overview'!C:C,'Requirement Overview'!I:I))</f>
        <v>Windows system adminstrator</v>
      </c>
      <c r="G74" s="146" t="str">
        <f>IF(ISBLANK(A74),"",_xlfn.XLOOKUP(A74,'Requirement Overview'!C:C,'Requirement Overview'!G:G))</f>
        <v>EMIDS</v>
      </c>
      <c r="H74" s="185" t="s">
        <v>530</v>
      </c>
      <c r="I74" s="323" t="s">
        <v>531</v>
      </c>
      <c r="J74" s="194" t="s">
        <v>532</v>
      </c>
      <c r="K74" s="21">
        <v>9866264265</v>
      </c>
      <c r="L74" s="156"/>
      <c r="M74" s="21" t="s">
        <v>533</v>
      </c>
      <c r="N74" s="92" t="s">
        <v>534</v>
      </c>
      <c r="O74" s="21" t="s">
        <v>535</v>
      </c>
      <c r="R74" s="21" t="s">
        <v>368</v>
      </c>
      <c r="S74" s="21" t="s">
        <v>470</v>
      </c>
      <c r="T74" s="21" t="s">
        <v>103</v>
      </c>
      <c r="U74" s="29">
        <v>46031</v>
      </c>
      <c r="V74" s="29">
        <v>46031</v>
      </c>
    </row>
    <row r="75" spans="1:31" ht="14.45">
      <c r="A75" s="24" t="s">
        <v>37</v>
      </c>
      <c r="B75" s="24" t="s">
        <v>520</v>
      </c>
      <c r="C75" s="24" t="str">
        <f>IF(ISBLANK(B75),"",_xlfn.XLOOKUP(B75,Recruiter!A:A,Recruiter!B:B))</f>
        <v>Narthana</v>
      </c>
      <c r="D75" s="24" t="str">
        <f>IF(ISBLANK(A75),"",_xlfn.XLOOKUP(A75,'Requirement Overview'!C:C,'Requirement Overview'!E:E))</f>
        <v>Talme</v>
      </c>
      <c r="E75" s="24" t="str">
        <f>IF(ISBLANK(A75),"",_xlfn.XLOOKUP(A75,'Requirement Overview'!C:C,'Requirement Overview'!H:H))</f>
        <v>IT</v>
      </c>
      <c r="F75" s="24" t="str">
        <f>IF(ISBLANK(A75),"",_xlfn.XLOOKUP(A75,'Requirement Overview'!C:C,'Requirement Overview'!I:I))</f>
        <v>Android BSP Developer</v>
      </c>
      <c r="G75" s="58" t="str">
        <f>IF(ISBLANK(A75),"",_xlfn.XLOOKUP(A75,'Requirement Overview'!C:C,'Requirement Overview'!G:G))</f>
        <v>KPIT</v>
      </c>
      <c r="H75" s="185" t="s">
        <v>536</v>
      </c>
      <c r="I75" s="158" t="s">
        <v>537</v>
      </c>
      <c r="J75" s="194" t="s">
        <v>538</v>
      </c>
      <c r="K75" s="19">
        <v>9739951590</v>
      </c>
      <c r="L75" s="46"/>
      <c r="M75" s="19" t="s">
        <v>365</v>
      </c>
      <c r="N75" s="91" t="s">
        <v>539</v>
      </c>
      <c r="O75" s="19" t="s">
        <v>540</v>
      </c>
      <c r="P75" s="19"/>
      <c r="Q75" s="19"/>
      <c r="R75" s="19" t="s">
        <v>541</v>
      </c>
      <c r="S75" s="21" t="s">
        <v>542</v>
      </c>
      <c r="T75" s="21" t="s">
        <v>103</v>
      </c>
      <c r="U75" s="29">
        <v>46030</v>
      </c>
      <c r="V75" s="29">
        <v>46030</v>
      </c>
    </row>
    <row r="76" spans="1:31" ht="14.45">
      <c r="A76" s="24" t="s">
        <v>37</v>
      </c>
      <c r="B76" s="24" t="s">
        <v>520</v>
      </c>
      <c r="C76" s="24" t="str">
        <f>IF(ISBLANK(B76),"",_xlfn.XLOOKUP(B76,Recruiter!A:A,Recruiter!B:B))</f>
        <v>Narthana</v>
      </c>
      <c r="D76" s="24" t="str">
        <f>IF(ISBLANK(A76),"",_xlfn.XLOOKUP(A76,'Requirement Overview'!C:C,'Requirement Overview'!E:E))</f>
        <v>Talme</v>
      </c>
      <c r="E76" s="24" t="str">
        <f>IF(ISBLANK(A76),"",_xlfn.XLOOKUP(A76,'Requirement Overview'!C:C,'Requirement Overview'!H:H))</f>
        <v>IT</v>
      </c>
      <c r="F76" s="24" t="str">
        <f>IF(ISBLANK(A76),"",_xlfn.XLOOKUP(A76,'Requirement Overview'!C:C,'Requirement Overview'!I:I))</f>
        <v>Android BSP Developer</v>
      </c>
      <c r="G76" s="58" t="str">
        <f>IF(ISBLANK(A76),"",_xlfn.XLOOKUP(A76,'Requirement Overview'!C:C,'Requirement Overview'!G:G))</f>
        <v>KPIT</v>
      </c>
      <c r="H76" s="185" t="s">
        <v>543</v>
      </c>
      <c r="I76" s="158" t="s">
        <v>544</v>
      </c>
      <c r="J76" s="194" t="s">
        <v>545</v>
      </c>
      <c r="K76" s="19">
        <v>7567041466</v>
      </c>
      <c r="L76" s="46"/>
      <c r="M76" s="19" t="s">
        <v>546</v>
      </c>
      <c r="N76" s="91" t="s">
        <v>547</v>
      </c>
      <c r="O76" s="19" t="s">
        <v>548</v>
      </c>
      <c r="P76" s="19"/>
      <c r="Q76" s="19"/>
      <c r="R76" s="19" t="s">
        <v>358</v>
      </c>
      <c r="S76" s="21" t="s">
        <v>542</v>
      </c>
      <c r="T76" s="21" t="s">
        <v>103</v>
      </c>
      <c r="U76" s="29">
        <v>46030</v>
      </c>
      <c r="V76" s="29">
        <v>46030</v>
      </c>
    </row>
    <row r="77" spans="1:31" ht="14.45">
      <c r="A77" s="24" t="s">
        <v>37</v>
      </c>
      <c r="B77" s="24" t="s">
        <v>520</v>
      </c>
      <c r="C77" s="24" t="str">
        <f>IF(ISBLANK(B77),"",_xlfn.XLOOKUP(B77,Recruiter!A:A,Recruiter!B:B))</f>
        <v>Narthana</v>
      </c>
      <c r="D77" s="24" t="str">
        <f>IF(ISBLANK(A77),"",_xlfn.XLOOKUP(A77,'Requirement Overview'!C:C,'Requirement Overview'!E:E))</f>
        <v>Talme</v>
      </c>
      <c r="E77" s="24" t="str">
        <f>IF(ISBLANK(A77),"",_xlfn.XLOOKUP(A77,'Requirement Overview'!C:C,'Requirement Overview'!H:H))</f>
        <v>IT</v>
      </c>
      <c r="F77" s="24" t="str">
        <f>IF(ISBLANK(A77),"",_xlfn.XLOOKUP(A77,'Requirement Overview'!C:C,'Requirement Overview'!I:I))</f>
        <v>Android BSP Developer</v>
      </c>
      <c r="G77" s="58" t="str">
        <f>IF(ISBLANK(A77),"",_xlfn.XLOOKUP(A77,'Requirement Overview'!C:C,'Requirement Overview'!G:G))</f>
        <v>KPIT</v>
      </c>
      <c r="H77" s="185" t="s">
        <v>549</v>
      </c>
      <c r="I77" s="158" t="s">
        <v>550</v>
      </c>
      <c r="J77" s="194" t="s">
        <v>551</v>
      </c>
      <c r="K77" s="19">
        <v>9380151120</v>
      </c>
      <c r="L77" s="46"/>
      <c r="M77" s="19" t="s">
        <v>414</v>
      </c>
      <c r="N77" s="91" t="s">
        <v>552</v>
      </c>
      <c r="O77" s="19" t="s">
        <v>553</v>
      </c>
      <c r="P77" s="19"/>
      <c r="Q77" s="19"/>
      <c r="R77" s="19" t="s">
        <v>554</v>
      </c>
      <c r="S77" s="21" t="s">
        <v>542</v>
      </c>
      <c r="T77" s="21" t="s">
        <v>103</v>
      </c>
      <c r="U77" s="29">
        <v>46030</v>
      </c>
      <c r="V77" s="29">
        <v>46030</v>
      </c>
    </row>
    <row r="78" spans="1:31" ht="15" customHeight="1">
      <c r="A78" s="51" t="s">
        <v>37</v>
      </c>
      <c r="B78" s="51" t="s">
        <v>520</v>
      </c>
      <c r="C78" s="51" t="str">
        <f>IF(ISBLANK(B78),"",_xlfn.XLOOKUP(B78,Recruiter!A:A,Recruiter!B:B))</f>
        <v>Narthana</v>
      </c>
      <c r="D78" s="51" t="str">
        <f>IF(ISBLANK(A78),"",_xlfn.XLOOKUP(A78,'Requirement Overview'!C:C,'Requirement Overview'!E:E))</f>
        <v>Talme</v>
      </c>
      <c r="E78" s="51" t="str">
        <f>IF(ISBLANK(A78),"",_xlfn.XLOOKUP(A78,'Requirement Overview'!C:C,'Requirement Overview'!H:H))</f>
        <v>IT</v>
      </c>
      <c r="F78" s="51" t="str">
        <f>IF(ISBLANK(A78),"",_xlfn.XLOOKUP(A78,'Requirement Overview'!C:C,'Requirement Overview'!I:I))</f>
        <v>Android BSP Developer</v>
      </c>
      <c r="G78" s="62" t="str">
        <f>IF(ISBLANK(A78),"",_xlfn.XLOOKUP(A78,'Requirement Overview'!C:C,'Requirement Overview'!G:G))</f>
        <v>KPIT</v>
      </c>
      <c r="H78" s="518" t="s">
        <v>555</v>
      </c>
      <c r="I78" s="523" t="s">
        <v>556</v>
      </c>
      <c r="J78" s="524" t="s">
        <v>557</v>
      </c>
      <c r="K78" s="73">
        <v>8197684687</v>
      </c>
      <c r="L78" s="108"/>
      <c r="M78" s="73" t="s">
        <v>558</v>
      </c>
      <c r="N78" s="110" t="s">
        <v>559</v>
      </c>
      <c r="O78" s="73" t="s">
        <v>560</v>
      </c>
      <c r="P78" s="73"/>
      <c r="Q78" s="73"/>
      <c r="R78" s="73" t="s">
        <v>548</v>
      </c>
      <c r="S78" s="517" t="s">
        <v>542</v>
      </c>
      <c r="T78" s="517" t="s">
        <v>103</v>
      </c>
      <c r="U78" s="89">
        <v>46030</v>
      </c>
      <c r="V78" s="89">
        <v>46030</v>
      </c>
      <c r="W78" s="51"/>
      <c r="X78" s="51"/>
      <c r="Y78" s="51"/>
      <c r="Z78" s="51"/>
      <c r="AA78" s="51"/>
      <c r="AB78" s="51"/>
      <c r="AC78" s="51"/>
      <c r="AD78" s="51"/>
    </row>
    <row r="79" spans="1:31" ht="14.45">
      <c r="A79" s="702" t="s">
        <v>90</v>
      </c>
      <c r="B79" s="702" t="s">
        <v>258</v>
      </c>
      <c r="C79" s="702" t="str">
        <f>IF(ISBLANK(B79),"",_xlfn.XLOOKUP(B79,Recruiter!A:A,Recruiter!B:B))</f>
        <v>Bhoomika</v>
      </c>
      <c r="D79" s="702" t="str">
        <f>IF(ISBLANK(A79),"",_xlfn.XLOOKUP(A79,'Requirement Overview'!C:C,'Requirement Overview'!E:E))</f>
        <v>Talme</v>
      </c>
      <c r="E79" s="702" t="str">
        <f>IF(ISBLANK(A79),"",_xlfn.XLOOKUP(A79,'Requirement Overview'!C:C,'Requirement Overview'!H:H))</f>
        <v>IT</v>
      </c>
      <c r="F79" s="702" t="str">
        <f>IF(ISBLANK(A79),"",_xlfn.XLOOKUP(A79,'Requirement Overview'!C:C,'Requirement Overview'!I:I))</f>
        <v>HR Recruiter</v>
      </c>
      <c r="G79" s="702" t="str">
        <f>IF(ISBLANK(A79),"",_xlfn.XLOOKUP(A79,'Requirement Overview'!C:C,'Requirement Overview'!G:G))</f>
        <v xml:space="preserve">Talme </v>
      </c>
      <c r="H79" s="470" t="s">
        <v>561</v>
      </c>
      <c r="I79" s="702"/>
      <c r="J79" s="476"/>
      <c r="K79" s="702">
        <v>8370889483</v>
      </c>
      <c r="L79" s="702"/>
      <c r="M79" s="702"/>
      <c r="N79" s="496"/>
      <c r="O79" s="702"/>
      <c r="P79" s="702"/>
      <c r="Q79" s="702"/>
      <c r="R79" s="702"/>
      <c r="S79" s="702" t="s">
        <v>270</v>
      </c>
      <c r="T79" s="702" t="s">
        <v>271</v>
      </c>
      <c r="U79" s="703">
        <v>46034</v>
      </c>
      <c r="V79" s="703">
        <v>46034</v>
      </c>
      <c r="W79" s="702"/>
      <c r="X79" s="702"/>
      <c r="Y79" s="702"/>
      <c r="Z79" s="702"/>
      <c r="AA79" s="702"/>
      <c r="AB79" s="702"/>
      <c r="AC79" s="702"/>
      <c r="AD79" s="702"/>
      <c r="AE79" s="46"/>
    </row>
    <row r="80" spans="1:31" ht="14.45">
      <c r="A80" s="702" t="s">
        <v>90</v>
      </c>
      <c r="B80" s="702" t="s">
        <v>258</v>
      </c>
      <c r="C80" s="702" t="str">
        <f>IF(ISBLANK(B80),"",_xlfn.XLOOKUP(B80,Recruiter!A:A,Recruiter!B:B))</f>
        <v>Bhoomika</v>
      </c>
      <c r="D80" s="702" t="str">
        <f>IF(ISBLANK(A80),"",_xlfn.XLOOKUP(A80,'Requirement Overview'!C:C,'Requirement Overview'!E:E))</f>
        <v>Talme</v>
      </c>
      <c r="E80" s="702" t="str">
        <f>IF(ISBLANK(A80),"",_xlfn.XLOOKUP(A80,'Requirement Overview'!C:C,'Requirement Overview'!H:H))</f>
        <v>IT</v>
      </c>
      <c r="F80" s="702" t="str">
        <f>IF(ISBLANK(A80),"",_xlfn.XLOOKUP(A80,'Requirement Overview'!C:C,'Requirement Overview'!I:I))</f>
        <v>HR Recruiter</v>
      </c>
      <c r="G80" s="702" t="str">
        <f>IF(ISBLANK(A80),"",_xlfn.XLOOKUP(A80,'Requirement Overview'!C:C,'Requirement Overview'!G:G))</f>
        <v xml:space="preserve">Talme </v>
      </c>
      <c r="H80" s="470" t="s">
        <v>562</v>
      </c>
      <c r="I80" s="702"/>
      <c r="J80" s="476"/>
      <c r="K80" s="702">
        <v>8904518053</v>
      </c>
      <c r="L80" s="702"/>
      <c r="M80" s="702"/>
      <c r="N80" s="496"/>
      <c r="O80" s="702"/>
      <c r="P80" s="702"/>
      <c r="Q80" s="702"/>
      <c r="R80" s="702"/>
      <c r="S80" s="702" t="s">
        <v>270</v>
      </c>
      <c r="T80" s="702" t="s">
        <v>271</v>
      </c>
      <c r="U80" s="703">
        <v>46034</v>
      </c>
      <c r="V80" s="703">
        <v>46034</v>
      </c>
      <c r="W80" s="702"/>
      <c r="X80" s="702"/>
      <c r="Y80" s="702"/>
      <c r="Z80" s="702"/>
      <c r="AA80" s="702"/>
      <c r="AB80" s="702"/>
      <c r="AC80" s="702"/>
      <c r="AD80" s="702"/>
      <c r="AE80" s="46"/>
    </row>
    <row r="81" spans="1:31" ht="14.45">
      <c r="A81" s="702" t="s">
        <v>90</v>
      </c>
      <c r="B81" s="702" t="s">
        <v>258</v>
      </c>
      <c r="C81" s="702" t="str">
        <f>IF(ISBLANK(B81),"",_xlfn.XLOOKUP(B81,Recruiter!A:A,Recruiter!B:B))</f>
        <v>Bhoomika</v>
      </c>
      <c r="D81" s="702" t="str">
        <f>IF(ISBLANK(A81),"",_xlfn.XLOOKUP(A81,'Requirement Overview'!C:C,'Requirement Overview'!E:E))</f>
        <v>Talme</v>
      </c>
      <c r="E81" s="702" t="str">
        <f>IF(ISBLANK(A81),"",_xlfn.XLOOKUP(A81,'Requirement Overview'!C:C,'Requirement Overview'!H:H))</f>
        <v>IT</v>
      </c>
      <c r="F81" s="702" t="str">
        <f>IF(ISBLANK(A81),"",_xlfn.XLOOKUP(A81,'Requirement Overview'!C:C,'Requirement Overview'!I:I))</f>
        <v>HR Recruiter</v>
      </c>
      <c r="G81" s="702" t="str">
        <f>IF(ISBLANK(A81),"",_xlfn.XLOOKUP(A81,'Requirement Overview'!C:C,'Requirement Overview'!G:G))</f>
        <v xml:space="preserve">Talme </v>
      </c>
      <c r="H81" s="470" t="s">
        <v>563</v>
      </c>
      <c r="I81" s="702"/>
      <c r="J81" s="476"/>
      <c r="K81" s="702">
        <v>8305457822</v>
      </c>
      <c r="L81" s="702"/>
      <c r="M81" s="702"/>
      <c r="N81" s="496"/>
      <c r="O81" s="702"/>
      <c r="P81" s="702"/>
      <c r="Q81" s="702"/>
      <c r="R81" s="702"/>
      <c r="S81" s="702" t="s">
        <v>270</v>
      </c>
      <c r="T81" s="702" t="s">
        <v>271</v>
      </c>
      <c r="U81" s="703">
        <v>46034</v>
      </c>
      <c r="V81" s="703">
        <v>46034</v>
      </c>
      <c r="W81" s="702"/>
      <c r="X81" s="702"/>
      <c r="Y81" s="702"/>
      <c r="Z81" s="702"/>
      <c r="AA81" s="702"/>
      <c r="AB81" s="702"/>
      <c r="AC81" s="702"/>
      <c r="AD81" s="702"/>
      <c r="AE81" s="46"/>
    </row>
    <row r="82" spans="1:31" ht="14.45">
      <c r="A82" s="702" t="s">
        <v>90</v>
      </c>
      <c r="B82" s="702" t="s">
        <v>258</v>
      </c>
      <c r="C82" s="702" t="str">
        <f>IF(ISBLANK(B82),"",_xlfn.XLOOKUP(B82,Recruiter!A:A,Recruiter!B:B))</f>
        <v>Bhoomika</v>
      </c>
      <c r="D82" s="702" t="str">
        <f>IF(ISBLANK(A82),"",_xlfn.XLOOKUP(A82,'Requirement Overview'!C:C,'Requirement Overview'!E:E))</f>
        <v>Talme</v>
      </c>
      <c r="E82" s="702" t="str">
        <f>IF(ISBLANK(A82),"",_xlfn.XLOOKUP(A82,'Requirement Overview'!C:C,'Requirement Overview'!H:H))</f>
        <v>IT</v>
      </c>
      <c r="F82" s="702" t="str">
        <f>IF(ISBLANK(A82),"",_xlfn.XLOOKUP(A82,'Requirement Overview'!C:C,'Requirement Overview'!I:I))</f>
        <v>HR Recruiter</v>
      </c>
      <c r="G82" s="702" t="str">
        <f>IF(ISBLANK(A82),"",_xlfn.XLOOKUP(A82,'Requirement Overview'!C:C,'Requirement Overview'!G:G))</f>
        <v xml:space="preserve">Talme </v>
      </c>
      <c r="H82" s="470" t="s">
        <v>564</v>
      </c>
      <c r="I82" s="702" t="s">
        <v>316</v>
      </c>
      <c r="J82" s="497" t="s">
        <v>565</v>
      </c>
      <c r="K82" s="702">
        <v>8590086590</v>
      </c>
      <c r="L82" s="702" t="s">
        <v>290</v>
      </c>
      <c r="M82" s="702" t="s">
        <v>566</v>
      </c>
      <c r="N82" s="496" t="s">
        <v>567</v>
      </c>
      <c r="O82" s="702" t="s">
        <v>568</v>
      </c>
      <c r="P82" s="702" t="s">
        <v>569</v>
      </c>
      <c r="Q82" s="702" t="s">
        <v>294</v>
      </c>
      <c r="R82" s="702" t="s">
        <v>517</v>
      </c>
      <c r="S82" s="702" t="s">
        <v>270</v>
      </c>
      <c r="T82" s="702" t="s">
        <v>271</v>
      </c>
      <c r="U82" s="703">
        <v>46034</v>
      </c>
      <c r="V82" s="703">
        <v>46034</v>
      </c>
      <c r="W82" s="702"/>
      <c r="X82" s="702"/>
      <c r="Y82" s="702"/>
      <c r="Z82" s="702"/>
      <c r="AA82" s="702"/>
      <c r="AB82" s="702"/>
      <c r="AC82" s="702"/>
      <c r="AD82" s="702"/>
      <c r="AE82" s="46"/>
    </row>
    <row r="83" spans="1:31" ht="14.45">
      <c r="A83" s="702" t="s">
        <v>90</v>
      </c>
      <c r="B83" s="702" t="s">
        <v>258</v>
      </c>
      <c r="C83" s="702" t="str">
        <f>IF(ISBLANK(B83),"",_xlfn.XLOOKUP(B83,Recruiter!A:A,Recruiter!B:B))</f>
        <v>Bhoomika</v>
      </c>
      <c r="D83" s="702" t="str">
        <f>IF(ISBLANK(A83),"",_xlfn.XLOOKUP(A83,'Requirement Overview'!C:C,'Requirement Overview'!E:E))</f>
        <v>Talme</v>
      </c>
      <c r="E83" s="702" t="str">
        <f>IF(ISBLANK(A83),"",_xlfn.XLOOKUP(A83,'Requirement Overview'!C:C,'Requirement Overview'!H:H))</f>
        <v>IT</v>
      </c>
      <c r="F83" s="702" t="str">
        <f>IF(ISBLANK(A83),"",_xlfn.XLOOKUP(A83,'Requirement Overview'!C:C,'Requirement Overview'!I:I))</f>
        <v>HR Recruiter</v>
      </c>
      <c r="G83" s="702" t="str">
        <f>IF(ISBLANK(A83),"",_xlfn.XLOOKUP(A83,'Requirement Overview'!C:C,'Requirement Overview'!G:G))</f>
        <v xml:space="preserve">Talme </v>
      </c>
      <c r="H83" s="470" t="s">
        <v>570</v>
      </c>
      <c r="I83" s="702" t="s">
        <v>316</v>
      </c>
      <c r="J83" s="497" t="s">
        <v>571</v>
      </c>
      <c r="K83" s="702">
        <v>9663650280</v>
      </c>
      <c r="L83" s="702" t="s">
        <v>572</v>
      </c>
      <c r="M83" s="702" t="s">
        <v>573</v>
      </c>
      <c r="N83" s="496" t="s">
        <v>574</v>
      </c>
      <c r="O83" s="702" t="s">
        <v>574</v>
      </c>
      <c r="P83" s="702" t="s">
        <v>294</v>
      </c>
      <c r="Q83" s="702" t="s">
        <v>294</v>
      </c>
      <c r="R83" s="702" t="s">
        <v>517</v>
      </c>
      <c r="S83" s="702" t="s">
        <v>518</v>
      </c>
      <c r="T83" s="702" t="s">
        <v>271</v>
      </c>
      <c r="U83" s="703">
        <v>46034</v>
      </c>
      <c r="V83" s="703">
        <v>46034</v>
      </c>
      <c r="W83" s="702"/>
      <c r="X83" s="702"/>
      <c r="Y83" s="702"/>
      <c r="Z83" s="702"/>
      <c r="AA83" s="702"/>
      <c r="AB83" s="702"/>
      <c r="AC83" s="702"/>
      <c r="AD83" s="702"/>
      <c r="AE83" s="46"/>
    </row>
    <row r="84" spans="1:31" ht="14.45">
      <c r="A84" s="702" t="s">
        <v>90</v>
      </c>
      <c r="B84" s="702" t="s">
        <v>258</v>
      </c>
      <c r="C84" s="702" t="str">
        <f>IF(ISBLANK(B84),"",_xlfn.XLOOKUP(B84,Recruiter!A:A,Recruiter!B:B))</f>
        <v>Bhoomika</v>
      </c>
      <c r="D84" s="702" t="str">
        <f>IF(ISBLANK(A84),"",_xlfn.XLOOKUP(A84,'Requirement Overview'!C:C,'Requirement Overview'!E:E))</f>
        <v>Talme</v>
      </c>
      <c r="E84" s="702" t="str">
        <f>IF(ISBLANK(A84),"",_xlfn.XLOOKUP(A84,'Requirement Overview'!C:C,'Requirement Overview'!H:H))</f>
        <v>IT</v>
      </c>
      <c r="F84" s="702" t="str">
        <f>IF(ISBLANK(A84),"",_xlfn.XLOOKUP(A84,'Requirement Overview'!C:C,'Requirement Overview'!I:I))</f>
        <v>HR Recruiter</v>
      </c>
      <c r="G84" s="702" t="str">
        <f>IF(ISBLANK(A84),"",_xlfn.XLOOKUP(A84,'Requirement Overview'!C:C,'Requirement Overview'!G:G))</f>
        <v xml:space="preserve">Talme </v>
      </c>
      <c r="H84" s="470" t="s">
        <v>575</v>
      </c>
      <c r="I84" s="702"/>
      <c r="J84" s="476"/>
      <c r="K84" s="702">
        <v>8248991226</v>
      </c>
      <c r="L84" s="702"/>
      <c r="M84" s="702"/>
      <c r="N84" s="496"/>
      <c r="O84" s="702"/>
      <c r="P84" s="702"/>
      <c r="Q84" s="702"/>
      <c r="R84" s="702"/>
      <c r="S84" s="702" t="s">
        <v>240</v>
      </c>
      <c r="T84" s="702" t="s">
        <v>271</v>
      </c>
      <c r="U84" s="703">
        <v>46034</v>
      </c>
      <c r="V84" s="703">
        <v>46034</v>
      </c>
      <c r="W84" s="702"/>
      <c r="X84" s="702"/>
      <c r="Y84" s="702"/>
      <c r="Z84" s="702"/>
      <c r="AA84" s="702"/>
      <c r="AB84" s="702"/>
      <c r="AC84" s="702"/>
      <c r="AD84" s="702"/>
      <c r="AE84" s="46"/>
    </row>
    <row r="85" spans="1:31" ht="14.45">
      <c r="A85" s="702" t="s">
        <v>90</v>
      </c>
      <c r="B85" s="702" t="s">
        <v>258</v>
      </c>
      <c r="C85" s="702" t="str">
        <f>IF(ISBLANK(B85),"",_xlfn.XLOOKUP(B85,Recruiter!A:A,Recruiter!B:B))</f>
        <v>Bhoomika</v>
      </c>
      <c r="D85" s="702" t="str">
        <f>IF(ISBLANK(A85),"",_xlfn.XLOOKUP(A85,'Requirement Overview'!C:C,'Requirement Overview'!E:E))</f>
        <v>Talme</v>
      </c>
      <c r="E85" s="702" t="str">
        <f>IF(ISBLANK(A85),"",_xlfn.XLOOKUP(A85,'Requirement Overview'!C:C,'Requirement Overview'!H:H))</f>
        <v>IT</v>
      </c>
      <c r="F85" s="702" t="str">
        <f>IF(ISBLANK(A85),"",_xlfn.XLOOKUP(A85,'Requirement Overview'!C:C,'Requirement Overview'!I:I))</f>
        <v>HR Recruiter</v>
      </c>
      <c r="G85" s="702" t="str">
        <f>IF(ISBLANK(A85),"",_xlfn.XLOOKUP(A85,'Requirement Overview'!C:C,'Requirement Overview'!G:G))</f>
        <v xml:space="preserve">Talme </v>
      </c>
      <c r="H85" s="470" t="s">
        <v>576</v>
      </c>
      <c r="I85" s="702"/>
      <c r="J85" s="476"/>
      <c r="K85" s="702">
        <v>9347957046</v>
      </c>
      <c r="L85" s="702"/>
      <c r="M85" s="702"/>
      <c r="N85" s="496"/>
      <c r="O85" s="702"/>
      <c r="P85" s="702"/>
      <c r="Q85" s="702"/>
      <c r="R85" s="702"/>
      <c r="S85" s="702" t="s">
        <v>240</v>
      </c>
      <c r="T85" s="702" t="s">
        <v>271</v>
      </c>
      <c r="U85" s="703">
        <v>46034</v>
      </c>
      <c r="V85" s="703">
        <v>46034</v>
      </c>
      <c r="W85" s="702"/>
      <c r="X85" s="702"/>
      <c r="Y85" s="702"/>
      <c r="Z85" s="702"/>
      <c r="AA85" s="702"/>
      <c r="AB85" s="702"/>
      <c r="AC85" s="702"/>
      <c r="AD85" s="702"/>
      <c r="AE85" s="46"/>
    </row>
    <row r="86" spans="1:31" ht="14.45">
      <c r="A86" s="702" t="s">
        <v>90</v>
      </c>
      <c r="B86" s="702" t="s">
        <v>258</v>
      </c>
      <c r="C86" s="702" t="str">
        <f>IF(ISBLANK(B86),"",_xlfn.XLOOKUP(B86,Recruiter!A:A,Recruiter!B:B))</f>
        <v>Bhoomika</v>
      </c>
      <c r="D86" s="702" t="str">
        <f>IF(ISBLANK(A86),"",_xlfn.XLOOKUP(A86,'Requirement Overview'!C:C,'Requirement Overview'!E:E))</f>
        <v>Talme</v>
      </c>
      <c r="E86" s="702" t="str">
        <f>IF(ISBLANK(A86),"",_xlfn.XLOOKUP(A86,'Requirement Overview'!C:C,'Requirement Overview'!H:H))</f>
        <v>IT</v>
      </c>
      <c r="F86" s="702" t="str">
        <f>IF(ISBLANK(A86),"",_xlfn.XLOOKUP(A86,'Requirement Overview'!C:C,'Requirement Overview'!I:I))</f>
        <v>HR Recruiter</v>
      </c>
      <c r="G86" s="702" t="str">
        <f>IF(ISBLANK(A86),"",_xlfn.XLOOKUP(A86,'Requirement Overview'!C:C,'Requirement Overview'!G:G))</f>
        <v xml:space="preserve">Talme </v>
      </c>
      <c r="H86" s="470" t="s">
        <v>577</v>
      </c>
      <c r="I86" s="702"/>
      <c r="J86" s="476"/>
      <c r="K86" s="702">
        <v>9344204373</v>
      </c>
      <c r="L86" s="702"/>
      <c r="M86" s="702"/>
      <c r="N86" s="496"/>
      <c r="O86" s="702"/>
      <c r="P86" s="702"/>
      <c r="Q86" s="702"/>
      <c r="R86" s="702"/>
      <c r="S86" s="702" t="s">
        <v>240</v>
      </c>
      <c r="T86" s="702" t="s">
        <v>271</v>
      </c>
      <c r="U86" s="703">
        <v>46034</v>
      </c>
      <c r="V86" s="703">
        <v>46034</v>
      </c>
      <c r="W86" s="702"/>
      <c r="X86" s="702"/>
      <c r="Y86" s="702"/>
      <c r="Z86" s="702"/>
      <c r="AA86" s="702"/>
      <c r="AB86" s="702"/>
      <c r="AC86" s="702"/>
      <c r="AD86" s="702"/>
      <c r="AE86" s="46"/>
    </row>
    <row r="87" spans="1:31" ht="14.45">
      <c r="A87" s="702" t="s">
        <v>90</v>
      </c>
      <c r="B87" s="702" t="s">
        <v>258</v>
      </c>
      <c r="C87" s="702" t="str">
        <f>IF(ISBLANK(B87),"",_xlfn.XLOOKUP(B87,Recruiter!A:A,Recruiter!B:B))</f>
        <v>Bhoomika</v>
      </c>
      <c r="D87" s="702" t="str">
        <f>IF(ISBLANK(A87),"",_xlfn.XLOOKUP(A87,'Requirement Overview'!C:C,'Requirement Overview'!E:E))</f>
        <v>Talme</v>
      </c>
      <c r="E87" s="702" t="str">
        <f>IF(ISBLANK(A87),"",_xlfn.XLOOKUP(A87,'Requirement Overview'!C:C,'Requirement Overview'!H:H))</f>
        <v>IT</v>
      </c>
      <c r="F87" s="702" t="str">
        <f>IF(ISBLANK(A87),"",_xlfn.XLOOKUP(A87,'Requirement Overview'!C:C,'Requirement Overview'!I:I))</f>
        <v>HR Recruiter</v>
      </c>
      <c r="G87" s="702" t="str">
        <f>IF(ISBLANK(A87),"",_xlfn.XLOOKUP(A87,'Requirement Overview'!C:C,'Requirement Overview'!G:G))</f>
        <v xml:space="preserve">Talme </v>
      </c>
      <c r="H87" s="470" t="s">
        <v>578</v>
      </c>
      <c r="I87" s="702" t="s">
        <v>316</v>
      </c>
      <c r="J87" s="497" t="s">
        <v>579</v>
      </c>
      <c r="K87" s="702">
        <v>7022661140</v>
      </c>
      <c r="L87" s="702" t="s">
        <v>290</v>
      </c>
      <c r="M87" s="702" t="s">
        <v>573</v>
      </c>
      <c r="N87" s="496" t="s">
        <v>574</v>
      </c>
      <c r="O87" s="702" t="s">
        <v>574</v>
      </c>
      <c r="P87" s="702" t="s">
        <v>294</v>
      </c>
      <c r="Q87" s="702" t="s">
        <v>294</v>
      </c>
      <c r="R87" s="702" t="s">
        <v>517</v>
      </c>
      <c r="S87" s="702" t="s">
        <v>270</v>
      </c>
      <c r="T87" s="702" t="s">
        <v>271</v>
      </c>
      <c r="U87" s="703">
        <v>46034</v>
      </c>
      <c r="V87" s="703">
        <v>46034</v>
      </c>
      <c r="W87" s="702"/>
      <c r="X87" s="702"/>
      <c r="Y87" s="702"/>
      <c r="Z87" s="702"/>
      <c r="AA87" s="702"/>
      <c r="AB87" s="702"/>
      <c r="AC87" s="702"/>
      <c r="AD87" s="702"/>
      <c r="AE87" s="46"/>
    </row>
    <row r="88" spans="1:31" ht="14.45">
      <c r="A88" s="702" t="s">
        <v>90</v>
      </c>
      <c r="B88" s="702" t="s">
        <v>258</v>
      </c>
      <c r="C88" s="702" t="str">
        <f>IF(ISBLANK(B88),"",_xlfn.XLOOKUP(B88,Recruiter!A:A,Recruiter!B:B))</f>
        <v>Bhoomika</v>
      </c>
      <c r="D88" s="702" t="str">
        <f>IF(ISBLANK(A88),"",_xlfn.XLOOKUP(A88,'Requirement Overview'!C:C,'Requirement Overview'!E:E))</f>
        <v>Talme</v>
      </c>
      <c r="E88" s="702" t="str">
        <f>IF(ISBLANK(A88),"",_xlfn.XLOOKUP(A88,'Requirement Overview'!C:C,'Requirement Overview'!H:H))</f>
        <v>IT</v>
      </c>
      <c r="F88" s="702" t="str">
        <f>IF(ISBLANK(A88),"",_xlfn.XLOOKUP(A88,'Requirement Overview'!C:C,'Requirement Overview'!I:I))</f>
        <v>HR Recruiter</v>
      </c>
      <c r="G88" s="702" t="str">
        <f>IF(ISBLANK(A88),"",_xlfn.XLOOKUP(A88,'Requirement Overview'!C:C,'Requirement Overview'!G:G))</f>
        <v xml:space="preserve">Talme </v>
      </c>
      <c r="H88" s="470" t="s">
        <v>580</v>
      </c>
      <c r="I88" s="702" t="s">
        <v>316</v>
      </c>
      <c r="J88" s="497" t="s">
        <v>581</v>
      </c>
      <c r="K88" s="702">
        <v>7488168092</v>
      </c>
      <c r="L88" s="702" t="s">
        <v>582</v>
      </c>
      <c r="M88" s="702" t="s">
        <v>573</v>
      </c>
      <c r="N88" s="496" t="s">
        <v>574</v>
      </c>
      <c r="O88" s="702" t="s">
        <v>574</v>
      </c>
      <c r="P88" s="702" t="s">
        <v>294</v>
      </c>
      <c r="Q88" s="702" t="s">
        <v>294</v>
      </c>
      <c r="R88" s="702" t="s">
        <v>517</v>
      </c>
      <c r="S88" s="702" t="s">
        <v>270</v>
      </c>
      <c r="T88" s="702" t="s">
        <v>271</v>
      </c>
      <c r="U88" s="703">
        <v>46034</v>
      </c>
      <c r="V88" s="703">
        <v>46034</v>
      </c>
      <c r="W88" s="702"/>
      <c r="X88" s="702"/>
      <c r="Y88" s="702"/>
      <c r="Z88" s="702"/>
      <c r="AA88" s="702"/>
      <c r="AB88" s="702"/>
      <c r="AC88" s="702"/>
      <c r="AD88" s="702"/>
      <c r="AE88" s="46"/>
    </row>
    <row r="89" spans="1:31" ht="14.45">
      <c r="A89" s="702" t="s">
        <v>90</v>
      </c>
      <c r="B89" s="702" t="s">
        <v>258</v>
      </c>
      <c r="C89" s="702" t="str">
        <f>IF(ISBLANK(B89),"",_xlfn.XLOOKUP(B89,Recruiter!A:A,Recruiter!B:B))</f>
        <v>Bhoomika</v>
      </c>
      <c r="D89" s="702" t="str">
        <f>IF(ISBLANK(A89),"",_xlfn.XLOOKUP(A89,'Requirement Overview'!C:C,'Requirement Overview'!E:E))</f>
        <v>Talme</v>
      </c>
      <c r="E89" s="702" t="str">
        <f>IF(ISBLANK(A89),"",_xlfn.XLOOKUP(A89,'Requirement Overview'!C:C,'Requirement Overview'!H:H))</f>
        <v>IT</v>
      </c>
      <c r="F89" s="702" t="str">
        <f>IF(ISBLANK(A89),"",_xlfn.XLOOKUP(A89,'Requirement Overview'!C:C,'Requirement Overview'!I:I))</f>
        <v>HR Recruiter</v>
      </c>
      <c r="G89" s="702" t="str">
        <f>IF(ISBLANK(A89),"",_xlfn.XLOOKUP(A89,'Requirement Overview'!C:C,'Requirement Overview'!G:G))</f>
        <v xml:space="preserve">Talme </v>
      </c>
      <c r="H89" s="470" t="s">
        <v>583</v>
      </c>
      <c r="I89" s="702" t="s">
        <v>316</v>
      </c>
      <c r="J89" s="497" t="s">
        <v>584</v>
      </c>
      <c r="K89" s="702">
        <v>8088808200</v>
      </c>
      <c r="L89" s="702" t="s">
        <v>290</v>
      </c>
      <c r="M89" s="702" t="s">
        <v>573</v>
      </c>
      <c r="N89" s="496" t="s">
        <v>574</v>
      </c>
      <c r="O89" s="702" t="s">
        <v>574</v>
      </c>
      <c r="P89" s="702" t="s">
        <v>294</v>
      </c>
      <c r="Q89" s="702" t="s">
        <v>294</v>
      </c>
      <c r="R89" s="702" t="s">
        <v>517</v>
      </c>
      <c r="S89" s="702" t="s">
        <v>270</v>
      </c>
      <c r="T89" s="702" t="s">
        <v>271</v>
      </c>
      <c r="U89" s="703">
        <v>46034</v>
      </c>
      <c r="V89" s="703">
        <v>46034</v>
      </c>
      <c r="W89" s="702"/>
      <c r="X89" s="702"/>
      <c r="Y89" s="702"/>
      <c r="Z89" s="702"/>
      <c r="AA89" s="702"/>
      <c r="AB89" s="702"/>
      <c r="AC89" s="702"/>
      <c r="AD89" s="702"/>
      <c r="AE89" s="46"/>
    </row>
    <row r="90" spans="1:31" ht="14.45">
      <c r="A90" s="47" t="s">
        <v>70</v>
      </c>
      <c r="B90" s="47" t="s">
        <v>236</v>
      </c>
      <c r="C90" s="47" t="str">
        <f>IF(ISBLANK(B90),"",_xlfn.XLOOKUP(B90,Recruiter!A:A,Recruiter!B:B))</f>
        <v>Pooja</v>
      </c>
      <c r="D90" s="47" t="str">
        <f>IF(ISBLANK(A90),"",_xlfn.XLOOKUP(A90,'Requirement Overview'!C:C,'Requirement Overview'!E:E))</f>
        <v>Talme</v>
      </c>
      <c r="E90" s="47" t="str">
        <f>IF(ISBLANK(A90),"",_xlfn.XLOOKUP(A90,'Requirement Overview'!C:C,'Requirement Overview'!H:H))</f>
        <v>Non - IT</v>
      </c>
      <c r="F90" s="47" t="str">
        <f>IF(ISBLANK(A90),"",_xlfn.XLOOKUP(A90,'Requirement Overview'!C:C,'Requirement Overview'!I:I))</f>
        <v>Key Accounts Manager</v>
      </c>
      <c r="G90" s="255" t="str">
        <f>IF(ISBLANK(A90),"",_xlfn.XLOOKUP(A90,'Requirement Overview'!C:C,'Requirement Overview'!G:G))</f>
        <v>Avinashi Ads</v>
      </c>
      <c r="H90" s="429" t="s">
        <v>585</v>
      </c>
      <c r="I90" s="184" t="s">
        <v>519</v>
      </c>
      <c r="J90" s="564" t="s">
        <v>586</v>
      </c>
      <c r="K90" s="563">
        <v>9611277031</v>
      </c>
      <c r="L90" s="184" t="s">
        <v>290</v>
      </c>
      <c r="M90" s="47" t="s">
        <v>587</v>
      </c>
      <c r="N90" s="432" t="s">
        <v>588</v>
      </c>
      <c r="O90" s="47" t="s">
        <v>589</v>
      </c>
      <c r="P90" s="47"/>
      <c r="Q90" s="47"/>
      <c r="R90" s="47" t="s">
        <v>590</v>
      </c>
      <c r="S90" s="47" t="s">
        <v>270</v>
      </c>
      <c r="T90" s="47" t="s">
        <v>103</v>
      </c>
      <c r="U90" s="118">
        <v>46034</v>
      </c>
      <c r="V90" s="118">
        <v>46034</v>
      </c>
      <c r="W90" s="47"/>
      <c r="X90" s="47"/>
      <c r="Y90" s="47"/>
      <c r="Z90" s="47"/>
      <c r="AA90" s="47"/>
      <c r="AB90" s="47"/>
      <c r="AC90" s="47"/>
      <c r="AD90" s="47"/>
    </row>
    <row r="91" spans="1:31" ht="14.45">
      <c r="A91" s="24" t="s">
        <v>70</v>
      </c>
      <c r="B91" s="24" t="s">
        <v>236</v>
      </c>
      <c r="C91" s="24" t="str">
        <f>IF(ISBLANK(B91),"",_xlfn.XLOOKUP(B91,Recruiter!A:A,Recruiter!B:B))</f>
        <v>Pooja</v>
      </c>
      <c r="D91" s="24" t="str">
        <f>IF(ISBLANK(A91),"",_xlfn.XLOOKUP(A91,'Requirement Overview'!C:C,'Requirement Overview'!E:E))</f>
        <v>Talme</v>
      </c>
      <c r="E91" s="24" t="str">
        <f>IF(ISBLANK(A91),"",_xlfn.XLOOKUP(A91,'Requirement Overview'!C:C,'Requirement Overview'!H:H))</f>
        <v>Non - IT</v>
      </c>
      <c r="F91" s="24" t="str">
        <f>IF(ISBLANK(A91),"",_xlfn.XLOOKUP(A91,'Requirement Overview'!C:C,'Requirement Overview'!I:I))</f>
        <v>Key Accounts Manager</v>
      </c>
      <c r="G91" s="58" t="str">
        <f>IF(ISBLANK(A91),"",_xlfn.XLOOKUP(A91,'Requirement Overview'!C:C,'Requirement Overview'!G:G))</f>
        <v>Avinashi Ads</v>
      </c>
      <c r="H91" s="185" t="s">
        <v>591</v>
      </c>
      <c r="I91" s="46" t="s">
        <v>519</v>
      </c>
      <c r="J91" s="195" t="s">
        <v>592</v>
      </c>
      <c r="K91" s="21">
        <v>9686908119</v>
      </c>
      <c r="L91" s="46" t="s">
        <v>290</v>
      </c>
      <c r="M91" s="24" t="s">
        <v>593</v>
      </c>
      <c r="N91" s="91" t="s">
        <v>594</v>
      </c>
      <c r="O91" s="24" t="s">
        <v>386</v>
      </c>
      <c r="R91" s="24" t="s">
        <v>244</v>
      </c>
      <c r="S91" s="24" t="s">
        <v>270</v>
      </c>
      <c r="T91" s="24" t="s">
        <v>103</v>
      </c>
      <c r="U91" s="29">
        <v>46034</v>
      </c>
      <c r="V91" s="29">
        <v>46034</v>
      </c>
    </row>
    <row r="92" spans="1:31" ht="14.45">
      <c r="A92" s="24" t="s">
        <v>70</v>
      </c>
      <c r="B92" s="24" t="s">
        <v>236</v>
      </c>
      <c r="C92" s="24" t="str">
        <f>IF(ISBLANK(B92),"",_xlfn.XLOOKUP(B92,Recruiter!A:A,Recruiter!B:B))</f>
        <v>Pooja</v>
      </c>
      <c r="D92" s="24" t="str">
        <f>IF(ISBLANK(A92),"",_xlfn.XLOOKUP(A92,'Requirement Overview'!C:C,'Requirement Overview'!E:E))</f>
        <v>Talme</v>
      </c>
      <c r="E92" s="24" t="str">
        <f>IF(ISBLANK(A92),"",_xlfn.XLOOKUP(A92,'Requirement Overview'!C:C,'Requirement Overview'!H:H))</f>
        <v>Non - IT</v>
      </c>
      <c r="F92" s="24" t="str">
        <f>IF(ISBLANK(A92),"",_xlfn.XLOOKUP(A92,'Requirement Overview'!C:C,'Requirement Overview'!I:I))</f>
        <v>Key Accounts Manager</v>
      </c>
      <c r="G92" s="58" t="str">
        <f>IF(ISBLANK(A92),"",_xlfn.XLOOKUP(A92,'Requirement Overview'!C:C,'Requirement Overview'!G:G))</f>
        <v>Avinashi Ads</v>
      </c>
      <c r="H92" s="185" t="s">
        <v>595</v>
      </c>
      <c r="I92" s="46" t="s">
        <v>497</v>
      </c>
      <c r="J92" s="195" t="s">
        <v>596</v>
      </c>
      <c r="K92" s="21">
        <v>9902295595</v>
      </c>
      <c r="L92" s="46" t="s">
        <v>597</v>
      </c>
      <c r="M92" s="24" t="s">
        <v>598</v>
      </c>
      <c r="N92" s="91" t="s">
        <v>599</v>
      </c>
      <c r="O92" s="24" t="s">
        <v>540</v>
      </c>
      <c r="R92" s="24" t="s">
        <v>600</v>
      </c>
      <c r="S92" s="24" t="s">
        <v>601</v>
      </c>
      <c r="T92" s="24" t="s">
        <v>103</v>
      </c>
      <c r="U92" s="29">
        <v>46034</v>
      </c>
      <c r="V92" s="29">
        <v>46034</v>
      </c>
    </row>
    <row r="93" spans="1:31" ht="14.45">
      <c r="A93" s="24" t="s">
        <v>68</v>
      </c>
      <c r="B93" s="24" t="s">
        <v>236</v>
      </c>
      <c r="C93" s="24" t="str">
        <f>IF(ISBLANK(B93),"",_xlfn.XLOOKUP(B93,Recruiter!A:A,Recruiter!B:B))</f>
        <v>Pooja</v>
      </c>
      <c r="D93" s="24" t="str">
        <f>IF(ISBLANK(A93),"",_xlfn.XLOOKUP(A93,'Requirement Overview'!C:C,'Requirement Overview'!E:E))</f>
        <v>Talme</v>
      </c>
      <c r="E93" s="24" t="str">
        <f>IF(ISBLANK(A93),"",_xlfn.XLOOKUP(A93,'Requirement Overview'!C:C,'Requirement Overview'!H:H))</f>
        <v>Non - IT</v>
      </c>
      <c r="F93" s="24" t="str">
        <f>IF(ISBLANK(A93),"",_xlfn.XLOOKUP(A93,'Requirement Overview'!C:C,'Requirement Overview'!I:I))</f>
        <v>Associate Sales</v>
      </c>
      <c r="G93" s="58" t="str">
        <f>IF(ISBLANK(A93),"",_xlfn.XLOOKUP(A93,'Requirement Overview'!C:C,'Requirement Overview'!G:G))</f>
        <v>Avinashi Ads</v>
      </c>
      <c r="H93" s="185" t="s">
        <v>602</v>
      </c>
      <c r="I93" s="46" t="s">
        <v>519</v>
      </c>
      <c r="J93" s="195" t="s">
        <v>603</v>
      </c>
      <c r="K93" s="21">
        <v>7618719963</v>
      </c>
      <c r="L93" s="46" t="s">
        <v>604</v>
      </c>
      <c r="M93" s="24" t="s">
        <v>499</v>
      </c>
      <c r="N93" s="91" t="s">
        <v>605</v>
      </c>
      <c r="O93" s="24" t="s">
        <v>327</v>
      </c>
      <c r="R93" s="24" t="s">
        <v>295</v>
      </c>
      <c r="S93" s="24" t="s">
        <v>470</v>
      </c>
      <c r="T93" s="24" t="s">
        <v>271</v>
      </c>
      <c r="U93" s="29">
        <v>46034</v>
      </c>
      <c r="V93" s="29">
        <v>46034</v>
      </c>
    </row>
    <row r="94" spans="1:31" ht="14.45">
      <c r="A94" s="24" t="s">
        <v>70</v>
      </c>
      <c r="B94" s="24" t="s">
        <v>236</v>
      </c>
      <c r="C94" s="24" t="str">
        <f>IF(ISBLANK(B94),"",_xlfn.XLOOKUP(B94,Recruiter!A:A,Recruiter!B:B))</f>
        <v>Pooja</v>
      </c>
      <c r="D94" s="24" t="str">
        <f>IF(ISBLANK(A94),"",_xlfn.XLOOKUP(A94,'Requirement Overview'!C:C,'Requirement Overview'!E:E))</f>
        <v>Talme</v>
      </c>
      <c r="E94" s="24" t="str">
        <f>IF(ISBLANK(A94),"",_xlfn.XLOOKUP(A94,'Requirement Overview'!C:C,'Requirement Overview'!H:H))</f>
        <v>Non - IT</v>
      </c>
      <c r="F94" s="27" t="s">
        <v>606</v>
      </c>
      <c r="G94" s="58" t="str">
        <f>IF(ISBLANK(A94),"",_xlfn.XLOOKUP(A94,'Requirement Overview'!C:C,'Requirement Overview'!G:G))</f>
        <v>Avinashi Ads</v>
      </c>
      <c r="H94" s="185" t="s">
        <v>607</v>
      </c>
      <c r="I94" s="46"/>
      <c r="J94" s="59" t="s">
        <v>608</v>
      </c>
      <c r="K94" s="21">
        <v>9035445936</v>
      </c>
      <c r="L94" s="46"/>
      <c r="N94" s="91"/>
      <c r="S94" s="24" t="s">
        <v>518</v>
      </c>
      <c r="U94" s="29">
        <v>46034</v>
      </c>
      <c r="V94" s="29">
        <v>46034</v>
      </c>
    </row>
    <row r="95" spans="1:31" ht="14.45">
      <c r="A95" s="24" t="s">
        <v>70</v>
      </c>
      <c r="B95" s="24" t="s">
        <v>236</v>
      </c>
      <c r="C95" s="24" t="str">
        <f>IF(ISBLANK(B95),"",_xlfn.XLOOKUP(B95,Recruiter!A:A,Recruiter!B:B))</f>
        <v>Pooja</v>
      </c>
      <c r="D95" s="24" t="str">
        <f>IF(ISBLANK(A95),"",_xlfn.XLOOKUP(A95,'Requirement Overview'!C:C,'Requirement Overview'!E:E))</f>
        <v>Talme</v>
      </c>
      <c r="E95" s="24" t="str">
        <f>IF(ISBLANK(A95),"",_xlfn.XLOOKUP(A95,'Requirement Overview'!C:C,'Requirement Overview'!H:H))</f>
        <v>Non - IT</v>
      </c>
      <c r="F95" s="24" t="str">
        <f>IF(ISBLANK(A95),"",_xlfn.XLOOKUP(A95,'Requirement Overview'!C:C,'Requirement Overview'!I:I))</f>
        <v>Key Accounts Manager</v>
      </c>
      <c r="G95" s="58" t="str">
        <f>IF(ISBLANK(A95),"",_xlfn.XLOOKUP(A95,'Requirement Overview'!C:C,'Requirement Overview'!G:G))</f>
        <v>Avinashi Ads</v>
      </c>
      <c r="H95" s="185" t="s">
        <v>609</v>
      </c>
      <c r="I95" s="46"/>
      <c r="J95" s="59" t="s">
        <v>610</v>
      </c>
      <c r="K95" s="21">
        <v>9740326930</v>
      </c>
      <c r="L95" s="46"/>
      <c r="N95" s="91"/>
      <c r="S95" s="24" t="s">
        <v>518</v>
      </c>
      <c r="U95" s="29">
        <v>46034</v>
      </c>
      <c r="V95" s="29">
        <v>46034</v>
      </c>
    </row>
    <row r="96" spans="1:31" ht="14.45">
      <c r="A96" s="24" t="s">
        <v>70</v>
      </c>
      <c r="B96" s="24" t="s">
        <v>236</v>
      </c>
      <c r="C96" s="24" t="str">
        <f>IF(ISBLANK(B96),"",_xlfn.XLOOKUP(B96,Recruiter!A:A,Recruiter!B:B))</f>
        <v>Pooja</v>
      </c>
      <c r="D96" s="24" t="str">
        <f>IF(ISBLANK(A96),"",_xlfn.XLOOKUP(A96,'Requirement Overview'!C:C,'Requirement Overview'!E:E))</f>
        <v>Talme</v>
      </c>
      <c r="E96" s="24" t="str">
        <f>IF(ISBLANK(A96),"",_xlfn.XLOOKUP(A96,'Requirement Overview'!C:C,'Requirement Overview'!H:H))</f>
        <v>Non - IT</v>
      </c>
      <c r="F96" s="24" t="str">
        <f>IF(ISBLANK(A96),"",_xlfn.XLOOKUP(A96,'Requirement Overview'!C:C,'Requirement Overview'!I:I))</f>
        <v>Key Accounts Manager</v>
      </c>
      <c r="G96" s="58" t="str">
        <f>IF(ISBLANK(A96),"",_xlfn.XLOOKUP(A96,'Requirement Overview'!C:C,'Requirement Overview'!G:G))</f>
        <v>Avinashi Ads</v>
      </c>
      <c r="H96" s="185" t="s">
        <v>611</v>
      </c>
      <c r="I96" s="46"/>
      <c r="J96" s="59"/>
      <c r="K96" s="21">
        <v>8971264671</v>
      </c>
      <c r="L96" s="46"/>
      <c r="N96" s="91"/>
      <c r="S96" s="24" t="s">
        <v>612</v>
      </c>
      <c r="U96" s="29">
        <v>46034</v>
      </c>
      <c r="V96" s="29">
        <v>46034</v>
      </c>
    </row>
    <row r="97" spans="1:31" ht="14.45">
      <c r="A97" s="24" t="s">
        <v>70</v>
      </c>
      <c r="B97" s="24" t="s">
        <v>236</v>
      </c>
      <c r="C97" s="24" t="str">
        <f>IF(ISBLANK(B97),"",_xlfn.XLOOKUP(B97,Recruiter!A:A,Recruiter!B:B))</f>
        <v>Pooja</v>
      </c>
      <c r="D97" s="24" t="str">
        <f>IF(ISBLANK(A97),"",_xlfn.XLOOKUP(A97,'Requirement Overview'!C:C,'Requirement Overview'!E:E))</f>
        <v>Talme</v>
      </c>
      <c r="E97" s="24" t="str">
        <f>IF(ISBLANK(A97),"",_xlfn.XLOOKUP(A97,'Requirement Overview'!C:C,'Requirement Overview'!H:H))</f>
        <v>Non - IT</v>
      </c>
      <c r="F97" s="24" t="str">
        <f>IF(ISBLANK(A97),"",_xlfn.XLOOKUP(A97,'Requirement Overview'!C:C,'Requirement Overview'!I:I))</f>
        <v>Key Accounts Manager</v>
      </c>
      <c r="G97" s="58" t="str">
        <f>IF(ISBLANK(A97),"",_xlfn.XLOOKUP(A97,'Requirement Overview'!C:C,'Requirement Overview'!G:G))</f>
        <v>Avinashi Ads</v>
      </c>
      <c r="H97" s="185" t="s">
        <v>613</v>
      </c>
      <c r="I97" s="46"/>
      <c r="J97" s="59" t="s">
        <v>614</v>
      </c>
      <c r="K97" s="24">
        <v>9686840513</v>
      </c>
      <c r="L97" s="46"/>
      <c r="N97" s="91"/>
      <c r="S97" s="24" t="s">
        <v>612</v>
      </c>
      <c r="U97" s="29">
        <v>46034</v>
      </c>
      <c r="V97" s="29">
        <v>46034</v>
      </c>
    </row>
    <row r="98" spans="1:31" ht="14.45">
      <c r="A98" s="51" t="s">
        <v>70</v>
      </c>
      <c r="B98" s="51" t="s">
        <v>236</v>
      </c>
      <c r="C98" s="51" t="str">
        <f>IF(ISBLANK(B98),"",_xlfn.XLOOKUP(B98,Recruiter!A:A,Recruiter!B:B))</f>
        <v>Pooja</v>
      </c>
      <c r="D98" s="51" t="str">
        <f>IF(ISBLANK(A98),"",_xlfn.XLOOKUP(A98,'Requirement Overview'!C:C,'Requirement Overview'!E:E))</f>
        <v>Talme</v>
      </c>
      <c r="E98" s="51" t="str">
        <f>IF(ISBLANK(A98),"",_xlfn.XLOOKUP(A98,'Requirement Overview'!C:C,'Requirement Overview'!H:H))</f>
        <v>Non - IT</v>
      </c>
      <c r="F98" s="51" t="str">
        <f>IF(ISBLANK(A98),"",_xlfn.XLOOKUP(A98,'Requirement Overview'!C:C,'Requirement Overview'!I:I))</f>
        <v>Key Accounts Manager</v>
      </c>
      <c r="G98" s="62" t="str">
        <f>IF(ISBLANK(A98),"",_xlfn.XLOOKUP(A98,'Requirement Overview'!C:C,'Requirement Overview'!G:G))</f>
        <v>Avinashi Ads</v>
      </c>
      <c r="H98" s="518" t="s">
        <v>615</v>
      </c>
      <c r="I98" s="108"/>
      <c r="J98" s="225" t="s">
        <v>616</v>
      </c>
      <c r="K98" s="51">
        <v>9535384449</v>
      </c>
      <c r="L98" s="108"/>
      <c r="M98" s="51"/>
      <c r="N98" s="110"/>
      <c r="O98" s="51"/>
      <c r="P98" s="51"/>
      <c r="Q98" s="51"/>
      <c r="R98" s="51"/>
      <c r="S98" s="51" t="s">
        <v>612</v>
      </c>
      <c r="T98" s="51"/>
      <c r="U98" s="89">
        <v>46034</v>
      </c>
      <c r="V98" s="89">
        <v>46034</v>
      </c>
      <c r="W98" s="51"/>
      <c r="X98" s="51"/>
      <c r="Y98" s="51"/>
      <c r="Z98" s="51"/>
      <c r="AA98" s="51"/>
      <c r="AB98" s="51"/>
      <c r="AC98" s="51"/>
      <c r="AD98" s="51"/>
    </row>
    <row r="99" spans="1:31" ht="14.45">
      <c r="A99" s="702" t="s">
        <v>55</v>
      </c>
      <c r="B99" s="702" t="s">
        <v>258</v>
      </c>
      <c r="C99" s="702" t="str">
        <f>IF(ISBLANK(B99),"",_xlfn.XLOOKUP(B99,Recruiter!A:A,Recruiter!B:B))</f>
        <v>Bhoomika</v>
      </c>
      <c r="D99" s="702" t="str">
        <f>IF(ISBLANK(A99),"",_xlfn.XLOOKUP(A99,'Requirement Overview'!C:C,'Requirement Overview'!E:E))</f>
        <v>Talme</v>
      </c>
      <c r="E99" s="702" t="str">
        <f>IF(ISBLANK(A99),"",_xlfn.XLOOKUP(A99,'Requirement Overview'!C:C,'Requirement Overview'!H:H))</f>
        <v>Non - IT</v>
      </c>
      <c r="F99" s="702" t="str">
        <f>IF(ISBLANK(A99),"",_xlfn.XLOOKUP(A99,'Requirement Overview'!C:C,'Requirement Overview'!I:I))</f>
        <v>Inside Sales Executive</v>
      </c>
      <c r="G99" s="702" t="str">
        <f>IF(ISBLANK(A99),"",_xlfn.XLOOKUP(A99,'Requirement Overview'!C:C,'Requirement Overview'!G:G))</f>
        <v>Peritas</v>
      </c>
      <c r="H99" s="470" t="s">
        <v>617</v>
      </c>
      <c r="I99" s="702" t="s">
        <v>618</v>
      </c>
      <c r="J99" s="497" t="s">
        <v>619</v>
      </c>
      <c r="K99" s="702">
        <v>8050337578</v>
      </c>
      <c r="L99" s="702" t="s">
        <v>311</v>
      </c>
      <c r="M99" s="702" t="s">
        <v>620</v>
      </c>
      <c r="N99" s="496" t="s">
        <v>621</v>
      </c>
      <c r="O99" s="702" t="s">
        <v>622</v>
      </c>
      <c r="P99" s="702" t="s">
        <v>294</v>
      </c>
      <c r="Q99" s="702" t="s">
        <v>294</v>
      </c>
      <c r="R99" s="702" t="s">
        <v>623</v>
      </c>
      <c r="S99" s="702" t="s">
        <v>270</v>
      </c>
      <c r="T99" s="702" t="s">
        <v>271</v>
      </c>
      <c r="U99" s="703">
        <v>46034</v>
      </c>
      <c r="V99" s="703">
        <v>46034</v>
      </c>
      <c r="W99" s="702"/>
      <c r="X99" s="702"/>
      <c r="Y99" s="702"/>
      <c r="Z99" s="702"/>
      <c r="AA99" s="702"/>
      <c r="AB99" s="702"/>
      <c r="AC99" s="702"/>
      <c r="AD99" s="702"/>
      <c r="AE99" s="46"/>
    </row>
    <row r="100" spans="1:31" ht="14.45">
      <c r="A100" s="47" t="s">
        <v>92</v>
      </c>
      <c r="B100" s="47" t="s">
        <v>236</v>
      </c>
      <c r="C100" s="47" t="str">
        <f>IF(ISBLANK(B100),"",_xlfn.XLOOKUP(B100,Recruiter!A:A,Recruiter!B:B))</f>
        <v>Pooja</v>
      </c>
      <c r="D100" s="47" t="str">
        <f>IF(ISBLANK(A100),"",_xlfn.XLOOKUP(A100,'Requirement Overview'!C:C,'Requirement Overview'!E:E))</f>
        <v>Talme</v>
      </c>
      <c r="E100" s="47" t="str">
        <f>IF(ISBLANK(A100),"",_xlfn.XLOOKUP(A100,'Requirement Overview'!C:C,'Requirement Overview'!H:H))</f>
        <v>IT</v>
      </c>
      <c r="F100" s="47" t="str">
        <f>IF(ISBLANK(A100),"",_xlfn.XLOOKUP(A100,'Requirement Overview'!C:C,'Requirement Overview'!I:I))</f>
        <v>Lead Data Engineer</v>
      </c>
      <c r="G100" s="255" t="str">
        <f>IF(ISBLANK(A100),"",_xlfn.XLOOKUP(A100,'Requirement Overview'!C:C,'Requirement Overview'!G:G))</f>
        <v>Thoughtfocus</v>
      </c>
      <c r="H100" s="429" t="s">
        <v>624</v>
      </c>
      <c r="I100" s="570" t="s">
        <v>625</v>
      </c>
      <c r="J100" s="375" t="s">
        <v>626</v>
      </c>
      <c r="K100" s="571">
        <v>7569309154</v>
      </c>
      <c r="L100" s="184" t="s">
        <v>330</v>
      </c>
      <c r="M100" s="47" t="s">
        <v>627</v>
      </c>
      <c r="N100" s="432" t="s">
        <v>415</v>
      </c>
      <c r="O100" s="47" t="s">
        <v>444</v>
      </c>
      <c r="P100" s="47"/>
      <c r="Q100" s="47"/>
      <c r="R100" s="47" t="s">
        <v>628</v>
      </c>
      <c r="S100" s="47" t="s">
        <v>470</v>
      </c>
      <c r="T100" s="47" t="s">
        <v>103</v>
      </c>
      <c r="U100" s="118">
        <v>46035</v>
      </c>
      <c r="V100" s="118">
        <v>46035</v>
      </c>
      <c r="W100" s="47"/>
      <c r="X100" s="47"/>
      <c r="Y100" s="47"/>
      <c r="Z100" s="47"/>
      <c r="AA100" s="47"/>
      <c r="AB100" s="47"/>
      <c r="AC100" s="47"/>
      <c r="AD100" s="47"/>
    </row>
    <row r="101" spans="1:31" ht="14.45">
      <c r="A101" s="24" t="s">
        <v>92</v>
      </c>
      <c r="B101" s="24" t="s">
        <v>236</v>
      </c>
      <c r="C101" s="24" t="str">
        <f>IF(ISBLANK(B101),"",_xlfn.XLOOKUP(B101,Recruiter!A:A,Recruiter!B:B))</f>
        <v>Pooja</v>
      </c>
      <c r="D101" s="24" t="str">
        <f>IF(ISBLANK(A101),"",_xlfn.XLOOKUP(A101,'Requirement Overview'!C:C,'Requirement Overview'!E:E))</f>
        <v>Talme</v>
      </c>
      <c r="E101" s="24" t="str">
        <f>IF(ISBLANK(A101),"",_xlfn.XLOOKUP(A101,'Requirement Overview'!C:C,'Requirement Overview'!H:H))</f>
        <v>IT</v>
      </c>
      <c r="F101" s="24" t="str">
        <f>IF(ISBLANK(A101),"",_xlfn.XLOOKUP(A101,'Requirement Overview'!C:C,'Requirement Overview'!I:I))</f>
        <v>Lead Data Engineer</v>
      </c>
      <c r="G101" s="58" t="str">
        <f>IF(ISBLANK(A101),"",_xlfn.XLOOKUP(A101,'Requirement Overview'!C:C,'Requirement Overview'!G:G))</f>
        <v>Thoughtfocus</v>
      </c>
      <c r="H101" s="185" t="s">
        <v>629</v>
      </c>
      <c r="I101" s="155" t="s">
        <v>519</v>
      </c>
      <c r="J101" s="59" t="s">
        <v>630</v>
      </c>
      <c r="K101" s="21">
        <v>8667002741</v>
      </c>
      <c r="L101" s="227" t="s">
        <v>631</v>
      </c>
      <c r="M101" s="24" t="s">
        <v>627</v>
      </c>
      <c r="N101" s="91" t="s">
        <v>632</v>
      </c>
      <c r="O101" s="24" t="s">
        <v>633</v>
      </c>
      <c r="R101" s="24" t="s">
        <v>517</v>
      </c>
      <c r="S101" s="24" t="s">
        <v>470</v>
      </c>
      <c r="T101" s="24" t="s">
        <v>103</v>
      </c>
      <c r="U101" s="29">
        <v>46035</v>
      </c>
      <c r="V101" s="29">
        <v>46035</v>
      </c>
    </row>
    <row r="102" spans="1:31" ht="14.45">
      <c r="A102" s="24" t="s">
        <v>70</v>
      </c>
      <c r="B102" s="24" t="s">
        <v>236</v>
      </c>
      <c r="C102" s="24" t="str">
        <f>IF(ISBLANK(B102),"",_xlfn.XLOOKUP(B102,Recruiter!A:A,Recruiter!B:B))</f>
        <v>Pooja</v>
      </c>
      <c r="D102" s="24" t="str">
        <f>IF(ISBLANK(A102),"",_xlfn.XLOOKUP(A102,'Requirement Overview'!C:C,'Requirement Overview'!E:E))</f>
        <v>Talme</v>
      </c>
      <c r="E102" s="24" t="str">
        <f>IF(ISBLANK(A102),"",_xlfn.XLOOKUP(A102,'Requirement Overview'!C:C,'Requirement Overview'!H:H))</f>
        <v>Non - IT</v>
      </c>
      <c r="F102" s="24" t="str">
        <f>IF(ISBLANK(A102),"",_xlfn.XLOOKUP(A102,'Requirement Overview'!C:C,'Requirement Overview'!I:I))</f>
        <v>Key Accounts Manager</v>
      </c>
      <c r="G102" s="58" t="str">
        <f>IF(ISBLANK(A102),"",_xlfn.XLOOKUP(A102,'Requirement Overview'!C:C,'Requirement Overview'!G:G))</f>
        <v>Avinashi Ads</v>
      </c>
      <c r="H102" s="185" t="s">
        <v>634</v>
      </c>
      <c r="I102" s="153" t="s">
        <v>262</v>
      </c>
      <c r="J102" s="59" t="s">
        <v>635</v>
      </c>
      <c r="K102" s="21">
        <v>8861844787</v>
      </c>
      <c r="L102" s="46" t="s">
        <v>421</v>
      </c>
      <c r="M102" s="24" t="s">
        <v>636</v>
      </c>
      <c r="N102" s="91" t="s">
        <v>637</v>
      </c>
      <c r="O102" s="24" t="s">
        <v>638</v>
      </c>
      <c r="R102" s="24" t="s">
        <v>386</v>
      </c>
      <c r="S102" s="24" t="s">
        <v>601</v>
      </c>
      <c r="T102" s="24" t="s">
        <v>103</v>
      </c>
      <c r="U102" s="29">
        <v>46035</v>
      </c>
      <c r="V102" s="29">
        <v>46035</v>
      </c>
    </row>
    <row r="103" spans="1:31" ht="14.45">
      <c r="A103" s="24" t="s">
        <v>70</v>
      </c>
      <c r="B103" s="24" t="s">
        <v>236</v>
      </c>
      <c r="C103" s="24" t="str">
        <f>IF(ISBLANK(B103),"",_xlfn.XLOOKUP(B103,Recruiter!A:A,Recruiter!B:B))</f>
        <v>Pooja</v>
      </c>
      <c r="D103" s="24" t="str">
        <f>IF(ISBLANK(A103),"",_xlfn.XLOOKUP(A103,'Requirement Overview'!C:C,'Requirement Overview'!E:E))</f>
        <v>Talme</v>
      </c>
      <c r="E103" s="24" t="str">
        <f>IF(ISBLANK(A103),"",_xlfn.XLOOKUP(A103,'Requirement Overview'!C:C,'Requirement Overview'!H:H))</f>
        <v>Non - IT</v>
      </c>
      <c r="F103" s="24" t="str">
        <f>IF(ISBLANK(A103),"",_xlfn.XLOOKUP(A103,'Requirement Overview'!C:C,'Requirement Overview'!I:I))</f>
        <v>Key Accounts Manager</v>
      </c>
      <c r="G103" s="58" t="str">
        <f>IF(ISBLANK(A103),"",_xlfn.XLOOKUP(A103,'Requirement Overview'!C:C,'Requirement Overview'!G:G))</f>
        <v>Avinashi Ads</v>
      </c>
      <c r="H103" s="185" t="s">
        <v>639</v>
      </c>
      <c r="I103" s="153" t="s">
        <v>519</v>
      </c>
      <c r="J103" s="59" t="s">
        <v>640</v>
      </c>
      <c r="K103" s="21">
        <v>7259558744</v>
      </c>
      <c r="L103" s="46" t="s">
        <v>641</v>
      </c>
      <c r="M103" s="24" t="s">
        <v>642</v>
      </c>
      <c r="N103" s="91" t="s">
        <v>643</v>
      </c>
      <c r="O103" s="24" t="s">
        <v>327</v>
      </c>
      <c r="R103" s="24" t="s">
        <v>367</v>
      </c>
      <c r="S103" s="24" t="s">
        <v>601</v>
      </c>
      <c r="T103" s="24" t="s">
        <v>103</v>
      </c>
      <c r="U103" s="29">
        <v>46035</v>
      </c>
      <c r="V103" s="29">
        <v>46035</v>
      </c>
    </row>
    <row r="104" spans="1:31" ht="14.45">
      <c r="A104" s="24" t="s">
        <v>70</v>
      </c>
      <c r="B104" s="24" t="s">
        <v>236</v>
      </c>
      <c r="C104" s="24" t="str">
        <f>IF(ISBLANK(B104),"",_xlfn.XLOOKUP(B104,Recruiter!A:A,Recruiter!B:B))</f>
        <v>Pooja</v>
      </c>
      <c r="D104" s="24" t="str">
        <f>IF(ISBLANK(A104),"",_xlfn.XLOOKUP(A104,'Requirement Overview'!C:C,'Requirement Overview'!E:E))</f>
        <v>Talme</v>
      </c>
      <c r="E104" s="24" t="str">
        <f>IF(ISBLANK(A104),"",_xlfn.XLOOKUP(A104,'Requirement Overview'!C:C,'Requirement Overview'!H:H))</f>
        <v>Non - IT</v>
      </c>
      <c r="F104" s="24" t="str">
        <f>IF(ISBLANK(A104),"",_xlfn.XLOOKUP(A104,'Requirement Overview'!C:C,'Requirement Overview'!I:I))</f>
        <v>Key Accounts Manager</v>
      </c>
      <c r="G104" s="58" t="str">
        <f>IF(ISBLANK(A104),"",_xlfn.XLOOKUP(A104,'Requirement Overview'!C:C,'Requirement Overview'!G:G))</f>
        <v>Avinashi Ads</v>
      </c>
      <c r="H104" s="185" t="s">
        <v>644</v>
      </c>
      <c r="I104" s="153" t="s">
        <v>645</v>
      </c>
      <c r="J104" s="59" t="s">
        <v>646</v>
      </c>
      <c r="K104" s="21">
        <v>8660935036</v>
      </c>
      <c r="L104" s="46" t="s">
        <v>290</v>
      </c>
      <c r="M104" s="24" t="s">
        <v>647</v>
      </c>
      <c r="N104" s="91" t="s">
        <v>648</v>
      </c>
      <c r="O104" s="24" t="s">
        <v>540</v>
      </c>
      <c r="R104" s="24" t="s">
        <v>649</v>
      </c>
      <c r="S104" s="24" t="s">
        <v>601</v>
      </c>
      <c r="T104" s="24" t="s">
        <v>103</v>
      </c>
      <c r="U104" s="29">
        <v>46035</v>
      </c>
      <c r="V104" s="29">
        <v>46035</v>
      </c>
    </row>
    <row r="105" spans="1:31" s="19" customFormat="1" ht="14.45">
      <c r="A105" s="19" t="s">
        <v>35</v>
      </c>
      <c r="B105" s="19" t="s">
        <v>520</v>
      </c>
      <c r="C105" s="19" t="str">
        <f>IF(ISBLANK(B105),"",_xlfn.XLOOKUP(B105,Recruiter!A:A,Recruiter!B:B))</f>
        <v>Narthana</v>
      </c>
      <c r="D105" s="19" t="str">
        <f>IF(ISBLANK(A105),"",_xlfn.XLOOKUP(A105,'Requirement Overview'!C:C,'Requirement Overview'!E:E))</f>
        <v>Talme</v>
      </c>
      <c r="E105" s="19" t="str">
        <f>IF(ISBLANK(A105),"",_xlfn.XLOOKUP(A105,'Requirement Overview'!C:C,'Requirement Overview'!H:H))</f>
        <v>IT</v>
      </c>
      <c r="F105" s="19" t="str">
        <f>IF(ISBLANK(A105),"",_xlfn.XLOOKUP(A105,'Requirement Overview'!C:C,'Requirement Overview'!I:I))</f>
        <v>Windows system adminstrator</v>
      </c>
      <c r="G105" s="59" t="str">
        <f>IF(ISBLANK(A105),"",_xlfn.XLOOKUP(A105,'Requirement Overview'!C:C,'Requirement Overview'!G:G))</f>
        <v>EMIDS</v>
      </c>
      <c r="H105" s="185" t="s">
        <v>650</v>
      </c>
      <c r="I105" s="159" t="s">
        <v>651</v>
      </c>
      <c r="J105" s="199" t="s">
        <v>652</v>
      </c>
      <c r="K105" s="30">
        <v>9502593566</v>
      </c>
      <c r="L105" s="159" t="s">
        <v>350</v>
      </c>
      <c r="M105" s="30" t="s">
        <v>558</v>
      </c>
      <c r="N105" s="92" t="s">
        <v>653</v>
      </c>
      <c r="O105" s="30" t="s">
        <v>654</v>
      </c>
      <c r="P105" s="30"/>
      <c r="Q105" s="30"/>
      <c r="R105" s="30" t="s">
        <v>374</v>
      </c>
      <c r="S105" s="19" t="s">
        <v>360</v>
      </c>
      <c r="T105" s="19" t="s">
        <v>103</v>
      </c>
      <c r="U105" s="29">
        <v>46034</v>
      </c>
      <c r="V105" s="29">
        <v>46034</v>
      </c>
      <c r="W105" s="19" t="s">
        <v>361</v>
      </c>
      <c r="X105" s="31">
        <v>46035</v>
      </c>
      <c r="Y105" s="19" t="s">
        <v>362</v>
      </c>
    </row>
    <row r="106" spans="1:31" s="19" customFormat="1" ht="14.45">
      <c r="A106" s="19" t="s">
        <v>35</v>
      </c>
      <c r="B106" s="19" t="s">
        <v>520</v>
      </c>
      <c r="C106" s="19" t="str">
        <f>IF(ISBLANK(B106),"",_xlfn.XLOOKUP(B106,Recruiter!A:A,Recruiter!B:B))</f>
        <v>Narthana</v>
      </c>
      <c r="D106" s="19" t="str">
        <f>IF(ISBLANK(A106),"",_xlfn.XLOOKUP(A106,'Requirement Overview'!C:C,'Requirement Overview'!E:E))</f>
        <v>Talme</v>
      </c>
      <c r="E106" s="19" t="str">
        <f>IF(ISBLANK(A106),"",_xlfn.XLOOKUP(A106,'Requirement Overview'!C:C,'Requirement Overview'!H:H))</f>
        <v>IT</v>
      </c>
      <c r="F106" s="19" t="str">
        <f>IF(ISBLANK(A106),"",_xlfn.XLOOKUP(A106,'Requirement Overview'!C:C,'Requirement Overview'!I:I))</f>
        <v>Windows system adminstrator</v>
      </c>
      <c r="G106" s="59" t="str">
        <f>IF(ISBLANK(A106),"",_xlfn.XLOOKUP(A106,'Requirement Overview'!C:C,'Requirement Overview'!G:G))</f>
        <v>EMIDS</v>
      </c>
      <c r="H106" s="185" t="s">
        <v>655</v>
      </c>
      <c r="I106" s="159" t="s">
        <v>656</v>
      </c>
      <c r="J106" s="199" t="s">
        <v>657</v>
      </c>
      <c r="K106" s="30">
        <v>9650133684</v>
      </c>
      <c r="L106" s="159" t="s">
        <v>421</v>
      </c>
      <c r="M106" s="30" t="s">
        <v>658</v>
      </c>
      <c r="N106" s="92" t="s">
        <v>659</v>
      </c>
      <c r="O106" s="30" t="s">
        <v>429</v>
      </c>
      <c r="P106" s="30"/>
      <c r="Q106" s="30"/>
      <c r="R106" s="30" t="s">
        <v>386</v>
      </c>
      <c r="S106" s="24" t="s">
        <v>270</v>
      </c>
      <c r="T106" s="19" t="s">
        <v>103</v>
      </c>
      <c r="U106" s="29">
        <v>46034</v>
      </c>
      <c r="V106" s="29">
        <v>46034</v>
      </c>
    </row>
    <row r="107" spans="1:31" s="19" customFormat="1" ht="14.45">
      <c r="A107" s="19" t="s">
        <v>35</v>
      </c>
      <c r="B107" s="19" t="s">
        <v>520</v>
      </c>
      <c r="C107" s="19" t="str">
        <f>IF(ISBLANK(B107),"",_xlfn.XLOOKUP(B107,Recruiter!A:A,Recruiter!B:B))</f>
        <v>Narthana</v>
      </c>
      <c r="D107" s="19" t="str">
        <f>IF(ISBLANK(A107),"",_xlfn.XLOOKUP(A107,'Requirement Overview'!C:C,'Requirement Overview'!E:E))</f>
        <v>Talme</v>
      </c>
      <c r="E107" s="19" t="str">
        <f>IF(ISBLANK(A107),"",_xlfn.XLOOKUP(A107,'Requirement Overview'!C:C,'Requirement Overview'!H:H))</f>
        <v>IT</v>
      </c>
      <c r="F107" s="19" t="str">
        <f>IF(ISBLANK(A107),"",_xlfn.XLOOKUP(A107,'Requirement Overview'!C:C,'Requirement Overview'!I:I))</f>
        <v>Windows system adminstrator</v>
      </c>
      <c r="G107" s="59" t="str">
        <f>IF(ISBLANK(A107),"",_xlfn.XLOOKUP(A107,'Requirement Overview'!C:C,'Requirement Overview'!G:G))</f>
        <v>EMIDS</v>
      </c>
      <c r="H107" s="185" t="s">
        <v>660</v>
      </c>
      <c r="I107" s="159" t="s">
        <v>651</v>
      </c>
      <c r="J107" s="199" t="s">
        <v>661</v>
      </c>
      <c r="K107" s="30">
        <v>9153375056</v>
      </c>
      <c r="L107" s="159" t="s">
        <v>662</v>
      </c>
      <c r="M107" s="30" t="s">
        <v>390</v>
      </c>
      <c r="N107" s="92" t="s">
        <v>415</v>
      </c>
      <c r="O107" s="30" t="s">
        <v>367</v>
      </c>
      <c r="P107" s="30"/>
      <c r="Q107" s="30"/>
      <c r="R107" s="30" t="s">
        <v>368</v>
      </c>
      <c r="S107" s="24" t="s">
        <v>270</v>
      </c>
      <c r="T107" s="19" t="s">
        <v>103</v>
      </c>
      <c r="U107" s="29">
        <v>46034</v>
      </c>
      <c r="V107" s="29">
        <v>46034</v>
      </c>
    </row>
    <row r="108" spans="1:31" s="19" customFormat="1" ht="14.45">
      <c r="A108" s="19" t="s">
        <v>35</v>
      </c>
      <c r="B108" s="19" t="s">
        <v>520</v>
      </c>
      <c r="C108" s="19" t="str">
        <f>IF(ISBLANK(B108),"",_xlfn.XLOOKUP(B108,Recruiter!A:A,Recruiter!B:B))</f>
        <v>Narthana</v>
      </c>
      <c r="D108" s="19" t="str">
        <f>IF(ISBLANK(A108),"",_xlfn.XLOOKUP(A108,'Requirement Overview'!C:C,'Requirement Overview'!E:E))</f>
        <v>Talme</v>
      </c>
      <c r="E108" s="19" t="str">
        <f>IF(ISBLANK(A108),"",_xlfn.XLOOKUP(A108,'Requirement Overview'!C:C,'Requirement Overview'!H:H))</f>
        <v>IT</v>
      </c>
      <c r="F108" s="19" t="str">
        <f>IF(ISBLANK(A108),"",_xlfn.XLOOKUP(A108,'Requirement Overview'!C:C,'Requirement Overview'!I:I))</f>
        <v>Windows system adminstrator</v>
      </c>
      <c r="G108" s="59" t="str">
        <f>IF(ISBLANK(A108),"",_xlfn.XLOOKUP(A108,'Requirement Overview'!C:C,'Requirement Overview'!G:G))</f>
        <v>EMIDS</v>
      </c>
      <c r="H108" s="185" t="s">
        <v>663</v>
      </c>
      <c r="I108" s="159" t="s">
        <v>651</v>
      </c>
      <c r="J108" s="199" t="s">
        <v>664</v>
      </c>
      <c r="K108" s="30">
        <v>7204365922</v>
      </c>
      <c r="L108" s="159" t="s">
        <v>330</v>
      </c>
      <c r="M108" s="30" t="s">
        <v>665</v>
      </c>
      <c r="N108" s="92" t="s">
        <v>653</v>
      </c>
      <c r="O108" s="30" t="s">
        <v>407</v>
      </c>
      <c r="P108" s="30"/>
      <c r="Q108" s="30"/>
      <c r="R108" s="30" t="s">
        <v>439</v>
      </c>
      <c r="S108" s="24" t="s">
        <v>270</v>
      </c>
      <c r="T108" s="19" t="s">
        <v>103</v>
      </c>
      <c r="U108" s="29">
        <v>46034</v>
      </c>
      <c r="V108" s="29">
        <v>46034</v>
      </c>
    </row>
    <row r="109" spans="1:31" s="19" customFormat="1" ht="14.45">
      <c r="A109" s="19" t="s">
        <v>35</v>
      </c>
      <c r="B109" s="19" t="s">
        <v>520</v>
      </c>
      <c r="C109" s="19" t="str">
        <f>IF(ISBLANK(B109),"",_xlfn.XLOOKUP(B109,Recruiter!A:A,Recruiter!B:B))</f>
        <v>Narthana</v>
      </c>
      <c r="D109" s="19" t="str">
        <f>IF(ISBLANK(A109),"",_xlfn.XLOOKUP(A109,'Requirement Overview'!C:C,'Requirement Overview'!E:E))</f>
        <v>Talme</v>
      </c>
      <c r="E109" s="19" t="str">
        <f>IF(ISBLANK(A109),"",_xlfn.XLOOKUP(A109,'Requirement Overview'!C:C,'Requirement Overview'!H:H))</f>
        <v>IT</v>
      </c>
      <c r="F109" s="19" t="str">
        <f>IF(ISBLANK(A109),"",_xlfn.XLOOKUP(A109,'Requirement Overview'!C:C,'Requirement Overview'!I:I))</f>
        <v>Windows system adminstrator</v>
      </c>
      <c r="G109" s="59" t="str">
        <f>IF(ISBLANK(A109),"",_xlfn.XLOOKUP(A109,'Requirement Overview'!C:C,'Requirement Overview'!G:G))</f>
        <v>EMIDS</v>
      </c>
      <c r="H109" s="185" t="s">
        <v>666</v>
      </c>
      <c r="I109" s="159" t="s">
        <v>651</v>
      </c>
      <c r="J109" s="199" t="s">
        <v>667</v>
      </c>
      <c r="K109" s="30">
        <v>6304333834</v>
      </c>
      <c r="L109" s="159" t="s">
        <v>305</v>
      </c>
      <c r="M109" s="30" t="s">
        <v>395</v>
      </c>
      <c r="N109" s="92" t="s">
        <v>668</v>
      </c>
      <c r="O109" s="30" t="s">
        <v>407</v>
      </c>
      <c r="P109" s="30"/>
      <c r="Q109" s="30"/>
      <c r="R109" s="30" t="s">
        <v>374</v>
      </c>
      <c r="S109" s="24" t="s">
        <v>270</v>
      </c>
      <c r="T109" s="19" t="s">
        <v>103</v>
      </c>
      <c r="U109" s="29">
        <v>46034</v>
      </c>
      <c r="V109" s="29">
        <v>46034</v>
      </c>
    </row>
    <row r="110" spans="1:31" s="19" customFormat="1" ht="14.45">
      <c r="A110" s="19" t="s">
        <v>35</v>
      </c>
      <c r="B110" s="19" t="s">
        <v>520</v>
      </c>
      <c r="C110" s="19" t="str">
        <f>IF(ISBLANK(B110),"",_xlfn.XLOOKUP(B110,Recruiter!A:A,Recruiter!B:B))</f>
        <v>Narthana</v>
      </c>
      <c r="D110" s="19" t="str">
        <f>IF(ISBLANK(A110),"",_xlfn.XLOOKUP(A110,'Requirement Overview'!C:C,'Requirement Overview'!E:E))</f>
        <v>Talme</v>
      </c>
      <c r="E110" s="19" t="str">
        <f>IF(ISBLANK(A110),"",_xlfn.XLOOKUP(A110,'Requirement Overview'!C:C,'Requirement Overview'!H:H))</f>
        <v>IT</v>
      </c>
      <c r="F110" s="19" t="str">
        <f>IF(ISBLANK(A110),"",_xlfn.XLOOKUP(A110,'Requirement Overview'!C:C,'Requirement Overview'!I:I))</f>
        <v>Windows system adminstrator</v>
      </c>
      <c r="G110" s="59" t="str">
        <f>IF(ISBLANK(A110),"",_xlfn.XLOOKUP(A110,'Requirement Overview'!C:C,'Requirement Overview'!G:G))</f>
        <v>EMIDS</v>
      </c>
      <c r="H110" s="185" t="s">
        <v>669</v>
      </c>
      <c r="I110" s="159" t="s">
        <v>651</v>
      </c>
      <c r="J110" s="199" t="s">
        <v>670</v>
      </c>
      <c r="K110" s="30">
        <v>9676392296</v>
      </c>
      <c r="L110" s="159" t="s">
        <v>305</v>
      </c>
      <c r="M110" s="30" t="s">
        <v>671</v>
      </c>
      <c r="N110" s="92" t="s">
        <v>672</v>
      </c>
      <c r="O110" s="30" t="s">
        <v>407</v>
      </c>
      <c r="P110" s="30"/>
      <c r="Q110" s="30"/>
      <c r="R110" s="30" t="s">
        <v>439</v>
      </c>
      <c r="S110" s="24" t="s">
        <v>270</v>
      </c>
      <c r="T110" s="19" t="s">
        <v>103</v>
      </c>
      <c r="U110" s="29">
        <v>46034</v>
      </c>
      <c r="V110" s="29">
        <v>46034</v>
      </c>
    </row>
    <row r="111" spans="1:31" s="19" customFormat="1" ht="14.45">
      <c r="A111" s="19" t="s">
        <v>35</v>
      </c>
      <c r="B111" s="19" t="s">
        <v>520</v>
      </c>
      <c r="C111" s="19" t="str">
        <f>IF(ISBLANK(B111),"",_xlfn.XLOOKUP(B111,Recruiter!A:A,Recruiter!B:B))</f>
        <v>Narthana</v>
      </c>
      <c r="D111" s="19" t="str">
        <f>IF(ISBLANK(A111),"",_xlfn.XLOOKUP(A111,'Requirement Overview'!C:C,'Requirement Overview'!E:E))</f>
        <v>Talme</v>
      </c>
      <c r="E111" s="19" t="str">
        <f>IF(ISBLANK(A111),"",_xlfn.XLOOKUP(A111,'Requirement Overview'!C:C,'Requirement Overview'!H:H))</f>
        <v>IT</v>
      </c>
      <c r="F111" s="19" t="str">
        <f>IF(ISBLANK(A111),"",_xlfn.XLOOKUP(A111,'Requirement Overview'!C:C,'Requirement Overview'!I:I))</f>
        <v>Windows system adminstrator</v>
      </c>
      <c r="G111" s="59" t="str">
        <f>IF(ISBLANK(A111),"",_xlfn.XLOOKUP(A111,'Requirement Overview'!C:C,'Requirement Overview'!G:G))</f>
        <v>EMIDS</v>
      </c>
      <c r="H111" s="185" t="s">
        <v>673</v>
      </c>
      <c r="I111" s="159" t="s">
        <v>674</v>
      </c>
      <c r="J111" s="199" t="s">
        <v>675</v>
      </c>
      <c r="K111" s="30">
        <v>9655548558</v>
      </c>
      <c r="L111" s="159" t="s">
        <v>676</v>
      </c>
      <c r="M111" s="30" t="s">
        <v>558</v>
      </c>
      <c r="N111" s="92" t="s">
        <v>677</v>
      </c>
      <c r="O111" s="30" t="s">
        <v>678</v>
      </c>
      <c r="P111" s="30"/>
      <c r="Q111" s="30"/>
      <c r="R111" s="20" t="s">
        <v>439</v>
      </c>
      <c r="S111" s="24" t="s">
        <v>270</v>
      </c>
      <c r="T111" s="19" t="s">
        <v>103</v>
      </c>
      <c r="U111" s="31">
        <v>46035</v>
      </c>
      <c r="V111" s="31">
        <v>46035</v>
      </c>
      <c r="W111" s="30"/>
      <c r="X111" s="324"/>
      <c r="Y111" s="30"/>
    </row>
    <row r="112" spans="1:31" s="19" customFormat="1" ht="14.45">
      <c r="A112" s="19" t="s">
        <v>35</v>
      </c>
      <c r="B112" s="19" t="s">
        <v>520</v>
      </c>
      <c r="C112" s="19" t="str">
        <f>IF(ISBLANK(B112),"",_xlfn.XLOOKUP(B112,Recruiter!A:A,Recruiter!B:B))</f>
        <v>Narthana</v>
      </c>
      <c r="D112" s="19" t="str">
        <f>IF(ISBLANK(A112),"",_xlfn.XLOOKUP(A112,'Requirement Overview'!C:C,'Requirement Overview'!E:E))</f>
        <v>Talme</v>
      </c>
      <c r="E112" s="19" t="str">
        <f>IF(ISBLANK(A112),"",_xlfn.XLOOKUP(A112,'Requirement Overview'!C:C,'Requirement Overview'!H:H))</f>
        <v>IT</v>
      </c>
      <c r="F112" s="19" t="str">
        <f>IF(ISBLANK(A112),"",_xlfn.XLOOKUP(A112,'Requirement Overview'!C:C,'Requirement Overview'!I:I))</f>
        <v>Windows system adminstrator</v>
      </c>
      <c r="G112" s="59" t="str">
        <f>IF(ISBLANK(A112),"",_xlfn.XLOOKUP(A112,'Requirement Overview'!C:C,'Requirement Overview'!G:G))</f>
        <v>EMIDS</v>
      </c>
      <c r="H112" s="185" t="s">
        <v>679</v>
      </c>
      <c r="I112" s="159" t="s">
        <v>497</v>
      </c>
      <c r="J112" s="199" t="s">
        <v>680</v>
      </c>
      <c r="K112" s="30" t="s">
        <v>681</v>
      </c>
      <c r="L112" s="159" t="s">
        <v>311</v>
      </c>
      <c r="M112" s="30" t="s">
        <v>379</v>
      </c>
      <c r="N112" s="92" t="s">
        <v>484</v>
      </c>
      <c r="O112" s="30" t="s">
        <v>434</v>
      </c>
      <c r="P112" s="30"/>
      <c r="Q112" s="30"/>
      <c r="R112" s="30" t="s">
        <v>386</v>
      </c>
      <c r="S112" s="24" t="s">
        <v>270</v>
      </c>
      <c r="T112" s="19" t="s">
        <v>103</v>
      </c>
      <c r="U112" s="31">
        <v>46035</v>
      </c>
      <c r="V112" s="31">
        <v>46035</v>
      </c>
      <c r="W112" s="30"/>
      <c r="X112" s="324"/>
      <c r="Y112" s="30"/>
    </row>
    <row r="113" spans="1:25" s="19" customFormat="1" ht="14.45">
      <c r="A113" s="19" t="s">
        <v>40</v>
      </c>
      <c r="B113" s="19" t="s">
        <v>520</v>
      </c>
      <c r="C113" s="19" t="str">
        <f>IF(ISBLANK(B113),"",_xlfn.XLOOKUP(B113,Recruiter!A:A,Recruiter!B:B))</f>
        <v>Narthana</v>
      </c>
      <c r="D113" s="19" t="str">
        <f>IF(ISBLANK(A113),"",_xlfn.XLOOKUP(A113,'Requirement Overview'!C:C,'Requirement Overview'!E:E))</f>
        <v>Talme</v>
      </c>
      <c r="E113" s="19" t="str">
        <f>IF(ISBLANK(A113),"",_xlfn.XLOOKUP(A113,'Requirement Overview'!C:C,'Requirement Overview'!H:H))</f>
        <v>IT</v>
      </c>
      <c r="F113" s="19" t="str">
        <f>IF(ISBLANK(A113),"",_xlfn.XLOOKUP(A113,'Requirement Overview'!C:C,'Requirement Overview'!I:I))</f>
        <v>Display driver</v>
      </c>
      <c r="G113" s="59" t="str">
        <f>IF(ISBLANK(A113),"",_xlfn.XLOOKUP(A113,'Requirement Overview'!C:C,'Requirement Overview'!G:G))</f>
        <v>KPIT</v>
      </c>
      <c r="H113" s="185" t="s">
        <v>682</v>
      </c>
      <c r="I113" s="160" t="s">
        <v>683</v>
      </c>
      <c r="J113" s="200" t="s">
        <v>684</v>
      </c>
      <c r="K113" s="32">
        <v>8709469488</v>
      </c>
      <c r="L113" s="160" t="s">
        <v>290</v>
      </c>
      <c r="M113" s="32" t="s">
        <v>685</v>
      </c>
      <c r="N113" s="91" t="s">
        <v>686</v>
      </c>
      <c r="O113" s="32" t="s">
        <v>687</v>
      </c>
      <c r="P113" s="32"/>
      <c r="Q113" s="32"/>
      <c r="R113" s="32" t="s">
        <v>548</v>
      </c>
      <c r="S113" s="24" t="s">
        <v>270</v>
      </c>
      <c r="T113" s="19" t="s">
        <v>103</v>
      </c>
      <c r="U113" s="31">
        <v>46035</v>
      </c>
      <c r="V113" s="31">
        <v>46035</v>
      </c>
    </row>
    <row r="114" spans="1:25" s="19" customFormat="1" ht="14.45">
      <c r="A114" s="19" t="s">
        <v>40</v>
      </c>
      <c r="B114" s="19" t="s">
        <v>520</v>
      </c>
      <c r="C114" s="19" t="str">
        <f>IF(ISBLANK(B114),"",_xlfn.XLOOKUP(B114,Recruiter!A:A,Recruiter!B:B))</f>
        <v>Narthana</v>
      </c>
      <c r="D114" s="19" t="str">
        <f>IF(ISBLANK(A114),"",_xlfn.XLOOKUP(A114,'Requirement Overview'!C:C,'Requirement Overview'!E:E))</f>
        <v>Talme</v>
      </c>
      <c r="E114" s="19" t="str">
        <f>IF(ISBLANK(A114),"",_xlfn.XLOOKUP(A114,'Requirement Overview'!C:C,'Requirement Overview'!H:H))</f>
        <v>IT</v>
      </c>
      <c r="F114" s="19" t="str">
        <f>IF(ISBLANK(A114),"",_xlfn.XLOOKUP(A114,'Requirement Overview'!C:C,'Requirement Overview'!I:I))</f>
        <v>Display driver</v>
      </c>
      <c r="G114" s="59" t="str">
        <f>IF(ISBLANK(A114),"",_xlfn.XLOOKUP(A114,'Requirement Overview'!C:C,'Requirement Overview'!G:G))</f>
        <v>KPIT</v>
      </c>
      <c r="H114" s="185" t="s">
        <v>688</v>
      </c>
      <c r="I114" s="160" t="s">
        <v>683</v>
      </c>
      <c r="J114" s="201" t="s">
        <v>689</v>
      </c>
      <c r="K114" s="32">
        <v>9740740816</v>
      </c>
      <c r="L114" s="160" t="s">
        <v>631</v>
      </c>
      <c r="M114" s="32" t="s">
        <v>379</v>
      </c>
      <c r="N114" s="91" t="s">
        <v>690</v>
      </c>
      <c r="O114" s="32" t="s">
        <v>691</v>
      </c>
      <c r="P114" s="32"/>
      <c r="Q114" s="32"/>
      <c r="R114" s="32" t="s">
        <v>358</v>
      </c>
      <c r="S114" s="24" t="s">
        <v>270</v>
      </c>
      <c r="T114" s="19" t="s">
        <v>103</v>
      </c>
      <c r="U114" s="31">
        <v>46035</v>
      </c>
      <c r="V114" s="31">
        <v>46035</v>
      </c>
    </row>
    <row r="115" spans="1:25" ht="14.45">
      <c r="A115" s="24" t="s">
        <v>92</v>
      </c>
      <c r="B115" s="24" t="s">
        <v>236</v>
      </c>
      <c r="C115" s="24" t="str">
        <f>IF(ISBLANK(B115),"",_xlfn.XLOOKUP(B115,Recruiter!A:A,Recruiter!B:B))</f>
        <v>Pooja</v>
      </c>
      <c r="D115" s="24" t="str">
        <f>IF(ISBLANK(A115),"",_xlfn.XLOOKUP(A115,'Requirement Overview'!C:C,'Requirement Overview'!E:E))</f>
        <v>Talme</v>
      </c>
      <c r="E115" s="24" t="str">
        <f>IF(ISBLANK(A115),"",_xlfn.XLOOKUP(A115,'Requirement Overview'!C:C,'Requirement Overview'!H:H))</f>
        <v>IT</v>
      </c>
      <c r="F115" s="24" t="str">
        <f>IF(ISBLANK(A115),"",_xlfn.XLOOKUP(A115,'Requirement Overview'!C:C,'Requirement Overview'!I:I))</f>
        <v>Lead Data Engineer</v>
      </c>
      <c r="G115" s="58" t="str">
        <f>IF(ISBLANK(A115),"",_xlfn.XLOOKUP(A115,'Requirement Overview'!C:C,'Requirement Overview'!G:G))</f>
        <v>Thoughtfocus</v>
      </c>
      <c r="H115" s="185" t="s">
        <v>692</v>
      </c>
      <c r="I115" s="155" t="s">
        <v>693</v>
      </c>
      <c r="J115" s="59" t="s">
        <v>694</v>
      </c>
      <c r="K115" s="21">
        <v>8770814979</v>
      </c>
      <c r="L115" s="46" t="s">
        <v>695</v>
      </c>
      <c r="M115" s="21" t="s">
        <v>696</v>
      </c>
      <c r="N115" s="91" t="s">
        <v>697</v>
      </c>
      <c r="O115" s="24" t="s">
        <v>698</v>
      </c>
      <c r="R115" s="24" t="s">
        <v>444</v>
      </c>
      <c r="S115" s="24" t="s">
        <v>270</v>
      </c>
      <c r="T115" s="24" t="s">
        <v>103</v>
      </c>
      <c r="U115" s="29">
        <v>46036</v>
      </c>
      <c r="V115" s="29">
        <v>46036</v>
      </c>
    </row>
    <row r="116" spans="1:25" ht="14.45">
      <c r="A116" s="24" t="s">
        <v>92</v>
      </c>
      <c r="B116" s="24" t="s">
        <v>236</v>
      </c>
      <c r="C116" s="24" t="str">
        <f>IF(ISBLANK(B116),"",_xlfn.XLOOKUP(B116,Recruiter!A:A,Recruiter!B:B))</f>
        <v>Pooja</v>
      </c>
      <c r="D116" s="24" t="str">
        <f>IF(ISBLANK(A116),"",_xlfn.XLOOKUP(A116,'Requirement Overview'!C:C,'Requirement Overview'!E:E))</f>
        <v>Talme</v>
      </c>
      <c r="E116" s="24" t="str">
        <f>IF(ISBLANK(A116),"",_xlfn.XLOOKUP(A116,'Requirement Overview'!C:C,'Requirement Overview'!H:H))</f>
        <v>IT</v>
      </c>
      <c r="F116" s="24" t="str">
        <f>IF(ISBLANK(A116),"",_xlfn.XLOOKUP(A116,'Requirement Overview'!C:C,'Requirement Overview'!I:I))</f>
        <v>Lead Data Engineer</v>
      </c>
      <c r="G116" s="58" t="str">
        <f>IF(ISBLANK(A116),"",_xlfn.XLOOKUP(A116,'Requirement Overview'!C:C,'Requirement Overview'!G:G))</f>
        <v>Thoughtfocus</v>
      </c>
      <c r="H116" s="185" t="s">
        <v>699</v>
      </c>
      <c r="I116" s="155" t="s">
        <v>700</v>
      </c>
      <c r="J116" s="59" t="s">
        <v>701</v>
      </c>
      <c r="K116" s="21">
        <v>9177837791</v>
      </c>
      <c r="L116" s="46" t="s">
        <v>305</v>
      </c>
      <c r="M116" s="21" t="s">
        <v>702</v>
      </c>
      <c r="N116" s="91" t="s">
        <v>703</v>
      </c>
      <c r="O116" s="24" t="s">
        <v>704</v>
      </c>
      <c r="R116" s="24" t="s">
        <v>489</v>
      </c>
      <c r="S116" s="24" t="s">
        <v>270</v>
      </c>
      <c r="T116" s="24" t="s">
        <v>103</v>
      </c>
      <c r="U116" s="29">
        <v>46036</v>
      </c>
      <c r="V116" s="29">
        <v>46036</v>
      </c>
    </row>
    <row r="117" spans="1:25" ht="14.45">
      <c r="A117" s="24" t="s">
        <v>92</v>
      </c>
      <c r="B117" s="24" t="s">
        <v>236</v>
      </c>
      <c r="C117" s="24" t="str">
        <f>IF(ISBLANK(B117),"",_xlfn.XLOOKUP(B117,Recruiter!A:A,Recruiter!B:B))</f>
        <v>Pooja</v>
      </c>
      <c r="D117" s="24" t="str">
        <f>IF(ISBLANK(A117),"",_xlfn.XLOOKUP(A117,'Requirement Overview'!C:C,'Requirement Overview'!E:E))</f>
        <v>Talme</v>
      </c>
      <c r="E117" s="24" t="str">
        <f>IF(ISBLANK(A117),"",_xlfn.XLOOKUP(A117,'Requirement Overview'!C:C,'Requirement Overview'!H:H))</f>
        <v>IT</v>
      </c>
      <c r="F117" s="24" t="str">
        <f>IF(ISBLANK(A117),"",_xlfn.XLOOKUP(A117,'Requirement Overview'!C:C,'Requirement Overview'!I:I))</f>
        <v>Lead Data Engineer</v>
      </c>
      <c r="G117" s="58" t="str">
        <f>IF(ISBLANK(A117),"",_xlfn.XLOOKUP(A117,'Requirement Overview'!C:C,'Requirement Overview'!G:G))</f>
        <v>Thoughtfocus</v>
      </c>
      <c r="H117" s="185" t="s">
        <v>705</v>
      </c>
      <c r="I117" s="155" t="s">
        <v>625</v>
      </c>
      <c r="J117" s="59" t="s">
        <v>706</v>
      </c>
      <c r="K117" s="21">
        <v>7386041795</v>
      </c>
      <c r="L117" s="46" t="s">
        <v>707</v>
      </c>
      <c r="M117" s="24" t="s">
        <v>708</v>
      </c>
      <c r="N117" s="91" t="s">
        <v>709</v>
      </c>
      <c r="O117" s="24" t="s">
        <v>548</v>
      </c>
      <c r="R117" s="24" t="s">
        <v>710</v>
      </c>
      <c r="S117" s="24" t="s">
        <v>270</v>
      </c>
      <c r="T117" s="24" t="s">
        <v>103</v>
      </c>
      <c r="U117" s="29">
        <v>46036</v>
      </c>
      <c r="V117" s="29">
        <v>46036</v>
      </c>
    </row>
    <row r="118" spans="1:25" ht="14.45">
      <c r="A118" s="24" t="s">
        <v>92</v>
      </c>
      <c r="B118" s="24" t="s">
        <v>236</v>
      </c>
      <c r="C118" s="24" t="str">
        <f>IF(ISBLANK(B118),"",_xlfn.XLOOKUP(B118,Recruiter!A:A,Recruiter!B:B))</f>
        <v>Pooja</v>
      </c>
      <c r="D118" s="24" t="str">
        <f>IF(ISBLANK(A118),"",_xlfn.XLOOKUP(A118,'Requirement Overview'!C:C,'Requirement Overview'!E:E))</f>
        <v>Talme</v>
      </c>
      <c r="E118" s="24" t="str">
        <f>IF(ISBLANK(A118),"",_xlfn.XLOOKUP(A118,'Requirement Overview'!C:C,'Requirement Overview'!H:H))</f>
        <v>IT</v>
      </c>
      <c r="F118" s="24" t="str">
        <f>IF(ISBLANK(A118),"",_xlfn.XLOOKUP(A118,'Requirement Overview'!C:C,'Requirement Overview'!I:I))</f>
        <v>Lead Data Engineer</v>
      </c>
      <c r="G118" s="58" t="str">
        <f>IF(ISBLANK(A118),"",_xlfn.XLOOKUP(A118,'Requirement Overview'!C:C,'Requirement Overview'!G:G))</f>
        <v>Thoughtfocus</v>
      </c>
      <c r="H118" s="185" t="s">
        <v>711</v>
      </c>
      <c r="I118" s="155" t="s">
        <v>625</v>
      </c>
      <c r="J118" s="195" t="s">
        <v>712</v>
      </c>
      <c r="K118" s="21">
        <v>8985353515</v>
      </c>
      <c r="L118" s="46" t="s">
        <v>713</v>
      </c>
      <c r="M118" s="24" t="s">
        <v>708</v>
      </c>
      <c r="N118" s="91" t="s">
        <v>714</v>
      </c>
      <c r="O118" s="24" t="s">
        <v>715</v>
      </c>
      <c r="R118" s="24" t="s">
        <v>716</v>
      </c>
      <c r="S118" s="24" t="s">
        <v>270</v>
      </c>
      <c r="T118" s="24" t="s">
        <v>103</v>
      </c>
      <c r="U118" s="29">
        <v>46036</v>
      </c>
      <c r="V118" s="29">
        <v>46036</v>
      </c>
    </row>
    <row r="119" spans="1:25" ht="14.45">
      <c r="A119" s="24" t="s">
        <v>92</v>
      </c>
      <c r="B119" s="24" t="s">
        <v>236</v>
      </c>
      <c r="C119" s="24" t="str">
        <f>IF(ISBLANK(B119),"",_xlfn.XLOOKUP(B119,Recruiter!A:A,Recruiter!B:B))</f>
        <v>Pooja</v>
      </c>
      <c r="D119" s="24" t="str">
        <f>IF(ISBLANK(A119),"",_xlfn.XLOOKUP(A119,'Requirement Overview'!C:C,'Requirement Overview'!E:E))</f>
        <v>Talme</v>
      </c>
      <c r="E119" s="24" t="str">
        <f>IF(ISBLANK(A119),"",_xlfn.XLOOKUP(A119,'Requirement Overview'!C:C,'Requirement Overview'!H:H))</f>
        <v>IT</v>
      </c>
      <c r="F119" s="24" t="str">
        <f>IF(ISBLANK(A119),"",_xlfn.XLOOKUP(A119,'Requirement Overview'!C:C,'Requirement Overview'!I:I))</f>
        <v>Lead Data Engineer</v>
      </c>
      <c r="G119" s="58" t="str">
        <f>IF(ISBLANK(A119),"",_xlfn.XLOOKUP(A119,'Requirement Overview'!C:C,'Requirement Overview'!G:G))</f>
        <v>Thoughtfocus</v>
      </c>
      <c r="H119" s="185" t="s">
        <v>717</v>
      </c>
      <c r="I119" s="155" t="s">
        <v>625</v>
      </c>
      <c r="J119" s="59" t="s">
        <v>718</v>
      </c>
      <c r="K119" s="21">
        <v>9885517671</v>
      </c>
      <c r="L119" s="46" t="s">
        <v>350</v>
      </c>
      <c r="M119" s="24" t="s">
        <v>598</v>
      </c>
      <c r="N119" s="91" t="s">
        <v>719</v>
      </c>
      <c r="O119" s="24" t="s">
        <v>720</v>
      </c>
      <c r="R119" s="24" t="s">
        <v>517</v>
      </c>
      <c r="S119" s="24" t="s">
        <v>270</v>
      </c>
      <c r="T119" s="24" t="s">
        <v>103</v>
      </c>
      <c r="U119" s="29">
        <v>46036</v>
      </c>
      <c r="V119" s="29">
        <v>46036</v>
      </c>
    </row>
    <row r="120" spans="1:25" ht="14.45">
      <c r="A120" s="24" t="s">
        <v>70</v>
      </c>
      <c r="B120" s="24" t="s">
        <v>236</v>
      </c>
      <c r="C120" s="24" t="str">
        <f>IF(ISBLANK(B120),"",_xlfn.XLOOKUP(B120,Recruiter!A:A,Recruiter!B:B))</f>
        <v>Pooja</v>
      </c>
      <c r="D120" s="24" t="str">
        <f>IF(ISBLANK(A120),"",_xlfn.XLOOKUP(A120,'Requirement Overview'!C:C,'Requirement Overview'!E:E))</f>
        <v>Talme</v>
      </c>
      <c r="E120" s="24" t="str">
        <f>IF(ISBLANK(A120),"",_xlfn.XLOOKUP(A120,'Requirement Overview'!C:C,'Requirement Overview'!H:H))</f>
        <v>Non - IT</v>
      </c>
      <c r="F120" s="24" t="str">
        <f>IF(ISBLANK(A120),"",_xlfn.XLOOKUP(A120,'Requirement Overview'!C:C,'Requirement Overview'!I:I))</f>
        <v>Key Accounts Manager</v>
      </c>
      <c r="G120" s="58" t="str">
        <f>IF(ISBLANK(A120),"",_xlfn.XLOOKUP(A120,'Requirement Overview'!C:C,'Requirement Overview'!G:G))</f>
        <v>Avinashi Ads</v>
      </c>
      <c r="H120" s="185" t="s">
        <v>721</v>
      </c>
      <c r="I120" s="156" t="s">
        <v>519</v>
      </c>
      <c r="J120" s="59" t="s">
        <v>722</v>
      </c>
      <c r="K120" s="21">
        <v>7204934600</v>
      </c>
      <c r="L120" s="156" t="s">
        <v>723</v>
      </c>
      <c r="M120" s="24" t="s">
        <v>724</v>
      </c>
      <c r="N120" s="91" t="s">
        <v>725</v>
      </c>
      <c r="O120" s="24" t="s">
        <v>726</v>
      </c>
      <c r="R120" s="24" t="s">
        <v>429</v>
      </c>
      <c r="S120" s="24" t="s">
        <v>270</v>
      </c>
      <c r="T120" s="24" t="s">
        <v>103</v>
      </c>
      <c r="U120" s="29">
        <v>46036</v>
      </c>
      <c r="V120" s="29">
        <v>46036</v>
      </c>
    </row>
    <row r="121" spans="1:25" ht="14.45">
      <c r="A121" s="24" t="s">
        <v>35</v>
      </c>
      <c r="B121" s="24" t="s">
        <v>520</v>
      </c>
      <c r="C121" s="24" t="str">
        <f>IF(ISBLANK(B121),"",_xlfn.XLOOKUP(B121,Recruiter!A:A,Recruiter!B:B))</f>
        <v>Narthana</v>
      </c>
      <c r="D121" s="24" t="str">
        <f>IF(ISBLANK(A121),"",_xlfn.XLOOKUP(A121,'Requirement Overview'!C:C,'Requirement Overview'!E:E))</f>
        <v>Talme</v>
      </c>
      <c r="E121" s="24" t="str">
        <f>IF(ISBLANK(A121),"",_xlfn.XLOOKUP(A121,'Requirement Overview'!C:C,'Requirement Overview'!H:H))</f>
        <v>IT</v>
      </c>
      <c r="F121" s="24" t="str">
        <f>IF(ISBLANK(A121),"",_xlfn.XLOOKUP(A121,'Requirement Overview'!C:C,'Requirement Overview'!I:I))</f>
        <v>Windows system adminstrator</v>
      </c>
      <c r="G121" s="58" t="str">
        <f>IF(ISBLANK(A121),"",_xlfn.XLOOKUP(A121,'Requirement Overview'!C:C,'Requirement Overview'!G:G))</f>
        <v>EMIDS</v>
      </c>
      <c r="H121" s="185" t="s">
        <v>727</v>
      </c>
      <c r="I121" s="325">
        <v>9944897923</v>
      </c>
      <c r="J121" s="199" t="s">
        <v>728</v>
      </c>
      <c r="K121" s="33" t="s">
        <v>497</v>
      </c>
      <c r="L121" s="326" t="s">
        <v>311</v>
      </c>
      <c r="M121" s="33" t="s">
        <v>379</v>
      </c>
      <c r="N121" s="92" t="s">
        <v>729</v>
      </c>
      <c r="O121" s="24" t="s">
        <v>730</v>
      </c>
      <c r="R121" s="24" t="s">
        <v>407</v>
      </c>
      <c r="S121" s="24" t="s">
        <v>270</v>
      </c>
      <c r="T121" s="24" t="s">
        <v>103</v>
      </c>
      <c r="U121" s="29">
        <v>46036</v>
      </c>
      <c r="V121" s="29">
        <v>46036</v>
      </c>
    </row>
    <row r="122" spans="1:25" ht="14.45">
      <c r="A122" s="24" t="s">
        <v>35</v>
      </c>
      <c r="B122" s="24" t="s">
        <v>520</v>
      </c>
      <c r="C122" s="24" t="str">
        <f>IF(ISBLANK(B122),"",_xlfn.XLOOKUP(B122,Recruiter!A:A,Recruiter!B:B))</f>
        <v>Narthana</v>
      </c>
      <c r="D122" s="24" t="str">
        <f>IF(ISBLANK(A122),"",_xlfn.XLOOKUP(A122,'Requirement Overview'!C:C,'Requirement Overview'!E:E))</f>
        <v>Talme</v>
      </c>
      <c r="E122" s="24" t="str">
        <f>IF(ISBLANK(A122),"",_xlfn.XLOOKUP(A122,'Requirement Overview'!C:C,'Requirement Overview'!H:H))</f>
        <v>IT</v>
      </c>
      <c r="F122" s="24" t="str">
        <f>IF(ISBLANK(A122),"",_xlfn.XLOOKUP(A122,'Requirement Overview'!C:C,'Requirement Overview'!I:I))</f>
        <v>Windows system adminstrator</v>
      </c>
      <c r="G122" s="58" t="str">
        <f>IF(ISBLANK(A122),"",_xlfn.XLOOKUP(A122,'Requirement Overview'!C:C,'Requirement Overview'!G:G))</f>
        <v>EMIDS</v>
      </c>
      <c r="H122" s="185" t="s">
        <v>731</v>
      </c>
      <c r="I122" s="326">
        <v>8123678412</v>
      </c>
      <c r="J122" s="199" t="s">
        <v>732</v>
      </c>
      <c r="K122" s="33" t="s">
        <v>618</v>
      </c>
      <c r="L122" s="326" t="s">
        <v>733</v>
      </c>
      <c r="M122" s="33" t="s">
        <v>734</v>
      </c>
      <c r="N122" s="92" t="s">
        <v>735</v>
      </c>
      <c r="O122" s="24" t="s">
        <v>434</v>
      </c>
      <c r="R122" s="24" t="s">
        <v>373</v>
      </c>
      <c r="S122" s="24" t="s">
        <v>360</v>
      </c>
      <c r="T122" s="24" t="s">
        <v>103</v>
      </c>
      <c r="U122" s="29">
        <v>46036</v>
      </c>
      <c r="V122" s="29">
        <v>46036</v>
      </c>
      <c r="W122" s="24" t="s">
        <v>360</v>
      </c>
      <c r="X122" s="29">
        <v>46038</v>
      </c>
      <c r="Y122" s="24" t="s">
        <v>362</v>
      </c>
    </row>
    <row r="123" spans="1:25" ht="14.45">
      <c r="A123" s="24" t="s">
        <v>35</v>
      </c>
      <c r="B123" s="24" t="s">
        <v>520</v>
      </c>
      <c r="C123" s="24" t="str">
        <f>IF(ISBLANK(B123),"",_xlfn.XLOOKUP(B123,Recruiter!A:A,Recruiter!B:B))</f>
        <v>Narthana</v>
      </c>
      <c r="D123" s="24" t="str">
        <f>IF(ISBLANK(A123),"",_xlfn.XLOOKUP(A123,'Requirement Overview'!C:C,'Requirement Overview'!E:E))</f>
        <v>Talme</v>
      </c>
      <c r="E123" s="24" t="str">
        <f>IF(ISBLANK(A123),"",_xlfn.XLOOKUP(A123,'Requirement Overview'!C:C,'Requirement Overview'!H:H))</f>
        <v>IT</v>
      </c>
      <c r="F123" s="24" t="str">
        <f>IF(ISBLANK(A123),"",_xlfn.XLOOKUP(A123,'Requirement Overview'!C:C,'Requirement Overview'!I:I))</f>
        <v>Windows system adminstrator</v>
      </c>
      <c r="G123" s="58" t="str">
        <f>IF(ISBLANK(A123),"",_xlfn.XLOOKUP(A123,'Requirement Overview'!C:C,'Requirement Overview'!G:G))</f>
        <v>EMIDS</v>
      </c>
      <c r="H123" s="185" t="s">
        <v>736</v>
      </c>
      <c r="I123" s="326">
        <v>8281773864</v>
      </c>
      <c r="J123" s="199" t="s">
        <v>737</v>
      </c>
      <c r="K123" s="33" t="s">
        <v>618</v>
      </c>
      <c r="L123" s="326" t="s">
        <v>305</v>
      </c>
      <c r="M123" s="33" t="s">
        <v>390</v>
      </c>
      <c r="N123" s="92" t="s">
        <v>738</v>
      </c>
      <c r="O123" s="24" t="s">
        <v>730</v>
      </c>
      <c r="R123" s="24" t="s">
        <v>407</v>
      </c>
      <c r="S123" s="24" t="s">
        <v>270</v>
      </c>
      <c r="T123" s="24" t="s">
        <v>103</v>
      </c>
      <c r="U123" s="29">
        <v>46036</v>
      </c>
      <c r="V123" s="29">
        <v>46036</v>
      </c>
    </row>
    <row r="124" spans="1:25" ht="14.45">
      <c r="A124" s="24" t="s">
        <v>35</v>
      </c>
      <c r="B124" s="24" t="s">
        <v>520</v>
      </c>
      <c r="C124" s="24" t="str">
        <f>IF(ISBLANK(B124),"",_xlfn.XLOOKUP(B124,Recruiter!A:A,Recruiter!B:B))</f>
        <v>Narthana</v>
      </c>
      <c r="D124" s="24" t="str">
        <f>IF(ISBLANK(A124),"",_xlfn.XLOOKUP(A124,'Requirement Overview'!C:C,'Requirement Overview'!E:E))</f>
        <v>Talme</v>
      </c>
      <c r="E124" s="24" t="str">
        <f>IF(ISBLANK(A124),"",_xlfn.XLOOKUP(A124,'Requirement Overview'!C:C,'Requirement Overview'!H:H))</f>
        <v>IT</v>
      </c>
      <c r="F124" s="24" t="str">
        <f>IF(ISBLANK(A124),"",_xlfn.XLOOKUP(A124,'Requirement Overview'!C:C,'Requirement Overview'!I:I))</f>
        <v>Windows system adminstrator</v>
      </c>
      <c r="G124" s="58" t="str">
        <f>IF(ISBLANK(A124),"",_xlfn.XLOOKUP(A124,'Requirement Overview'!C:C,'Requirement Overview'!G:G))</f>
        <v>EMIDS</v>
      </c>
      <c r="H124" s="185" t="s">
        <v>739</v>
      </c>
      <c r="I124" s="326">
        <v>9884817894</v>
      </c>
      <c r="J124" s="199" t="s">
        <v>740</v>
      </c>
      <c r="K124" s="33" t="s">
        <v>618</v>
      </c>
      <c r="L124" s="326" t="s">
        <v>404</v>
      </c>
      <c r="M124" s="33" t="s">
        <v>365</v>
      </c>
      <c r="N124" s="92" t="s">
        <v>741</v>
      </c>
      <c r="O124" s="24" t="s">
        <v>742</v>
      </c>
      <c r="R124" s="24" t="s">
        <v>368</v>
      </c>
      <c r="S124" s="24" t="s">
        <v>360</v>
      </c>
      <c r="T124" s="24" t="s">
        <v>103</v>
      </c>
      <c r="U124" s="29">
        <v>46036</v>
      </c>
      <c r="V124" s="29">
        <v>46036</v>
      </c>
      <c r="W124" s="24" t="s">
        <v>360</v>
      </c>
      <c r="X124" s="29">
        <v>46038</v>
      </c>
      <c r="Y124" s="24" t="s">
        <v>362</v>
      </c>
    </row>
    <row r="125" spans="1:25" ht="14.45">
      <c r="A125" s="24" t="s">
        <v>35</v>
      </c>
      <c r="B125" s="24" t="s">
        <v>520</v>
      </c>
      <c r="C125" s="24" t="str">
        <f>IF(ISBLANK(B125),"",_xlfn.XLOOKUP(B125,Recruiter!A:A,Recruiter!B:B))</f>
        <v>Narthana</v>
      </c>
      <c r="D125" s="24" t="str">
        <f>IF(ISBLANK(A125),"",_xlfn.XLOOKUP(A125,'Requirement Overview'!C:C,'Requirement Overview'!E:E))</f>
        <v>Talme</v>
      </c>
      <c r="E125" s="24" t="str">
        <f>IF(ISBLANK(A125),"",_xlfn.XLOOKUP(A125,'Requirement Overview'!C:C,'Requirement Overview'!H:H))</f>
        <v>IT</v>
      </c>
      <c r="F125" s="24" t="str">
        <f>IF(ISBLANK(A125),"",_xlfn.XLOOKUP(A125,'Requirement Overview'!C:C,'Requirement Overview'!I:I))</f>
        <v>Windows system adminstrator</v>
      </c>
      <c r="G125" s="58" t="str">
        <f>IF(ISBLANK(A125),"",_xlfn.XLOOKUP(A125,'Requirement Overview'!C:C,'Requirement Overview'!G:G))</f>
        <v>EMIDS</v>
      </c>
      <c r="H125" s="185" t="s">
        <v>743</v>
      </c>
      <c r="I125" s="326">
        <v>7259667338</v>
      </c>
      <c r="J125" s="199" t="s">
        <v>744</v>
      </c>
      <c r="K125" s="33" t="s">
        <v>618</v>
      </c>
      <c r="L125" s="326" t="s">
        <v>733</v>
      </c>
      <c r="M125" s="33" t="s">
        <v>390</v>
      </c>
      <c r="N125" s="92" t="s">
        <v>745</v>
      </c>
      <c r="O125" s="24" t="s">
        <v>368</v>
      </c>
      <c r="R125" s="24" t="s">
        <v>374</v>
      </c>
      <c r="S125" s="24" t="s">
        <v>270</v>
      </c>
      <c r="T125" s="24" t="s">
        <v>103</v>
      </c>
      <c r="U125" s="29">
        <v>46036</v>
      </c>
      <c r="V125" s="29">
        <v>46036</v>
      </c>
    </row>
    <row r="126" spans="1:25" ht="14.45">
      <c r="A126" s="24" t="s">
        <v>35</v>
      </c>
      <c r="B126" s="24" t="s">
        <v>520</v>
      </c>
      <c r="C126" s="24" t="str">
        <f>IF(ISBLANK(B126),"",_xlfn.XLOOKUP(B126,Recruiter!A:A,Recruiter!B:B))</f>
        <v>Narthana</v>
      </c>
      <c r="D126" s="24" t="str">
        <f>IF(ISBLANK(A126),"",_xlfn.XLOOKUP(A126,'Requirement Overview'!C:C,'Requirement Overview'!E:E))</f>
        <v>Talme</v>
      </c>
      <c r="E126" s="24" t="str">
        <f>IF(ISBLANK(A126),"",_xlfn.XLOOKUP(A126,'Requirement Overview'!C:C,'Requirement Overview'!H:H))</f>
        <v>IT</v>
      </c>
      <c r="F126" s="24" t="str">
        <f>IF(ISBLANK(A126),"",_xlfn.XLOOKUP(A126,'Requirement Overview'!C:C,'Requirement Overview'!I:I))</f>
        <v>Windows system adminstrator</v>
      </c>
      <c r="G126" s="58" t="str">
        <f>IF(ISBLANK(A126),"",_xlfn.XLOOKUP(A126,'Requirement Overview'!C:C,'Requirement Overview'!G:G))</f>
        <v>EMIDS</v>
      </c>
      <c r="H126" s="185" t="s">
        <v>746</v>
      </c>
      <c r="I126" s="326">
        <v>8123577596</v>
      </c>
      <c r="J126" s="199" t="s">
        <v>747</v>
      </c>
      <c r="K126" s="33" t="s">
        <v>618</v>
      </c>
      <c r="L126" s="326" t="s">
        <v>305</v>
      </c>
      <c r="M126" s="33" t="s">
        <v>524</v>
      </c>
      <c r="N126" s="92" t="s">
        <v>748</v>
      </c>
      <c r="O126" s="24" t="s">
        <v>382</v>
      </c>
      <c r="R126" s="24" t="s">
        <v>439</v>
      </c>
      <c r="S126" s="24" t="s">
        <v>270</v>
      </c>
      <c r="T126" s="24" t="s">
        <v>103</v>
      </c>
      <c r="U126" s="29">
        <v>46036</v>
      </c>
      <c r="V126" s="29">
        <v>46036</v>
      </c>
    </row>
    <row r="127" spans="1:25" ht="14.45">
      <c r="A127" s="24" t="s">
        <v>64</v>
      </c>
      <c r="B127" s="24" t="s">
        <v>236</v>
      </c>
      <c r="C127" s="24" t="str">
        <f>IF(ISBLANK(B127),"",_xlfn.XLOOKUP(B127,Recruiter!A:A,Recruiter!B:B))</f>
        <v>Pooja</v>
      </c>
      <c r="D127" s="24" t="str">
        <f>IF(ISBLANK(A127),"",_xlfn.XLOOKUP(A127,'Requirement Overview'!C:C,'Requirement Overview'!E:E))</f>
        <v>Talme</v>
      </c>
      <c r="E127" s="24" t="str">
        <f>IF(ISBLANK(A127),"",_xlfn.XLOOKUP(A127,'Requirement Overview'!C:C,'Requirement Overview'!H:H))</f>
        <v>Non - IT</v>
      </c>
      <c r="F127" s="24" t="str">
        <f>IF(ISBLANK(A127),"",_xlfn.XLOOKUP(A127,'Requirement Overview'!C:C,'Requirement Overview'!I:I))</f>
        <v>Sales Head</v>
      </c>
      <c r="G127" s="58" t="str">
        <f>IF(ISBLANK(A127),"",_xlfn.XLOOKUP(A127,'Requirement Overview'!C:C,'Requirement Overview'!G:G))</f>
        <v>Avinashi Ads</v>
      </c>
      <c r="H127" s="185" t="s">
        <v>749</v>
      </c>
      <c r="I127" s="153" t="s">
        <v>750</v>
      </c>
      <c r="J127" s="195" t="s">
        <v>751</v>
      </c>
      <c r="K127" s="21">
        <v>9902612460</v>
      </c>
      <c r="L127" s="156" t="s">
        <v>631</v>
      </c>
      <c r="M127" s="24" t="s">
        <v>708</v>
      </c>
      <c r="N127" s="91" t="s">
        <v>752</v>
      </c>
      <c r="O127" s="24" t="s">
        <v>386</v>
      </c>
      <c r="R127" s="24" t="s">
        <v>589</v>
      </c>
      <c r="S127" s="24" t="s">
        <v>270</v>
      </c>
      <c r="T127" s="24" t="s">
        <v>103</v>
      </c>
      <c r="U127" s="29">
        <v>46038</v>
      </c>
      <c r="V127" s="29">
        <v>46038</v>
      </c>
    </row>
    <row r="128" spans="1:25" ht="14.45">
      <c r="A128" s="24" t="s">
        <v>64</v>
      </c>
      <c r="B128" s="24" t="s">
        <v>236</v>
      </c>
      <c r="C128" s="24" t="str">
        <f>IF(ISBLANK(B128),"",_xlfn.XLOOKUP(B128,Recruiter!A:A,Recruiter!B:B))</f>
        <v>Pooja</v>
      </c>
      <c r="D128" s="24" t="str">
        <f>IF(ISBLANK(A128),"",_xlfn.XLOOKUP(A128,'Requirement Overview'!C:C,'Requirement Overview'!E:E))</f>
        <v>Talme</v>
      </c>
      <c r="E128" s="24" t="str">
        <f>IF(ISBLANK(A128),"",_xlfn.XLOOKUP(A128,'Requirement Overview'!C:C,'Requirement Overview'!H:H))</f>
        <v>Non - IT</v>
      </c>
      <c r="F128" s="24" t="str">
        <f>IF(ISBLANK(A128),"",_xlfn.XLOOKUP(A128,'Requirement Overview'!C:C,'Requirement Overview'!I:I))</f>
        <v>Sales Head</v>
      </c>
      <c r="G128" s="58" t="str">
        <f>IF(ISBLANK(A128),"",_xlfn.XLOOKUP(A128,'Requirement Overview'!C:C,'Requirement Overview'!G:G))</f>
        <v>Avinashi Ads</v>
      </c>
      <c r="H128" s="185" t="s">
        <v>753</v>
      </c>
      <c r="I128" s="153" t="s">
        <v>625</v>
      </c>
      <c r="J128" s="59" t="s">
        <v>754</v>
      </c>
      <c r="K128" s="21">
        <v>8296909678</v>
      </c>
      <c r="L128" s="46" t="s">
        <v>695</v>
      </c>
      <c r="M128" s="24" t="s">
        <v>755</v>
      </c>
      <c r="N128" s="91" t="s">
        <v>756</v>
      </c>
      <c r="O128" s="24" t="s">
        <v>589</v>
      </c>
      <c r="R128" s="24" t="s">
        <v>757</v>
      </c>
      <c r="S128" s="24" t="s">
        <v>270</v>
      </c>
      <c r="T128" s="24" t="s">
        <v>103</v>
      </c>
      <c r="U128" s="29">
        <v>46038</v>
      </c>
      <c r="V128" s="29">
        <v>46038</v>
      </c>
    </row>
    <row r="129" spans="1:33" ht="14.45">
      <c r="A129" s="24" t="s">
        <v>64</v>
      </c>
      <c r="B129" s="24" t="s">
        <v>236</v>
      </c>
      <c r="C129" s="24" t="str">
        <f>IF(ISBLANK(B129),"",_xlfn.XLOOKUP(B129,Recruiter!A:A,Recruiter!B:B))</f>
        <v>Pooja</v>
      </c>
      <c r="D129" s="24" t="str">
        <f>IF(ISBLANK(A129),"",_xlfn.XLOOKUP(A129,'Requirement Overview'!C:C,'Requirement Overview'!E:E))</f>
        <v>Talme</v>
      </c>
      <c r="E129" s="24" t="str">
        <f>IF(ISBLANK(A129),"",_xlfn.XLOOKUP(A129,'Requirement Overview'!C:C,'Requirement Overview'!H:H))</f>
        <v>Non - IT</v>
      </c>
      <c r="F129" s="24" t="str">
        <f>IF(ISBLANK(A129),"",_xlfn.XLOOKUP(A129,'Requirement Overview'!C:C,'Requirement Overview'!I:I))</f>
        <v>Sales Head</v>
      </c>
      <c r="G129" s="58" t="str">
        <f>IF(ISBLANK(A129),"",_xlfn.XLOOKUP(A129,'Requirement Overview'!C:C,'Requirement Overview'!G:G))</f>
        <v>Avinashi Ads</v>
      </c>
      <c r="H129" s="185" t="s">
        <v>758</v>
      </c>
      <c r="I129" s="153" t="s">
        <v>750</v>
      </c>
      <c r="J129" s="59" t="s">
        <v>759</v>
      </c>
      <c r="K129" s="21">
        <v>6363407994</v>
      </c>
      <c r="L129" s="46" t="s">
        <v>760</v>
      </c>
      <c r="M129" s="24" t="s">
        <v>761</v>
      </c>
      <c r="N129" s="91" t="s">
        <v>762</v>
      </c>
      <c r="O129" s="24" t="s">
        <v>386</v>
      </c>
      <c r="R129" s="24" t="s">
        <v>244</v>
      </c>
      <c r="S129" s="24" t="s">
        <v>270</v>
      </c>
      <c r="T129" s="24" t="s">
        <v>103</v>
      </c>
      <c r="U129" s="29">
        <v>46038</v>
      </c>
      <c r="V129" s="29">
        <v>46038</v>
      </c>
    </row>
    <row r="130" spans="1:33" ht="14.45">
      <c r="A130" s="24" t="s">
        <v>70</v>
      </c>
      <c r="B130" s="24" t="s">
        <v>236</v>
      </c>
      <c r="C130" s="24" t="str">
        <f>IF(ISBLANK(B130),"",_xlfn.XLOOKUP(B130,Recruiter!A:A,Recruiter!B:B))</f>
        <v>Pooja</v>
      </c>
      <c r="D130" s="24" t="str">
        <f>IF(ISBLANK(A130),"",_xlfn.XLOOKUP(A130,'Requirement Overview'!C:C,'Requirement Overview'!E:E))</f>
        <v>Talme</v>
      </c>
      <c r="E130" s="24" t="str">
        <f>IF(ISBLANK(A130),"",_xlfn.XLOOKUP(A130,'Requirement Overview'!C:C,'Requirement Overview'!H:H))</f>
        <v>Non - IT</v>
      </c>
      <c r="F130" s="24" t="str">
        <f>IF(ISBLANK(A130),"",_xlfn.XLOOKUP(A130,'Requirement Overview'!C:C,'Requirement Overview'!I:I))</f>
        <v>Key Accounts Manager</v>
      </c>
      <c r="G130" s="58" t="str">
        <f>IF(ISBLANK(A130),"",_xlfn.XLOOKUP(A130,'Requirement Overview'!C:C,'Requirement Overview'!G:G))</f>
        <v>Avinashi Ads</v>
      </c>
      <c r="H130" s="185" t="s">
        <v>763</v>
      </c>
      <c r="I130" s="153" t="s">
        <v>625</v>
      </c>
      <c r="J130" s="59" t="s">
        <v>764</v>
      </c>
      <c r="K130" s="21">
        <v>8591715154</v>
      </c>
      <c r="L130" s="46" t="s">
        <v>695</v>
      </c>
      <c r="M130" s="24" t="s">
        <v>642</v>
      </c>
      <c r="N130" s="91" t="s">
        <v>765</v>
      </c>
      <c r="O130" s="24" t="s">
        <v>368</v>
      </c>
      <c r="R130" s="24" t="s">
        <v>517</v>
      </c>
      <c r="S130" s="24" t="s">
        <v>270</v>
      </c>
      <c r="T130" s="24" t="s">
        <v>103</v>
      </c>
      <c r="U130" s="29">
        <v>46038</v>
      </c>
      <c r="V130" s="29">
        <v>46038</v>
      </c>
    </row>
    <row r="131" spans="1:33" ht="14.45">
      <c r="A131" s="24" t="s">
        <v>35</v>
      </c>
      <c r="B131" s="24" t="s">
        <v>340</v>
      </c>
      <c r="C131" s="24" t="str">
        <f>IF(ISBLANK(B131),"",_xlfn.XLOOKUP(B131,Recruiter!A:A,Recruiter!B:B))</f>
        <v>Harshitha</v>
      </c>
      <c r="D131" s="24" t="str">
        <f>IF(ISBLANK(A131),"",_xlfn.XLOOKUP(A131,'Requirement Overview'!C:C,'Requirement Overview'!E:E))</f>
        <v>Talme</v>
      </c>
      <c r="E131" s="24" t="str">
        <f>IF(ISBLANK(A131),"",_xlfn.XLOOKUP(A131,'Requirement Overview'!C:C,'Requirement Overview'!H:H))</f>
        <v>IT</v>
      </c>
      <c r="F131" s="24" t="str">
        <f>IF(ISBLANK(A131),"",_xlfn.XLOOKUP(A131,'Requirement Overview'!C:C,'Requirement Overview'!I:I))</f>
        <v>Windows system adminstrator</v>
      </c>
      <c r="G131" s="58" t="str">
        <f>IF(ISBLANK(A131),"",_xlfn.XLOOKUP(A131,'Requirement Overview'!C:C,'Requirement Overview'!G:G))</f>
        <v>EMIDS</v>
      </c>
      <c r="H131" s="185" t="s">
        <v>766</v>
      </c>
      <c r="I131" s="156" t="s">
        <v>519</v>
      </c>
      <c r="J131" s="193" t="s">
        <v>767</v>
      </c>
      <c r="K131" s="38">
        <v>9663621479</v>
      </c>
      <c r="L131" s="46"/>
      <c r="M131" s="21" t="s">
        <v>768</v>
      </c>
      <c r="N131" s="91" t="s">
        <v>769</v>
      </c>
      <c r="S131" s="24" t="s">
        <v>360</v>
      </c>
      <c r="T131" s="24" t="s">
        <v>103</v>
      </c>
      <c r="U131" s="29">
        <v>46038</v>
      </c>
      <c r="V131" s="29">
        <v>46038</v>
      </c>
      <c r="X131" s="29">
        <v>46041</v>
      </c>
      <c r="Y131" s="24" t="s">
        <v>362</v>
      </c>
    </row>
    <row r="132" spans="1:33" ht="14.45">
      <c r="A132" s="24" t="s">
        <v>35</v>
      </c>
      <c r="B132" s="24" t="s">
        <v>340</v>
      </c>
      <c r="C132" s="24" t="str">
        <f>IF(ISBLANK(B132),"",_xlfn.XLOOKUP(B132,Recruiter!A:A,Recruiter!B:B))</f>
        <v>Harshitha</v>
      </c>
      <c r="D132" s="24" t="str">
        <f>IF(ISBLANK(A132),"",_xlfn.XLOOKUP(A132,'Requirement Overview'!C:C,'Requirement Overview'!E:E))</f>
        <v>Talme</v>
      </c>
      <c r="E132" s="24" t="str">
        <f>IF(ISBLANK(A132),"",_xlfn.XLOOKUP(A132,'Requirement Overview'!C:C,'Requirement Overview'!H:H))</f>
        <v>IT</v>
      </c>
      <c r="F132" s="24" t="str">
        <f>IF(ISBLANK(A132),"",_xlfn.XLOOKUP(A132,'Requirement Overview'!C:C,'Requirement Overview'!I:I))</f>
        <v>Windows system adminstrator</v>
      </c>
      <c r="G132" s="58" t="str">
        <f>IF(ISBLANK(A132),"",_xlfn.XLOOKUP(A132,'Requirement Overview'!C:C,'Requirement Overview'!G:G))</f>
        <v>EMIDS</v>
      </c>
      <c r="H132" s="185" t="s">
        <v>770</v>
      </c>
      <c r="I132" s="156" t="s">
        <v>519</v>
      </c>
      <c r="J132" s="193" t="s">
        <v>771</v>
      </c>
      <c r="K132" s="38">
        <v>9849164673</v>
      </c>
      <c r="L132" s="46"/>
      <c r="M132" s="21" t="s">
        <v>379</v>
      </c>
      <c r="N132" s="91" t="s">
        <v>772</v>
      </c>
      <c r="S132" s="24" t="s">
        <v>360</v>
      </c>
      <c r="T132" s="24" t="s">
        <v>103</v>
      </c>
      <c r="U132" s="29">
        <v>46038</v>
      </c>
      <c r="V132" s="29">
        <v>46038</v>
      </c>
      <c r="X132" s="29">
        <v>46041</v>
      </c>
      <c r="Y132" s="24" t="s">
        <v>362</v>
      </c>
    </row>
    <row r="133" spans="1:33" ht="14.45">
      <c r="A133" s="24" t="s">
        <v>35</v>
      </c>
      <c r="B133" s="24" t="s">
        <v>340</v>
      </c>
      <c r="C133" s="24" t="str">
        <f>IF(ISBLANK(B133),"",_xlfn.XLOOKUP(B133,Recruiter!A:A,Recruiter!B:B))</f>
        <v>Harshitha</v>
      </c>
      <c r="D133" s="24" t="str">
        <f>IF(ISBLANK(A133),"",_xlfn.XLOOKUP(A133,'Requirement Overview'!C:C,'Requirement Overview'!E:E))</f>
        <v>Talme</v>
      </c>
      <c r="E133" s="24" t="str">
        <f>IF(ISBLANK(A133),"",_xlfn.XLOOKUP(A133,'Requirement Overview'!C:C,'Requirement Overview'!H:H))</f>
        <v>IT</v>
      </c>
      <c r="F133" s="24" t="str">
        <f>IF(ISBLANK(A133),"",_xlfn.XLOOKUP(A133,'Requirement Overview'!C:C,'Requirement Overview'!I:I))</f>
        <v>Windows system adminstrator</v>
      </c>
      <c r="G133" s="58" t="str">
        <f>IF(ISBLANK(A133),"",_xlfn.XLOOKUP(A133,'Requirement Overview'!C:C,'Requirement Overview'!G:G))</f>
        <v>EMIDS</v>
      </c>
      <c r="H133" s="185" t="s">
        <v>773</v>
      </c>
      <c r="I133" s="156" t="s">
        <v>519</v>
      </c>
      <c r="J133" s="193" t="s">
        <v>774</v>
      </c>
      <c r="K133" s="38">
        <v>8142728979</v>
      </c>
      <c r="L133" s="46"/>
      <c r="M133" s="21" t="s">
        <v>734</v>
      </c>
      <c r="N133" s="91" t="s">
        <v>775</v>
      </c>
      <c r="S133" s="24" t="s">
        <v>360</v>
      </c>
      <c r="T133" s="24" t="s">
        <v>103</v>
      </c>
      <c r="U133" s="29">
        <v>46038</v>
      </c>
      <c r="V133" s="29">
        <v>46038</v>
      </c>
      <c r="X133" s="29">
        <v>46041</v>
      </c>
      <c r="Y133" s="24" t="s">
        <v>362</v>
      </c>
    </row>
    <row r="134" spans="1:33" ht="14.45">
      <c r="A134" s="24" t="s">
        <v>33</v>
      </c>
      <c r="B134" s="24" t="s">
        <v>340</v>
      </c>
      <c r="C134" s="24" t="str">
        <f>IF(ISBLANK(B134),"",_xlfn.XLOOKUP(B134,Recruiter!A:A,Recruiter!B:B))</f>
        <v>Harshitha</v>
      </c>
      <c r="D134" s="24" t="str">
        <f>IF(ISBLANK(A134),"",_xlfn.XLOOKUP(A134,'Requirement Overview'!C:C,'Requirement Overview'!E:E))</f>
        <v>Talme</v>
      </c>
      <c r="E134" s="24" t="str">
        <f>IF(ISBLANK(A134),"",_xlfn.XLOOKUP(A134,'Requirement Overview'!C:C,'Requirement Overview'!H:H))</f>
        <v>IT</v>
      </c>
      <c r="F134" s="24" t="str">
        <f>IF(ISBLANK(A134),"",_xlfn.XLOOKUP(A134,'Requirement Overview'!C:C,'Requirement Overview'!I:I))</f>
        <v>Python Architect</v>
      </c>
      <c r="G134" s="58" t="str">
        <f>IF(ISBLANK(A134),"",_xlfn.XLOOKUP(A134,'Requirement Overview'!C:C,'Requirement Overview'!G:G))</f>
        <v>EMIDS</v>
      </c>
      <c r="H134" s="185" t="s">
        <v>776</v>
      </c>
      <c r="I134" s="156" t="s">
        <v>777</v>
      </c>
      <c r="J134" s="59" t="s">
        <v>778</v>
      </c>
      <c r="K134" s="21">
        <v>9711425020</v>
      </c>
      <c r="L134" s="156" t="s">
        <v>305</v>
      </c>
      <c r="M134" s="21" t="s">
        <v>487</v>
      </c>
      <c r="N134" s="91" t="s">
        <v>779</v>
      </c>
      <c r="O134" s="21" t="s">
        <v>554</v>
      </c>
      <c r="P134" s="21"/>
      <c r="Q134" s="21"/>
      <c r="R134" s="21" t="s">
        <v>345</v>
      </c>
      <c r="S134" s="24" t="s">
        <v>375</v>
      </c>
      <c r="T134" s="24" t="s">
        <v>103</v>
      </c>
      <c r="U134" s="29">
        <v>46038</v>
      </c>
      <c r="V134" s="29">
        <v>46038</v>
      </c>
    </row>
    <row r="135" spans="1:33" ht="14.45">
      <c r="A135" s="24" t="s">
        <v>33</v>
      </c>
      <c r="B135" s="24" t="s">
        <v>340</v>
      </c>
      <c r="C135" s="24" t="str">
        <f>IF(ISBLANK(B135),"",_xlfn.XLOOKUP(B135,Recruiter!A:A,Recruiter!B:B))</f>
        <v>Harshitha</v>
      </c>
      <c r="D135" s="24" t="str">
        <f>IF(ISBLANK(A135),"",_xlfn.XLOOKUP(A135,'Requirement Overview'!C:C,'Requirement Overview'!E:E))</f>
        <v>Talme</v>
      </c>
      <c r="E135" s="24" t="str">
        <f>IF(ISBLANK(A135),"",_xlfn.XLOOKUP(A135,'Requirement Overview'!C:C,'Requirement Overview'!H:H))</f>
        <v>IT</v>
      </c>
      <c r="F135" s="24" t="str">
        <f>IF(ISBLANK(A135),"",_xlfn.XLOOKUP(A135,'Requirement Overview'!C:C,'Requirement Overview'!I:I))</f>
        <v>Python Architect</v>
      </c>
      <c r="G135" s="58" t="str">
        <f>IF(ISBLANK(A135),"",_xlfn.XLOOKUP(A135,'Requirement Overview'!C:C,'Requirement Overview'!G:G))</f>
        <v>EMIDS</v>
      </c>
      <c r="H135" s="185" t="s">
        <v>780</v>
      </c>
      <c r="I135" s="156" t="s">
        <v>519</v>
      </c>
      <c r="J135" s="59" t="s">
        <v>781</v>
      </c>
      <c r="K135" s="21">
        <v>9703167000</v>
      </c>
      <c r="L135" s="156" t="s">
        <v>305</v>
      </c>
      <c r="M135" s="21" t="s">
        <v>343</v>
      </c>
      <c r="N135" s="91" t="s">
        <v>782</v>
      </c>
      <c r="O135" s="21" t="s">
        <v>353</v>
      </c>
      <c r="P135" s="21"/>
      <c r="Q135" s="21"/>
      <c r="R135" s="21" t="s">
        <v>345</v>
      </c>
      <c r="S135" s="24" t="s">
        <v>783</v>
      </c>
      <c r="T135" s="24" t="s">
        <v>103</v>
      </c>
      <c r="U135" s="29">
        <v>46038</v>
      </c>
      <c r="V135" s="29">
        <v>46038</v>
      </c>
      <c r="X135" s="29">
        <v>46045</v>
      </c>
      <c r="Y135" s="24" t="s">
        <v>784</v>
      </c>
      <c r="AB135" s="29">
        <v>46056</v>
      </c>
      <c r="AC135" s="24" t="s">
        <v>784</v>
      </c>
      <c r="AF135" s="29">
        <v>46071</v>
      </c>
      <c r="AG135" s="24" t="s">
        <v>362</v>
      </c>
    </row>
    <row r="136" spans="1:33" ht="14.45">
      <c r="A136" s="24" t="s">
        <v>33</v>
      </c>
      <c r="B136" s="24" t="s">
        <v>340</v>
      </c>
      <c r="C136" s="24" t="str">
        <f>IF(ISBLANK(B136),"",_xlfn.XLOOKUP(B136,Recruiter!A:A,Recruiter!B:B))</f>
        <v>Harshitha</v>
      </c>
      <c r="D136" s="24" t="str">
        <f>IF(ISBLANK(A136),"",_xlfn.XLOOKUP(A136,'Requirement Overview'!C:C,'Requirement Overview'!E:E))</f>
        <v>Talme</v>
      </c>
      <c r="E136" s="24" t="str">
        <f>IF(ISBLANK(A136),"",_xlfn.XLOOKUP(A136,'Requirement Overview'!C:C,'Requirement Overview'!H:H))</f>
        <v>IT</v>
      </c>
      <c r="F136" s="24" t="str">
        <f>IF(ISBLANK(A136),"",_xlfn.XLOOKUP(A136,'Requirement Overview'!C:C,'Requirement Overview'!I:I))</f>
        <v>Python Architect</v>
      </c>
      <c r="G136" s="58" t="str">
        <f>IF(ISBLANK(A136),"",_xlfn.XLOOKUP(A136,'Requirement Overview'!C:C,'Requirement Overview'!G:G))</f>
        <v>EMIDS</v>
      </c>
      <c r="H136" s="185" t="s">
        <v>785</v>
      </c>
      <c r="I136" s="156" t="s">
        <v>786</v>
      </c>
      <c r="J136" s="59" t="s">
        <v>787</v>
      </c>
      <c r="K136" s="21">
        <v>9643898248</v>
      </c>
      <c r="L136" s="156" t="s">
        <v>378</v>
      </c>
      <c r="M136" s="21" t="s">
        <v>788</v>
      </c>
      <c r="N136" s="91" t="s">
        <v>789</v>
      </c>
      <c r="O136" s="21" t="s">
        <v>455</v>
      </c>
      <c r="P136" s="21"/>
      <c r="Q136" s="21"/>
      <c r="R136" s="21" t="s">
        <v>790</v>
      </c>
      <c r="S136" s="24" t="s">
        <v>783</v>
      </c>
      <c r="T136" s="24" t="s">
        <v>103</v>
      </c>
      <c r="U136" s="29">
        <v>46038</v>
      </c>
      <c r="V136" s="29">
        <v>46038</v>
      </c>
      <c r="X136" s="29">
        <v>46042</v>
      </c>
      <c r="Y136" s="24" t="s">
        <v>784</v>
      </c>
      <c r="AB136" s="24" t="s">
        <v>791</v>
      </c>
      <c r="AC136" s="24" t="s">
        <v>784</v>
      </c>
      <c r="AF136" s="29">
        <v>46030</v>
      </c>
      <c r="AG136" s="24" t="s">
        <v>362</v>
      </c>
    </row>
    <row r="137" spans="1:33" ht="14.45">
      <c r="A137" s="24" t="s">
        <v>33</v>
      </c>
      <c r="B137" s="24" t="s">
        <v>340</v>
      </c>
      <c r="C137" s="24" t="str">
        <f>IF(ISBLANK(B137),"",_xlfn.XLOOKUP(B137,Recruiter!A:A,Recruiter!B:B))</f>
        <v>Harshitha</v>
      </c>
      <c r="D137" s="24" t="str">
        <f>IF(ISBLANK(A137),"",_xlfn.XLOOKUP(A137,'Requirement Overview'!C:C,'Requirement Overview'!E:E))</f>
        <v>Talme</v>
      </c>
      <c r="E137" s="24" t="str">
        <f>IF(ISBLANK(A137),"",_xlfn.XLOOKUP(A137,'Requirement Overview'!C:C,'Requirement Overview'!H:H))</f>
        <v>IT</v>
      </c>
      <c r="F137" s="24" t="str">
        <f>IF(ISBLANK(A137),"",_xlfn.XLOOKUP(A137,'Requirement Overview'!C:C,'Requirement Overview'!I:I))</f>
        <v>Python Architect</v>
      </c>
      <c r="G137" s="58" t="str">
        <f>IF(ISBLANK(A137),"",_xlfn.XLOOKUP(A137,'Requirement Overview'!C:C,'Requirement Overview'!G:G))</f>
        <v>EMIDS</v>
      </c>
      <c r="H137" s="185" t="s">
        <v>792</v>
      </c>
      <c r="I137" s="156" t="s">
        <v>519</v>
      </c>
      <c r="J137" s="59" t="s">
        <v>793</v>
      </c>
      <c r="K137" s="21">
        <v>7406679388</v>
      </c>
      <c r="L137" s="156" t="s">
        <v>794</v>
      </c>
      <c r="M137" s="21" t="s">
        <v>351</v>
      </c>
      <c r="N137" s="91" t="s">
        <v>795</v>
      </c>
      <c r="O137" s="21" t="s">
        <v>353</v>
      </c>
      <c r="P137" s="21"/>
      <c r="Q137" s="21"/>
      <c r="R137" s="21" t="s">
        <v>790</v>
      </c>
      <c r="S137" s="24" t="s">
        <v>360</v>
      </c>
      <c r="T137" s="24" t="s">
        <v>103</v>
      </c>
      <c r="U137" s="29">
        <v>46038</v>
      </c>
      <c r="V137" s="29">
        <v>46038</v>
      </c>
      <c r="X137" s="29">
        <v>46042</v>
      </c>
      <c r="Y137" s="24" t="s">
        <v>362</v>
      </c>
    </row>
    <row r="138" spans="1:33" ht="14.45">
      <c r="A138" s="24" t="s">
        <v>35</v>
      </c>
      <c r="B138" s="24" t="s">
        <v>520</v>
      </c>
      <c r="C138" s="24" t="str">
        <f>IF(ISBLANK(B138),"",_xlfn.XLOOKUP(B138,Recruiter!A:A,Recruiter!B:B))</f>
        <v>Narthana</v>
      </c>
      <c r="D138" s="24" t="str">
        <f>IF(ISBLANK(A138),"",_xlfn.XLOOKUP(A138,'Requirement Overview'!C:C,'Requirement Overview'!E:E))</f>
        <v>Talme</v>
      </c>
      <c r="E138" s="24" t="str">
        <f>IF(ISBLANK(A138),"",_xlfn.XLOOKUP(A138,'Requirement Overview'!C:C,'Requirement Overview'!H:H))</f>
        <v>IT</v>
      </c>
      <c r="F138" s="24" t="str">
        <f>IF(ISBLANK(A138),"",_xlfn.XLOOKUP(A138,'Requirement Overview'!C:C,'Requirement Overview'!I:I))</f>
        <v>Windows system adminstrator</v>
      </c>
      <c r="G138" s="58" t="str">
        <f>IF(ISBLANK(A138),"",_xlfn.XLOOKUP(A138,'Requirement Overview'!C:C,'Requirement Overview'!G:G))</f>
        <v>EMIDS</v>
      </c>
      <c r="H138" s="185" t="s">
        <v>796</v>
      </c>
      <c r="I138" s="327" t="s">
        <v>497</v>
      </c>
      <c r="J138" s="199" t="s">
        <v>797</v>
      </c>
      <c r="K138" s="328">
        <v>8318735383</v>
      </c>
      <c r="L138" s="327" t="s">
        <v>427</v>
      </c>
      <c r="M138" s="328" t="s">
        <v>395</v>
      </c>
      <c r="N138" s="92" t="s">
        <v>798</v>
      </c>
      <c r="O138" s="21" t="s">
        <v>429</v>
      </c>
      <c r="P138" s="21"/>
      <c r="Q138" s="21"/>
      <c r="R138" s="21" t="s">
        <v>374</v>
      </c>
      <c r="S138" s="24" t="s">
        <v>360</v>
      </c>
      <c r="T138" s="24" t="s">
        <v>103</v>
      </c>
      <c r="U138" s="29">
        <v>46038</v>
      </c>
      <c r="V138" s="29">
        <v>46038</v>
      </c>
      <c r="W138" s="24" t="s">
        <v>360</v>
      </c>
      <c r="X138" s="29">
        <v>46044</v>
      </c>
      <c r="Y138" s="24" t="s">
        <v>362</v>
      </c>
    </row>
    <row r="139" spans="1:33" ht="14.45">
      <c r="A139" s="24" t="s">
        <v>35</v>
      </c>
      <c r="B139" s="24" t="s">
        <v>520</v>
      </c>
      <c r="C139" s="24" t="str">
        <f>IF(ISBLANK(B139),"",_xlfn.XLOOKUP(B139,Recruiter!A:A,Recruiter!B:B))</f>
        <v>Narthana</v>
      </c>
      <c r="D139" s="24" t="str">
        <f>IF(ISBLANK(A139),"",_xlfn.XLOOKUP(A139,'Requirement Overview'!C:C,'Requirement Overview'!E:E))</f>
        <v>Talme</v>
      </c>
      <c r="E139" s="24" t="str">
        <f>IF(ISBLANK(A139),"",_xlfn.XLOOKUP(A139,'Requirement Overview'!C:C,'Requirement Overview'!H:H))</f>
        <v>IT</v>
      </c>
      <c r="F139" s="24" t="str">
        <f>IF(ISBLANK(A139),"",_xlfn.XLOOKUP(A139,'Requirement Overview'!C:C,'Requirement Overview'!I:I))</f>
        <v>Windows system adminstrator</v>
      </c>
      <c r="G139" s="58" t="str">
        <f>IF(ISBLANK(A139),"",_xlfn.XLOOKUP(A139,'Requirement Overview'!C:C,'Requirement Overview'!G:G))</f>
        <v>EMIDS</v>
      </c>
      <c r="H139" s="185" t="s">
        <v>799</v>
      </c>
      <c r="I139" s="327" t="s">
        <v>519</v>
      </c>
      <c r="J139" s="199" t="s">
        <v>800</v>
      </c>
      <c r="K139" s="328">
        <v>8299296990</v>
      </c>
      <c r="L139" s="327" t="s">
        <v>404</v>
      </c>
      <c r="M139" s="328" t="s">
        <v>414</v>
      </c>
      <c r="N139" s="92" t="s">
        <v>653</v>
      </c>
      <c r="O139" s="21" t="s">
        <v>801</v>
      </c>
      <c r="P139" s="21"/>
      <c r="Q139" s="21"/>
      <c r="R139" s="21" t="s">
        <v>439</v>
      </c>
      <c r="S139" s="24" t="s">
        <v>802</v>
      </c>
      <c r="T139" s="24" t="s">
        <v>103</v>
      </c>
      <c r="U139" s="29">
        <v>46038</v>
      </c>
      <c r="V139" s="29">
        <v>46038</v>
      </c>
      <c r="W139" s="24" t="s">
        <v>361</v>
      </c>
      <c r="X139" s="29">
        <v>46044</v>
      </c>
      <c r="Y139" s="24" t="s">
        <v>802</v>
      </c>
    </row>
    <row r="140" spans="1:33" ht="14.45">
      <c r="A140" s="24" t="s">
        <v>35</v>
      </c>
      <c r="B140" s="24" t="s">
        <v>520</v>
      </c>
      <c r="C140" s="24" t="str">
        <f>IF(ISBLANK(B140),"",_xlfn.XLOOKUP(B140,Recruiter!A:A,Recruiter!B:B))</f>
        <v>Narthana</v>
      </c>
      <c r="D140" s="24" t="str">
        <f>IF(ISBLANK(A140),"",_xlfn.XLOOKUP(A140,'Requirement Overview'!C:C,'Requirement Overview'!E:E))</f>
        <v>Talme</v>
      </c>
      <c r="E140" s="24" t="str">
        <f>IF(ISBLANK(A140),"",_xlfn.XLOOKUP(A140,'Requirement Overview'!C:C,'Requirement Overview'!H:H))</f>
        <v>IT</v>
      </c>
      <c r="F140" s="24" t="str">
        <f>IF(ISBLANK(A140),"",_xlfn.XLOOKUP(A140,'Requirement Overview'!C:C,'Requirement Overview'!I:I))</f>
        <v>Windows system adminstrator</v>
      </c>
      <c r="G140" s="58" t="str">
        <f>IF(ISBLANK(A140),"",_xlfn.XLOOKUP(A140,'Requirement Overview'!C:C,'Requirement Overview'!G:G))</f>
        <v>EMIDS</v>
      </c>
      <c r="H140" s="185" t="s">
        <v>803</v>
      </c>
      <c r="I140" s="327" t="s">
        <v>519</v>
      </c>
      <c r="J140" s="272" t="s">
        <v>804</v>
      </c>
      <c r="K140" s="328">
        <v>7307607780</v>
      </c>
      <c r="L140" s="327" t="s">
        <v>378</v>
      </c>
      <c r="M140" s="328" t="s">
        <v>414</v>
      </c>
      <c r="N140" s="92" t="s">
        <v>805</v>
      </c>
      <c r="O140" s="21" t="s">
        <v>373</v>
      </c>
      <c r="P140" s="21" t="s">
        <v>806</v>
      </c>
      <c r="Q140" s="21" t="s">
        <v>806</v>
      </c>
      <c r="R140" s="21" t="s">
        <v>439</v>
      </c>
      <c r="S140" s="24" t="s">
        <v>360</v>
      </c>
      <c r="T140" s="24" t="s">
        <v>103</v>
      </c>
      <c r="U140" s="29">
        <v>46038</v>
      </c>
      <c r="V140" s="29">
        <v>46038</v>
      </c>
      <c r="X140" s="29">
        <v>46044</v>
      </c>
      <c r="Y140" s="24" t="s">
        <v>362</v>
      </c>
      <c r="AB140" s="29"/>
    </row>
    <row r="141" spans="1:33" ht="14.45">
      <c r="A141" s="24" t="s">
        <v>64</v>
      </c>
      <c r="B141" s="24" t="s">
        <v>236</v>
      </c>
      <c r="C141" s="24" t="str">
        <f>IF(ISBLANK(B141),"",_xlfn.XLOOKUP(B141,Recruiter!A:A,Recruiter!B:B))</f>
        <v>Pooja</v>
      </c>
      <c r="D141" s="24" t="str">
        <f>IF(ISBLANK(A141),"",_xlfn.XLOOKUP(A141,'Requirement Overview'!C:C,'Requirement Overview'!E:E))</f>
        <v>Talme</v>
      </c>
      <c r="E141" s="24" t="str">
        <f>IF(ISBLANK(A141),"",_xlfn.XLOOKUP(A141,'Requirement Overview'!C:C,'Requirement Overview'!H:H))</f>
        <v>Non - IT</v>
      </c>
      <c r="F141" s="24" t="str">
        <f>IF(ISBLANK(A141),"",_xlfn.XLOOKUP(A141,'Requirement Overview'!C:C,'Requirement Overview'!I:I))</f>
        <v>Sales Head</v>
      </c>
      <c r="G141" s="58" t="str">
        <f>IF(ISBLANK(A141),"",_xlfn.XLOOKUP(A141,'Requirement Overview'!C:C,'Requirement Overview'!G:G))</f>
        <v>Avinashi Ads</v>
      </c>
      <c r="H141" s="185" t="s">
        <v>807</v>
      </c>
      <c r="I141" s="153" t="s">
        <v>625</v>
      </c>
      <c r="J141" s="59" t="s">
        <v>808</v>
      </c>
      <c r="K141" s="21">
        <v>7259133336</v>
      </c>
      <c r="L141" s="46" t="s">
        <v>330</v>
      </c>
      <c r="M141" s="24" t="s">
        <v>442</v>
      </c>
      <c r="N141" s="91" t="s">
        <v>809</v>
      </c>
      <c r="O141" s="24" t="s">
        <v>810</v>
      </c>
      <c r="R141" s="24" t="s">
        <v>811</v>
      </c>
      <c r="S141" s="24" t="s">
        <v>470</v>
      </c>
      <c r="T141" s="24" t="s">
        <v>103</v>
      </c>
      <c r="U141" s="29">
        <v>46039</v>
      </c>
      <c r="V141" s="29">
        <v>46039</v>
      </c>
    </row>
    <row r="142" spans="1:33" ht="14.45">
      <c r="A142" s="24" t="s">
        <v>64</v>
      </c>
      <c r="B142" s="24" t="s">
        <v>236</v>
      </c>
      <c r="C142" s="24" t="str">
        <f>IF(ISBLANK(B142),"",_xlfn.XLOOKUP(B142,Recruiter!A:A,Recruiter!B:B))</f>
        <v>Pooja</v>
      </c>
      <c r="D142" s="24" t="str">
        <f>IF(ISBLANK(A142),"",_xlfn.XLOOKUP(A142,'Requirement Overview'!C:C,'Requirement Overview'!E:E))</f>
        <v>Talme</v>
      </c>
      <c r="E142" s="24" t="str">
        <f>IF(ISBLANK(A142),"",_xlfn.XLOOKUP(A142,'Requirement Overview'!C:C,'Requirement Overview'!H:H))</f>
        <v>Non - IT</v>
      </c>
      <c r="F142" s="24" t="str">
        <f>IF(ISBLANK(A142),"",_xlfn.XLOOKUP(A142,'Requirement Overview'!C:C,'Requirement Overview'!I:I))</f>
        <v>Sales Head</v>
      </c>
      <c r="G142" s="58" t="str">
        <f>IF(ISBLANK(A142),"",_xlfn.XLOOKUP(A142,'Requirement Overview'!C:C,'Requirement Overview'!G:G))</f>
        <v>Avinashi Ads</v>
      </c>
      <c r="H142" s="185" t="s">
        <v>812</v>
      </c>
      <c r="I142" s="153" t="s">
        <v>813</v>
      </c>
      <c r="J142" s="59" t="s">
        <v>814</v>
      </c>
      <c r="K142" s="21">
        <v>9353724213</v>
      </c>
      <c r="L142" s="46" t="s">
        <v>707</v>
      </c>
      <c r="M142" s="24" t="s">
        <v>708</v>
      </c>
      <c r="N142" s="91" t="s">
        <v>815</v>
      </c>
      <c r="O142" s="24" t="s">
        <v>654</v>
      </c>
      <c r="R142" s="24" t="s">
        <v>678</v>
      </c>
      <c r="S142" s="24" t="s">
        <v>470</v>
      </c>
      <c r="T142" s="24" t="s">
        <v>103</v>
      </c>
      <c r="U142" s="29">
        <v>46039</v>
      </c>
      <c r="V142" s="29">
        <v>46039</v>
      </c>
    </row>
    <row r="143" spans="1:33" ht="14.45">
      <c r="A143" s="24" t="s">
        <v>33</v>
      </c>
      <c r="B143" s="24" t="s">
        <v>236</v>
      </c>
      <c r="C143" s="24" t="str">
        <f>IF(ISBLANK(B143),"",_xlfn.XLOOKUP(B143,Recruiter!A:A,Recruiter!B:B))</f>
        <v>Pooja</v>
      </c>
      <c r="D143" s="24" t="str">
        <f>IF(ISBLANK(A143),"",_xlfn.XLOOKUP(A143,'Requirement Overview'!C:C,'Requirement Overview'!E:E))</f>
        <v>Talme</v>
      </c>
      <c r="E143" s="24" t="str">
        <f>IF(ISBLANK(A143),"",_xlfn.XLOOKUP(A143,'Requirement Overview'!C:C,'Requirement Overview'!H:H))</f>
        <v>IT</v>
      </c>
      <c r="F143" s="24" t="str">
        <f>IF(ISBLANK(A143),"",_xlfn.XLOOKUP(A143,'Requirement Overview'!C:C,'Requirement Overview'!I:I))</f>
        <v>Python Architect</v>
      </c>
      <c r="G143" s="58" t="str">
        <f>IF(ISBLANK(A143),"",_xlfn.XLOOKUP(A143,'Requirement Overview'!C:C,'Requirement Overview'!G:G))</f>
        <v>EMIDS</v>
      </c>
      <c r="H143" s="185" t="s">
        <v>816</v>
      </c>
      <c r="I143" s="154" t="s">
        <v>625</v>
      </c>
      <c r="J143" s="195" t="s">
        <v>817</v>
      </c>
      <c r="K143" s="25">
        <v>8527352371</v>
      </c>
      <c r="L143" s="46" t="s">
        <v>818</v>
      </c>
      <c r="M143" s="24" t="s">
        <v>819</v>
      </c>
      <c r="N143" s="91" t="s">
        <v>820</v>
      </c>
      <c r="O143" s="24" t="s">
        <v>821</v>
      </c>
      <c r="P143" s="24" t="s">
        <v>806</v>
      </c>
      <c r="Q143" s="24" t="s">
        <v>806</v>
      </c>
      <c r="R143" s="24" t="s">
        <v>822</v>
      </c>
      <c r="S143" s="24" t="s">
        <v>270</v>
      </c>
      <c r="T143" s="24" t="s">
        <v>103</v>
      </c>
      <c r="U143" s="29">
        <v>46041</v>
      </c>
      <c r="V143" s="29">
        <v>46041</v>
      </c>
    </row>
    <row r="144" spans="1:33" ht="14.45">
      <c r="A144" s="24" t="s">
        <v>33</v>
      </c>
      <c r="B144" s="24" t="s">
        <v>236</v>
      </c>
      <c r="C144" s="24" t="str">
        <f>IF(ISBLANK(B144),"",_xlfn.XLOOKUP(B144,Recruiter!A:A,Recruiter!B:B))</f>
        <v>Pooja</v>
      </c>
      <c r="D144" s="24" t="str">
        <f>IF(ISBLANK(A144),"",_xlfn.XLOOKUP(A144,'Requirement Overview'!C:C,'Requirement Overview'!E:E))</f>
        <v>Talme</v>
      </c>
      <c r="E144" s="24" t="str">
        <f>IF(ISBLANK(A144),"",_xlfn.XLOOKUP(A144,'Requirement Overview'!C:C,'Requirement Overview'!H:H))</f>
        <v>IT</v>
      </c>
      <c r="F144" s="24" t="str">
        <f>IF(ISBLANK(A144),"",_xlfn.XLOOKUP(A144,'Requirement Overview'!C:C,'Requirement Overview'!I:I))</f>
        <v>Python Architect</v>
      </c>
      <c r="G144" s="58" t="str">
        <f>IF(ISBLANK(A144),"",_xlfn.XLOOKUP(A144,'Requirement Overview'!C:C,'Requirement Overview'!G:G))</f>
        <v>EMIDS</v>
      </c>
      <c r="H144" s="185" t="s">
        <v>823</v>
      </c>
      <c r="I144" s="154" t="s">
        <v>497</v>
      </c>
      <c r="J144" s="59" t="s">
        <v>824</v>
      </c>
      <c r="K144" s="21">
        <v>8369277048</v>
      </c>
      <c r="L144" s="46" t="s">
        <v>695</v>
      </c>
      <c r="M144" s="21" t="s">
        <v>819</v>
      </c>
      <c r="N144" s="91" t="s">
        <v>825</v>
      </c>
      <c r="O144" s="24" t="s">
        <v>353</v>
      </c>
      <c r="P144" s="24" t="s">
        <v>826</v>
      </c>
      <c r="Q144" s="24" t="s">
        <v>806</v>
      </c>
      <c r="R144" s="24" t="s">
        <v>445</v>
      </c>
      <c r="S144" s="24" t="s">
        <v>360</v>
      </c>
      <c r="T144" s="24" t="s">
        <v>103</v>
      </c>
      <c r="U144" s="29">
        <v>46041</v>
      </c>
      <c r="V144" s="29">
        <v>46041</v>
      </c>
    </row>
    <row r="145" spans="1:33" ht="14.45">
      <c r="A145" s="24" t="s">
        <v>33</v>
      </c>
      <c r="B145" s="24" t="s">
        <v>236</v>
      </c>
      <c r="C145" s="24" t="str">
        <f>IF(ISBLANK(B145),"",_xlfn.XLOOKUP(B145,Recruiter!A:A,Recruiter!B:B))</f>
        <v>Pooja</v>
      </c>
      <c r="D145" s="24" t="str">
        <f>IF(ISBLANK(A145),"",_xlfn.XLOOKUP(A145,'Requirement Overview'!C:C,'Requirement Overview'!E:E))</f>
        <v>Talme</v>
      </c>
      <c r="E145" s="24" t="str">
        <f>IF(ISBLANK(A145),"",_xlfn.XLOOKUP(A145,'Requirement Overview'!C:C,'Requirement Overview'!H:H))</f>
        <v>IT</v>
      </c>
      <c r="F145" s="24" t="str">
        <f>IF(ISBLANK(A145),"",_xlfn.XLOOKUP(A145,'Requirement Overview'!C:C,'Requirement Overview'!I:I))</f>
        <v>Python Architect</v>
      </c>
      <c r="G145" s="58" t="str">
        <f>IF(ISBLANK(A145),"",_xlfn.XLOOKUP(A145,'Requirement Overview'!C:C,'Requirement Overview'!G:G))</f>
        <v>EMIDS</v>
      </c>
      <c r="H145" s="185" t="s">
        <v>827</v>
      </c>
      <c r="I145" s="154" t="s">
        <v>519</v>
      </c>
      <c r="J145" s="195" t="s">
        <v>828</v>
      </c>
      <c r="K145" s="21">
        <v>7259887686</v>
      </c>
      <c r="L145" s="46" t="s">
        <v>829</v>
      </c>
      <c r="M145" s="40" t="s">
        <v>830</v>
      </c>
      <c r="N145" s="91" t="s">
        <v>831</v>
      </c>
      <c r="O145" s="24" t="s">
        <v>455</v>
      </c>
      <c r="P145" s="24" t="s">
        <v>832</v>
      </c>
      <c r="Q145" s="24" t="s">
        <v>832</v>
      </c>
      <c r="R145" s="24" t="s">
        <v>445</v>
      </c>
      <c r="S145" s="24" t="s">
        <v>783</v>
      </c>
      <c r="T145" s="24" t="s">
        <v>103</v>
      </c>
      <c r="U145" s="29">
        <v>46041</v>
      </c>
      <c r="V145" s="29">
        <v>46041</v>
      </c>
      <c r="X145" s="29">
        <v>46045</v>
      </c>
      <c r="Y145" s="24" t="s">
        <v>784</v>
      </c>
      <c r="AB145" s="29">
        <v>46064</v>
      </c>
      <c r="AC145" s="24" t="s">
        <v>784</v>
      </c>
      <c r="AF145" s="29">
        <v>46073</v>
      </c>
      <c r="AG145" s="24" t="s">
        <v>802</v>
      </c>
    </row>
    <row r="146" spans="1:33" ht="14.45">
      <c r="A146" s="24" t="s">
        <v>64</v>
      </c>
      <c r="B146" s="24" t="s">
        <v>236</v>
      </c>
      <c r="C146" s="24" t="str">
        <f>IF(ISBLANK(B146),"",_xlfn.XLOOKUP(B146,Recruiter!A:A,Recruiter!B:B))</f>
        <v>Pooja</v>
      </c>
      <c r="D146" s="24" t="str">
        <f>IF(ISBLANK(A146),"",_xlfn.XLOOKUP(A146,'Requirement Overview'!C:C,'Requirement Overview'!E:E))</f>
        <v>Talme</v>
      </c>
      <c r="E146" s="24" t="str">
        <f>IF(ISBLANK(A146),"",_xlfn.XLOOKUP(A146,'Requirement Overview'!C:C,'Requirement Overview'!H:H))</f>
        <v>Non - IT</v>
      </c>
      <c r="F146" s="24" t="str">
        <f>IF(ISBLANK(A146),"",_xlfn.XLOOKUP(A146,'Requirement Overview'!C:C,'Requirement Overview'!I:I))</f>
        <v>Sales Head</v>
      </c>
      <c r="G146" s="58" t="str">
        <f>IF(ISBLANK(A146),"",_xlfn.XLOOKUP(A146,'Requirement Overview'!C:C,'Requirement Overview'!G:G))</f>
        <v>Avinashi Ads</v>
      </c>
      <c r="H146" s="185" t="s">
        <v>833</v>
      </c>
      <c r="I146" s="153" t="s">
        <v>519</v>
      </c>
      <c r="J146" s="59" t="s">
        <v>834</v>
      </c>
      <c r="K146" s="21">
        <v>7975257203</v>
      </c>
      <c r="L146" s="46" t="s">
        <v>695</v>
      </c>
      <c r="M146" s="24" t="s">
        <v>636</v>
      </c>
      <c r="N146" s="91" t="s">
        <v>835</v>
      </c>
      <c r="O146" s="24" t="s">
        <v>836</v>
      </c>
      <c r="P146" s="24" t="s">
        <v>837</v>
      </c>
      <c r="Q146" s="24" t="s">
        <v>837</v>
      </c>
      <c r="R146" s="24" t="s">
        <v>838</v>
      </c>
      <c r="S146" s="24" t="s">
        <v>470</v>
      </c>
      <c r="T146" s="24" t="s">
        <v>103</v>
      </c>
      <c r="U146" s="29">
        <v>46041</v>
      </c>
      <c r="V146" s="29">
        <v>46041</v>
      </c>
    </row>
    <row r="147" spans="1:33" ht="14.45">
      <c r="A147" s="24" t="s">
        <v>64</v>
      </c>
      <c r="B147" s="24" t="s">
        <v>236</v>
      </c>
      <c r="C147" s="24" t="str">
        <f>IF(ISBLANK(B147),"",_xlfn.XLOOKUP(B147,Recruiter!A:A,Recruiter!B:B))</f>
        <v>Pooja</v>
      </c>
      <c r="D147" s="24" t="str">
        <f>IF(ISBLANK(A147),"",_xlfn.XLOOKUP(A147,'Requirement Overview'!C:C,'Requirement Overview'!E:E))</f>
        <v>Talme</v>
      </c>
      <c r="E147" s="24" t="str">
        <f>IF(ISBLANK(A147),"",_xlfn.XLOOKUP(A147,'Requirement Overview'!C:C,'Requirement Overview'!H:H))</f>
        <v>Non - IT</v>
      </c>
      <c r="F147" s="24" t="str">
        <f>IF(ISBLANK(A147),"",_xlfn.XLOOKUP(A147,'Requirement Overview'!C:C,'Requirement Overview'!I:I))</f>
        <v>Sales Head</v>
      </c>
      <c r="G147" s="58" t="str">
        <f>IF(ISBLANK(A147),"",_xlfn.XLOOKUP(A147,'Requirement Overview'!C:C,'Requirement Overview'!G:G))</f>
        <v>Avinashi Ads</v>
      </c>
      <c r="H147" s="185" t="s">
        <v>839</v>
      </c>
      <c r="I147" s="153" t="s">
        <v>750</v>
      </c>
      <c r="J147" s="59" t="s">
        <v>840</v>
      </c>
      <c r="K147" s="21">
        <v>9945583255</v>
      </c>
      <c r="L147" s="46" t="s">
        <v>707</v>
      </c>
      <c r="M147" s="24" t="s">
        <v>708</v>
      </c>
      <c r="N147" s="91" t="s">
        <v>841</v>
      </c>
      <c r="O147" s="24" t="s">
        <v>842</v>
      </c>
      <c r="P147" s="24" t="s">
        <v>837</v>
      </c>
      <c r="Q147" s="24" t="s">
        <v>837</v>
      </c>
      <c r="R147" s="24" t="s">
        <v>843</v>
      </c>
      <c r="S147" s="24" t="s">
        <v>470</v>
      </c>
      <c r="T147" s="24" t="s">
        <v>103</v>
      </c>
      <c r="U147" s="29">
        <v>46041</v>
      </c>
      <c r="V147" s="29">
        <v>46041</v>
      </c>
    </row>
    <row r="148" spans="1:33" ht="14.45">
      <c r="A148" s="24" t="s">
        <v>64</v>
      </c>
      <c r="B148" s="24" t="s">
        <v>236</v>
      </c>
      <c r="C148" s="24" t="str">
        <f>IF(ISBLANK(B148),"",_xlfn.XLOOKUP(B148,Recruiter!A:A,Recruiter!B:B))</f>
        <v>Pooja</v>
      </c>
      <c r="D148" s="24" t="str">
        <f>IF(ISBLANK(A148),"",_xlfn.XLOOKUP(A148,'Requirement Overview'!C:C,'Requirement Overview'!E:E))</f>
        <v>Talme</v>
      </c>
      <c r="E148" s="24" t="str">
        <f>IF(ISBLANK(A148),"",_xlfn.XLOOKUP(A148,'Requirement Overview'!C:C,'Requirement Overview'!H:H))</f>
        <v>Non - IT</v>
      </c>
      <c r="F148" s="24" t="str">
        <f>IF(ISBLANK(A148),"",_xlfn.XLOOKUP(A148,'Requirement Overview'!C:C,'Requirement Overview'!I:I))</f>
        <v>Sales Head</v>
      </c>
      <c r="G148" s="58" t="str">
        <f>IF(ISBLANK(A148),"",_xlfn.XLOOKUP(A148,'Requirement Overview'!C:C,'Requirement Overview'!G:G))</f>
        <v>Avinashi Ads</v>
      </c>
      <c r="H148" s="185" t="s">
        <v>844</v>
      </c>
      <c r="I148" s="153" t="s">
        <v>750</v>
      </c>
      <c r="J148" s="59" t="s">
        <v>845</v>
      </c>
      <c r="K148" s="21">
        <v>9242239964</v>
      </c>
      <c r="L148" s="46" t="s">
        <v>707</v>
      </c>
      <c r="M148" s="34" t="s">
        <v>708</v>
      </c>
      <c r="N148" s="91" t="s">
        <v>846</v>
      </c>
      <c r="O148" s="24" t="s">
        <v>540</v>
      </c>
      <c r="P148" s="24" t="s">
        <v>837</v>
      </c>
      <c r="Q148" s="24" t="s">
        <v>837</v>
      </c>
      <c r="R148" s="24" t="s">
        <v>847</v>
      </c>
      <c r="S148" s="24" t="s">
        <v>470</v>
      </c>
      <c r="T148" s="24" t="s">
        <v>103</v>
      </c>
      <c r="U148" s="29">
        <v>46041</v>
      </c>
      <c r="V148" s="29">
        <v>46041</v>
      </c>
    </row>
    <row r="149" spans="1:33" ht="14.45">
      <c r="A149" s="24" t="s">
        <v>64</v>
      </c>
      <c r="B149" s="24" t="s">
        <v>236</v>
      </c>
      <c r="C149" s="24" t="str">
        <f>IF(ISBLANK(B149),"",_xlfn.XLOOKUP(B149,Recruiter!A:A,Recruiter!B:B))</f>
        <v>Pooja</v>
      </c>
      <c r="D149" s="24" t="str">
        <f>IF(ISBLANK(A149),"",_xlfn.XLOOKUP(A149,'Requirement Overview'!C:C,'Requirement Overview'!E:E))</f>
        <v>Talme</v>
      </c>
      <c r="E149" s="24" t="str">
        <f>IF(ISBLANK(A149),"",_xlfn.XLOOKUP(A149,'Requirement Overview'!C:C,'Requirement Overview'!H:H))</f>
        <v>Non - IT</v>
      </c>
      <c r="F149" s="24" t="str">
        <f>IF(ISBLANK(A149),"",_xlfn.XLOOKUP(A149,'Requirement Overview'!C:C,'Requirement Overview'!I:I))</f>
        <v>Sales Head</v>
      </c>
      <c r="G149" s="58" t="str">
        <f>IF(ISBLANK(A149),"",_xlfn.XLOOKUP(A149,'Requirement Overview'!C:C,'Requirement Overview'!G:G))</f>
        <v>Avinashi Ads</v>
      </c>
      <c r="H149" s="185" t="s">
        <v>848</v>
      </c>
      <c r="I149" s="153" t="s">
        <v>849</v>
      </c>
      <c r="J149" s="195" t="s">
        <v>850</v>
      </c>
      <c r="K149" s="25">
        <v>9865059651</v>
      </c>
      <c r="L149" s="46" t="s">
        <v>707</v>
      </c>
      <c r="M149" s="24" t="s">
        <v>851</v>
      </c>
      <c r="N149" s="91" t="s">
        <v>852</v>
      </c>
      <c r="O149" s="24" t="s">
        <v>687</v>
      </c>
      <c r="P149" s="24" t="s">
        <v>837</v>
      </c>
      <c r="Q149" s="24" t="s">
        <v>268</v>
      </c>
      <c r="R149" s="24" t="s">
        <v>847</v>
      </c>
      <c r="S149" s="24" t="s">
        <v>470</v>
      </c>
      <c r="T149" s="24" t="s">
        <v>103</v>
      </c>
      <c r="U149" s="29">
        <v>46041</v>
      </c>
      <c r="V149" s="29">
        <v>46041</v>
      </c>
    </row>
    <row r="150" spans="1:33" ht="14.45">
      <c r="A150" s="24" t="s">
        <v>64</v>
      </c>
      <c r="B150" s="24" t="s">
        <v>236</v>
      </c>
      <c r="C150" s="24" t="str">
        <f>IF(ISBLANK(B150),"",_xlfn.XLOOKUP(B150,Recruiter!A:A,Recruiter!B:B))</f>
        <v>Pooja</v>
      </c>
      <c r="D150" s="24" t="str">
        <f>IF(ISBLANK(A150),"",_xlfn.XLOOKUP(A150,'Requirement Overview'!C:C,'Requirement Overview'!E:E))</f>
        <v>Talme</v>
      </c>
      <c r="E150" s="24" t="str">
        <f>IF(ISBLANK(A150),"",_xlfn.XLOOKUP(A150,'Requirement Overview'!C:C,'Requirement Overview'!H:H))</f>
        <v>Non - IT</v>
      </c>
      <c r="F150" s="24" t="str">
        <f>IF(ISBLANK(A150),"",_xlfn.XLOOKUP(A150,'Requirement Overview'!C:C,'Requirement Overview'!I:I))</f>
        <v>Sales Head</v>
      </c>
      <c r="G150" s="58" t="str">
        <f>IF(ISBLANK(A150),"",_xlfn.XLOOKUP(A150,'Requirement Overview'!C:C,'Requirement Overview'!G:G))</f>
        <v>Avinashi Ads</v>
      </c>
      <c r="H150" s="185" t="s">
        <v>853</v>
      </c>
      <c r="I150" s="153" t="s">
        <v>625</v>
      </c>
      <c r="J150" s="195" t="s">
        <v>854</v>
      </c>
      <c r="K150" s="21">
        <v>8660695565</v>
      </c>
      <c r="L150" s="46" t="s">
        <v>707</v>
      </c>
      <c r="M150" s="24" t="s">
        <v>819</v>
      </c>
      <c r="N150" s="91" t="s">
        <v>855</v>
      </c>
      <c r="O150" s="24" t="s">
        <v>540</v>
      </c>
      <c r="P150" s="24" t="s">
        <v>837</v>
      </c>
      <c r="Q150" s="24" t="s">
        <v>837</v>
      </c>
      <c r="R150" s="24" t="s">
        <v>856</v>
      </c>
      <c r="S150" s="24" t="s">
        <v>518</v>
      </c>
      <c r="T150" s="24" t="s">
        <v>103</v>
      </c>
      <c r="U150" s="29">
        <v>46041</v>
      </c>
      <c r="V150" s="29">
        <v>46041</v>
      </c>
    </row>
    <row r="151" spans="1:33" ht="14.45">
      <c r="A151" s="24" t="s">
        <v>35</v>
      </c>
      <c r="B151" s="24" t="s">
        <v>340</v>
      </c>
      <c r="C151" s="24" t="str">
        <f>IF(ISBLANK(B151),"",_xlfn.XLOOKUP(B151,Recruiter!A:A,Recruiter!B:B))</f>
        <v>Harshitha</v>
      </c>
      <c r="D151" s="24" t="str">
        <f>IF(ISBLANK(A151),"",_xlfn.XLOOKUP(A151,'Requirement Overview'!C:C,'Requirement Overview'!E:E))</f>
        <v>Talme</v>
      </c>
      <c r="E151" s="24" t="str">
        <f>IF(ISBLANK(A151),"",_xlfn.XLOOKUP(A151,'Requirement Overview'!C:C,'Requirement Overview'!H:H))</f>
        <v>IT</v>
      </c>
      <c r="F151" s="24" t="str">
        <f>IF(ISBLANK(A151),"",_xlfn.XLOOKUP(A151,'Requirement Overview'!C:C,'Requirement Overview'!I:I))</f>
        <v>Windows system adminstrator</v>
      </c>
      <c r="G151" s="58" t="str">
        <f>IF(ISBLANK(A151),"",_xlfn.XLOOKUP(A151,'Requirement Overview'!C:C,'Requirement Overview'!G:G))</f>
        <v>EMIDS</v>
      </c>
      <c r="H151" s="185" t="s">
        <v>857</v>
      </c>
      <c r="I151" s="156" t="s">
        <v>858</v>
      </c>
      <c r="J151" s="59" t="s">
        <v>859</v>
      </c>
      <c r="K151" s="21">
        <v>9999625958</v>
      </c>
      <c r="L151" s="156" t="s">
        <v>421</v>
      </c>
      <c r="M151" s="21" t="s">
        <v>390</v>
      </c>
      <c r="N151" s="91" t="s">
        <v>860</v>
      </c>
      <c r="O151" s="24" t="s">
        <v>861</v>
      </c>
      <c r="P151" s="21" t="s">
        <v>806</v>
      </c>
      <c r="Q151" s="21" t="s">
        <v>806</v>
      </c>
      <c r="R151" s="24" t="s">
        <v>374</v>
      </c>
      <c r="S151" s="24" t="s">
        <v>375</v>
      </c>
      <c r="T151" s="24" t="s">
        <v>103</v>
      </c>
      <c r="U151" s="29">
        <v>46041</v>
      </c>
      <c r="V151" s="29">
        <v>46041</v>
      </c>
      <c r="X151" s="29">
        <v>46043</v>
      </c>
      <c r="Y151" s="24" t="s">
        <v>362</v>
      </c>
    </row>
    <row r="152" spans="1:33" ht="14.45">
      <c r="A152" s="24" t="s">
        <v>35</v>
      </c>
      <c r="B152" s="24" t="s">
        <v>340</v>
      </c>
      <c r="C152" s="24" t="str">
        <f>IF(ISBLANK(B152),"",_xlfn.XLOOKUP(B152,Recruiter!A:A,Recruiter!B:B))</f>
        <v>Harshitha</v>
      </c>
      <c r="D152" s="24" t="str">
        <f>IF(ISBLANK(A152),"",_xlfn.XLOOKUP(A152,'Requirement Overview'!C:C,'Requirement Overview'!E:E))</f>
        <v>Talme</v>
      </c>
      <c r="E152" s="24" t="str">
        <f>IF(ISBLANK(A152),"",_xlfn.XLOOKUP(A152,'Requirement Overview'!C:C,'Requirement Overview'!H:H))</f>
        <v>IT</v>
      </c>
      <c r="F152" s="24" t="str">
        <f>IF(ISBLANK(A152),"",_xlfn.XLOOKUP(A152,'Requirement Overview'!C:C,'Requirement Overview'!I:I))</f>
        <v>Windows system adminstrator</v>
      </c>
      <c r="G152" s="58" t="str">
        <f>IF(ISBLANK(A152),"",_xlfn.XLOOKUP(A152,'Requirement Overview'!C:C,'Requirement Overview'!G:G))</f>
        <v>EMIDS</v>
      </c>
      <c r="H152" s="185" t="s">
        <v>862</v>
      </c>
      <c r="I152" s="156" t="s">
        <v>519</v>
      </c>
      <c r="J152" s="59" t="s">
        <v>863</v>
      </c>
      <c r="K152" s="21">
        <v>9970683962</v>
      </c>
      <c r="L152" s="156" t="s">
        <v>350</v>
      </c>
      <c r="M152" s="21" t="s">
        <v>379</v>
      </c>
      <c r="N152" s="91" t="s">
        <v>864</v>
      </c>
      <c r="O152" s="24" t="s">
        <v>429</v>
      </c>
      <c r="P152" s="21" t="s">
        <v>268</v>
      </c>
      <c r="Q152" s="21" t="s">
        <v>268</v>
      </c>
      <c r="R152" s="24" t="s">
        <v>368</v>
      </c>
      <c r="S152" s="24" t="s">
        <v>375</v>
      </c>
      <c r="T152" s="24" t="s">
        <v>103</v>
      </c>
      <c r="U152" s="29">
        <v>46041</v>
      </c>
      <c r="V152" s="29">
        <v>46041</v>
      </c>
      <c r="X152" s="29">
        <v>46043</v>
      </c>
      <c r="Y152" s="24" t="s">
        <v>802</v>
      </c>
    </row>
    <row r="153" spans="1:33" ht="14.45">
      <c r="A153" s="24" t="s">
        <v>35</v>
      </c>
      <c r="B153" s="24" t="s">
        <v>340</v>
      </c>
      <c r="C153" s="24" t="str">
        <f>IF(ISBLANK(B153),"",_xlfn.XLOOKUP(B153,Recruiter!A:A,Recruiter!B:B))</f>
        <v>Harshitha</v>
      </c>
      <c r="D153" s="24" t="str">
        <f>IF(ISBLANK(A153),"",_xlfn.XLOOKUP(A153,'Requirement Overview'!C:C,'Requirement Overview'!E:E))</f>
        <v>Talme</v>
      </c>
      <c r="E153" s="24" t="str">
        <f>IF(ISBLANK(A153),"",_xlfn.XLOOKUP(A153,'Requirement Overview'!C:C,'Requirement Overview'!H:H))</f>
        <v>IT</v>
      </c>
      <c r="F153" s="24" t="str">
        <f>IF(ISBLANK(A153),"",_xlfn.XLOOKUP(A153,'Requirement Overview'!C:C,'Requirement Overview'!I:I))</f>
        <v>Windows system adminstrator</v>
      </c>
      <c r="G153" s="58" t="str">
        <f>IF(ISBLANK(A153),"",_xlfn.XLOOKUP(A153,'Requirement Overview'!C:C,'Requirement Overview'!G:G))</f>
        <v>EMIDS</v>
      </c>
      <c r="H153" s="185" t="s">
        <v>865</v>
      </c>
      <c r="I153" s="156" t="s">
        <v>519</v>
      </c>
      <c r="J153" s="59" t="s">
        <v>866</v>
      </c>
      <c r="K153" s="21">
        <v>8260808352</v>
      </c>
      <c r="L153" s="156" t="s">
        <v>350</v>
      </c>
      <c r="M153" s="21" t="s">
        <v>379</v>
      </c>
      <c r="N153" s="91" t="s">
        <v>867</v>
      </c>
      <c r="O153" s="24" t="s">
        <v>868</v>
      </c>
      <c r="P153" s="21" t="s">
        <v>869</v>
      </c>
      <c r="Q153" s="21" t="s">
        <v>268</v>
      </c>
      <c r="R153" s="24" t="s">
        <v>374</v>
      </c>
      <c r="S153" s="24" t="s">
        <v>783</v>
      </c>
      <c r="T153" s="24" t="s">
        <v>103</v>
      </c>
      <c r="U153" s="29">
        <v>46041</v>
      </c>
      <c r="V153" s="29">
        <v>46041</v>
      </c>
      <c r="X153" s="29">
        <v>46043</v>
      </c>
      <c r="Y153" s="24" t="s">
        <v>784</v>
      </c>
      <c r="AB153" s="24" t="s">
        <v>791</v>
      </c>
      <c r="AC153" s="24" t="s">
        <v>784</v>
      </c>
      <c r="AF153" s="24" t="s">
        <v>870</v>
      </c>
      <c r="AG153" s="24" t="s">
        <v>362</v>
      </c>
    </row>
    <row r="154" spans="1:33" ht="14.45">
      <c r="A154" s="24" t="s">
        <v>33</v>
      </c>
      <c r="B154" s="24" t="s">
        <v>520</v>
      </c>
      <c r="C154" s="24" t="str">
        <f>IF(ISBLANK(B154),"",_xlfn.XLOOKUP(B154,Recruiter!A:A,Recruiter!B:B))</f>
        <v>Narthana</v>
      </c>
      <c r="D154" s="24" t="str">
        <f>IF(ISBLANK(A154),"",_xlfn.XLOOKUP(A154,'Requirement Overview'!C:C,'Requirement Overview'!E:E))</f>
        <v>Talme</v>
      </c>
      <c r="E154" s="24" t="str">
        <f>IF(ISBLANK(A154),"",_xlfn.XLOOKUP(A154,'Requirement Overview'!C:C,'Requirement Overview'!H:H))</f>
        <v>IT</v>
      </c>
      <c r="F154" s="24" t="str">
        <f>IF(ISBLANK(A154),"",_xlfn.XLOOKUP(A154,'Requirement Overview'!C:C,'Requirement Overview'!I:I))</f>
        <v>Python Architect</v>
      </c>
      <c r="G154" s="58" t="str">
        <f>IF(ISBLANK(A154),"",_xlfn.XLOOKUP(A154,'Requirement Overview'!C:C,'Requirement Overview'!G:G))</f>
        <v>EMIDS</v>
      </c>
      <c r="H154" s="185" t="s">
        <v>871</v>
      </c>
      <c r="I154" s="161" t="s">
        <v>872</v>
      </c>
      <c r="J154" s="200" t="s">
        <v>873</v>
      </c>
      <c r="K154" s="41">
        <v>7200457059</v>
      </c>
      <c r="L154" s="161" t="s">
        <v>378</v>
      </c>
      <c r="M154" s="41" t="s">
        <v>788</v>
      </c>
      <c r="N154" s="91" t="s">
        <v>874</v>
      </c>
      <c r="O154" s="41" t="s">
        <v>600</v>
      </c>
      <c r="P154" s="41" t="s">
        <v>268</v>
      </c>
      <c r="Q154" s="41" t="s">
        <v>268</v>
      </c>
      <c r="R154" s="41" t="s">
        <v>450</v>
      </c>
      <c r="S154" s="24" t="s">
        <v>518</v>
      </c>
      <c r="T154" s="24" t="s">
        <v>103</v>
      </c>
      <c r="U154" s="29">
        <v>46041</v>
      </c>
      <c r="V154" s="29">
        <v>46041</v>
      </c>
    </row>
    <row r="155" spans="1:33" ht="14.45">
      <c r="A155" s="24" t="s">
        <v>33</v>
      </c>
      <c r="B155" s="24" t="s">
        <v>520</v>
      </c>
      <c r="C155" s="24" t="str">
        <f>IF(ISBLANK(B155),"",_xlfn.XLOOKUP(B155,Recruiter!A:A,Recruiter!B:B))</f>
        <v>Narthana</v>
      </c>
      <c r="D155" s="24" t="str">
        <f>IF(ISBLANK(A155),"",_xlfn.XLOOKUP(A155,'Requirement Overview'!C:C,'Requirement Overview'!E:E))</f>
        <v>Talme</v>
      </c>
      <c r="E155" s="24" t="str">
        <f>IF(ISBLANK(A155),"",_xlfn.XLOOKUP(A155,'Requirement Overview'!C:C,'Requirement Overview'!H:H))</f>
        <v>IT</v>
      </c>
      <c r="F155" s="24" t="str">
        <f>IF(ISBLANK(A155),"",_xlfn.XLOOKUP(A155,'Requirement Overview'!C:C,'Requirement Overview'!I:I))</f>
        <v>Python Architect</v>
      </c>
      <c r="G155" s="58" t="str">
        <f>IF(ISBLANK(A155),"",_xlfn.XLOOKUP(A155,'Requirement Overview'!C:C,'Requirement Overview'!G:G))</f>
        <v>EMIDS</v>
      </c>
      <c r="H155" s="185" t="s">
        <v>875</v>
      </c>
      <c r="I155" s="161" t="s">
        <v>876</v>
      </c>
      <c r="J155" s="201" t="s">
        <v>877</v>
      </c>
      <c r="K155" s="41">
        <v>9704484208</v>
      </c>
      <c r="L155" s="161" t="s">
        <v>305</v>
      </c>
      <c r="M155" s="41" t="s">
        <v>343</v>
      </c>
      <c r="N155" s="91" t="s">
        <v>878</v>
      </c>
      <c r="O155" s="41" t="s">
        <v>541</v>
      </c>
      <c r="P155" s="41" t="s">
        <v>879</v>
      </c>
      <c r="Q155" s="41" t="s">
        <v>879</v>
      </c>
      <c r="R155" s="41" t="s">
        <v>450</v>
      </c>
      <c r="S155" s="24" t="s">
        <v>360</v>
      </c>
      <c r="T155" s="24" t="s">
        <v>103</v>
      </c>
      <c r="U155" s="29">
        <v>46041</v>
      </c>
      <c r="V155" s="29">
        <v>46041</v>
      </c>
      <c r="W155" s="24" t="s">
        <v>880</v>
      </c>
      <c r="X155" s="29">
        <v>46043</v>
      </c>
      <c r="Y155" s="24" t="s">
        <v>362</v>
      </c>
    </row>
    <row r="156" spans="1:33" ht="14.45">
      <c r="A156" s="24" t="s">
        <v>35</v>
      </c>
      <c r="B156" s="24" t="s">
        <v>520</v>
      </c>
      <c r="C156" s="24" t="str">
        <f>IF(ISBLANK(B156),"",_xlfn.XLOOKUP(B156,Recruiter!A:A,Recruiter!B:B))</f>
        <v>Narthana</v>
      </c>
      <c r="D156" s="24" t="str">
        <f>IF(ISBLANK(A156),"",_xlfn.XLOOKUP(A156,'Requirement Overview'!C:C,'Requirement Overview'!E:E))</f>
        <v>Talme</v>
      </c>
      <c r="E156" s="24" t="str">
        <f>IF(ISBLANK(A156),"",_xlfn.XLOOKUP(A156,'Requirement Overview'!C:C,'Requirement Overview'!H:H))</f>
        <v>IT</v>
      </c>
      <c r="F156" s="24" t="str">
        <f>IF(ISBLANK(A156),"",_xlfn.XLOOKUP(A156,'Requirement Overview'!C:C,'Requirement Overview'!I:I))</f>
        <v>Windows system adminstrator</v>
      </c>
      <c r="G156" s="58" t="str">
        <f>IF(ISBLANK(A156),"",_xlfn.XLOOKUP(A156,'Requirement Overview'!C:C,'Requirement Overview'!G:G))</f>
        <v>EMIDS</v>
      </c>
      <c r="H156" s="185" t="s">
        <v>881</v>
      </c>
      <c r="I156" s="326" t="s">
        <v>882</v>
      </c>
      <c r="J156" s="199" t="s">
        <v>883</v>
      </c>
      <c r="K156" s="33">
        <v>7259763211</v>
      </c>
      <c r="L156" s="326" t="s">
        <v>427</v>
      </c>
      <c r="M156" s="33" t="s">
        <v>390</v>
      </c>
      <c r="N156" s="92" t="s">
        <v>882</v>
      </c>
      <c r="O156" s="24" t="s">
        <v>373</v>
      </c>
      <c r="P156" s="33" t="s">
        <v>268</v>
      </c>
      <c r="Q156" s="33" t="s">
        <v>268</v>
      </c>
      <c r="R156" s="24" t="s">
        <v>439</v>
      </c>
      <c r="S156" s="24" t="s">
        <v>270</v>
      </c>
      <c r="T156" s="24" t="s">
        <v>103</v>
      </c>
      <c r="U156" s="29">
        <v>46042</v>
      </c>
      <c r="V156" s="29">
        <v>46042</v>
      </c>
    </row>
    <row r="157" spans="1:33" ht="14.45">
      <c r="A157" s="24" t="s">
        <v>35</v>
      </c>
      <c r="B157" s="24" t="s">
        <v>520</v>
      </c>
      <c r="C157" s="24" t="str">
        <f>IF(ISBLANK(B157),"",_xlfn.XLOOKUP(B157,Recruiter!A:A,Recruiter!B:B))</f>
        <v>Narthana</v>
      </c>
      <c r="D157" s="24" t="str">
        <f>IF(ISBLANK(A157),"",_xlfn.XLOOKUP(A157,'Requirement Overview'!C:C,'Requirement Overview'!E:E))</f>
        <v>Talme</v>
      </c>
      <c r="E157" s="24" t="str">
        <f>IF(ISBLANK(A157),"",_xlfn.XLOOKUP(A157,'Requirement Overview'!C:C,'Requirement Overview'!H:H))</f>
        <v>IT</v>
      </c>
      <c r="F157" s="24" t="str">
        <f>IF(ISBLANK(A157),"",_xlfn.XLOOKUP(A157,'Requirement Overview'!C:C,'Requirement Overview'!I:I))</f>
        <v>Windows system adminstrator</v>
      </c>
      <c r="G157" s="58" t="str">
        <f>IF(ISBLANK(A157),"",_xlfn.XLOOKUP(A157,'Requirement Overview'!C:C,'Requirement Overview'!G:G))</f>
        <v>EMIDS</v>
      </c>
      <c r="H157" s="185" t="s">
        <v>884</v>
      </c>
      <c r="I157" s="326" t="s">
        <v>653</v>
      </c>
      <c r="J157" s="199" t="s">
        <v>885</v>
      </c>
      <c r="K157" s="33">
        <v>9886193239</v>
      </c>
      <c r="L157" s="326" t="s">
        <v>311</v>
      </c>
      <c r="M157" s="33" t="s">
        <v>558</v>
      </c>
      <c r="N157" s="92" t="s">
        <v>653</v>
      </c>
      <c r="O157" s="33" t="s">
        <v>886</v>
      </c>
      <c r="P157" s="33" t="s">
        <v>268</v>
      </c>
      <c r="Q157" s="33" t="s">
        <v>268</v>
      </c>
      <c r="R157" s="33" t="s">
        <v>407</v>
      </c>
      <c r="S157" s="24" t="s">
        <v>270</v>
      </c>
      <c r="T157" s="24" t="s">
        <v>103</v>
      </c>
      <c r="U157" s="29">
        <v>46042</v>
      </c>
      <c r="V157" s="29">
        <v>46042</v>
      </c>
    </row>
    <row r="158" spans="1:33" ht="14.45">
      <c r="A158" s="24" t="s">
        <v>35</v>
      </c>
      <c r="B158" s="24" t="s">
        <v>520</v>
      </c>
      <c r="C158" s="24" t="str">
        <f>IF(ISBLANK(B158),"",_xlfn.XLOOKUP(B158,Recruiter!A:A,Recruiter!B:B))</f>
        <v>Narthana</v>
      </c>
      <c r="D158" s="24" t="str">
        <f>IF(ISBLANK(A158),"",_xlfn.XLOOKUP(A158,'Requirement Overview'!C:C,'Requirement Overview'!E:E))</f>
        <v>Talme</v>
      </c>
      <c r="E158" s="24" t="str">
        <f>IF(ISBLANK(A158),"",_xlfn.XLOOKUP(A158,'Requirement Overview'!C:C,'Requirement Overview'!H:H))</f>
        <v>IT</v>
      </c>
      <c r="F158" s="24" t="str">
        <f>IF(ISBLANK(A158),"",_xlfn.XLOOKUP(A158,'Requirement Overview'!C:C,'Requirement Overview'!I:I))</f>
        <v>Windows system adminstrator</v>
      </c>
      <c r="G158" s="58" t="str">
        <f>IF(ISBLANK(A158),"",_xlfn.XLOOKUP(A158,'Requirement Overview'!C:C,'Requirement Overview'!G:G))</f>
        <v>EMIDS</v>
      </c>
      <c r="H158" s="185" t="s">
        <v>887</v>
      </c>
      <c r="I158" s="326" t="s">
        <v>415</v>
      </c>
      <c r="J158" s="329" t="s">
        <v>888</v>
      </c>
      <c r="K158" s="33">
        <v>7979875167</v>
      </c>
      <c r="L158" s="326" t="s">
        <v>305</v>
      </c>
      <c r="M158" s="33" t="s">
        <v>889</v>
      </c>
      <c r="N158" s="92" t="s">
        <v>415</v>
      </c>
      <c r="O158" s="33" t="s">
        <v>890</v>
      </c>
      <c r="P158" s="33" t="s">
        <v>268</v>
      </c>
      <c r="Q158" s="33" t="s">
        <v>268</v>
      </c>
      <c r="R158" s="33" t="s">
        <v>439</v>
      </c>
      <c r="S158" s="24" t="s">
        <v>270</v>
      </c>
      <c r="T158" s="24" t="s">
        <v>103</v>
      </c>
      <c r="U158" s="29">
        <v>46042</v>
      </c>
      <c r="V158" s="29">
        <v>46042</v>
      </c>
    </row>
    <row r="159" spans="1:33" ht="14.45">
      <c r="A159" s="24" t="s">
        <v>70</v>
      </c>
      <c r="B159" s="24" t="s">
        <v>236</v>
      </c>
      <c r="C159" s="24" t="str">
        <f>IF(ISBLANK(B159),"",_xlfn.XLOOKUP(B159,Recruiter!A:A,Recruiter!B:B))</f>
        <v>Pooja</v>
      </c>
      <c r="D159" s="24" t="str">
        <f>IF(ISBLANK(A159),"",_xlfn.XLOOKUP(A159,'Requirement Overview'!C:C,'Requirement Overview'!E:E))</f>
        <v>Talme</v>
      </c>
      <c r="E159" s="24" t="str">
        <f>IF(ISBLANK(A159),"",_xlfn.XLOOKUP(A159,'Requirement Overview'!C:C,'Requirement Overview'!H:H))</f>
        <v>Non - IT</v>
      </c>
      <c r="F159" s="24" t="str">
        <f>IF(ISBLANK(A159),"",_xlfn.XLOOKUP(A159,'Requirement Overview'!C:C,'Requirement Overview'!I:I))</f>
        <v>Key Accounts Manager</v>
      </c>
      <c r="G159" s="58" t="str">
        <f>IF(ISBLANK(A159),"",_xlfn.XLOOKUP(A159,'Requirement Overview'!C:C,'Requirement Overview'!G:G))</f>
        <v>Avinashi Ads</v>
      </c>
      <c r="H159" s="185" t="s">
        <v>891</v>
      </c>
      <c r="I159" s="153" t="s">
        <v>892</v>
      </c>
      <c r="J159" s="59" t="s">
        <v>893</v>
      </c>
      <c r="K159" s="21">
        <v>8884791618</v>
      </c>
      <c r="L159" s="46" t="s">
        <v>894</v>
      </c>
      <c r="M159" s="24" t="s">
        <v>636</v>
      </c>
      <c r="N159" s="91" t="s">
        <v>895</v>
      </c>
      <c r="O159" s="24" t="s">
        <v>540</v>
      </c>
      <c r="P159" s="21" t="s">
        <v>268</v>
      </c>
      <c r="Q159" s="24" t="s">
        <v>837</v>
      </c>
      <c r="R159" s="24" t="s">
        <v>896</v>
      </c>
      <c r="S159" s="24" t="s">
        <v>470</v>
      </c>
      <c r="T159" s="24" t="s">
        <v>103</v>
      </c>
      <c r="U159" s="29">
        <v>46042</v>
      </c>
      <c r="V159" s="29">
        <v>46042</v>
      </c>
    </row>
    <row r="160" spans="1:33" ht="14.45">
      <c r="A160" s="24" t="s">
        <v>64</v>
      </c>
      <c r="B160" s="24" t="s">
        <v>236</v>
      </c>
      <c r="C160" s="24" t="str">
        <f>IF(ISBLANK(B160),"",_xlfn.XLOOKUP(B160,Recruiter!A:A,Recruiter!B:B))</f>
        <v>Pooja</v>
      </c>
      <c r="D160" s="24" t="str">
        <f>IF(ISBLANK(A160),"",_xlfn.XLOOKUP(A160,'Requirement Overview'!C:C,'Requirement Overview'!E:E))</f>
        <v>Talme</v>
      </c>
      <c r="E160" s="24" t="str">
        <f>IF(ISBLANK(A160),"",_xlfn.XLOOKUP(A160,'Requirement Overview'!C:C,'Requirement Overview'!H:H))</f>
        <v>Non - IT</v>
      </c>
      <c r="F160" s="24" t="str">
        <f>IF(ISBLANK(A160),"",_xlfn.XLOOKUP(A160,'Requirement Overview'!C:C,'Requirement Overview'!I:I))</f>
        <v>Sales Head</v>
      </c>
      <c r="G160" s="58" t="str">
        <f>IF(ISBLANK(A160),"",_xlfn.XLOOKUP(A160,'Requirement Overview'!C:C,'Requirement Overview'!G:G))</f>
        <v>Avinashi Ads</v>
      </c>
      <c r="H160" s="185" t="s">
        <v>897</v>
      </c>
      <c r="I160" s="153" t="s">
        <v>625</v>
      </c>
      <c r="J160" s="59" t="s">
        <v>898</v>
      </c>
      <c r="K160" s="21">
        <v>9980528662</v>
      </c>
      <c r="L160" s="46" t="s">
        <v>641</v>
      </c>
      <c r="M160" s="24" t="s">
        <v>899</v>
      </c>
      <c r="N160" s="91" t="s">
        <v>900</v>
      </c>
      <c r="O160" s="24" t="s">
        <v>423</v>
      </c>
      <c r="P160" s="24" t="s">
        <v>837</v>
      </c>
      <c r="Q160" s="24" t="s">
        <v>837</v>
      </c>
      <c r="R160" s="24" t="s">
        <v>822</v>
      </c>
      <c r="S160" s="24" t="s">
        <v>470</v>
      </c>
      <c r="T160" s="24" t="s">
        <v>103</v>
      </c>
      <c r="U160" s="29">
        <v>46042</v>
      </c>
      <c r="V160" s="29">
        <v>46042</v>
      </c>
    </row>
    <row r="161" spans="1:36" ht="14.45">
      <c r="A161" s="24" t="s">
        <v>64</v>
      </c>
      <c r="B161" s="24" t="s">
        <v>236</v>
      </c>
      <c r="C161" s="24" t="str">
        <f>IF(ISBLANK(B161),"",_xlfn.XLOOKUP(B161,Recruiter!A:A,Recruiter!B:B))</f>
        <v>Pooja</v>
      </c>
      <c r="D161" s="24" t="str">
        <f>IF(ISBLANK(A161),"",_xlfn.XLOOKUP(A161,'Requirement Overview'!C:C,'Requirement Overview'!E:E))</f>
        <v>Talme</v>
      </c>
      <c r="E161" s="24" t="str">
        <f>IF(ISBLANK(A161),"",_xlfn.XLOOKUP(A161,'Requirement Overview'!C:C,'Requirement Overview'!H:H))</f>
        <v>Non - IT</v>
      </c>
      <c r="F161" s="24" t="str">
        <f>IF(ISBLANK(A161),"",_xlfn.XLOOKUP(A161,'Requirement Overview'!C:C,'Requirement Overview'!I:I))</f>
        <v>Sales Head</v>
      </c>
      <c r="G161" s="58" t="str">
        <f>IF(ISBLANK(A161),"",_xlfn.XLOOKUP(A161,'Requirement Overview'!C:C,'Requirement Overview'!G:G))</f>
        <v>Avinashi Ads</v>
      </c>
      <c r="H161" s="185" t="s">
        <v>275</v>
      </c>
      <c r="I161" s="155" t="s">
        <v>519</v>
      </c>
      <c r="J161" s="59" t="s">
        <v>901</v>
      </c>
      <c r="K161" s="21">
        <v>7975462958</v>
      </c>
      <c r="L161" s="46" t="s">
        <v>641</v>
      </c>
      <c r="M161" s="24" t="s">
        <v>696</v>
      </c>
      <c r="N161" s="91" t="s">
        <v>902</v>
      </c>
      <c r="O161" s="24" t="s">
        <v>903</v>
      </c>
      <c r="P161" s="21" t="s">
        <v>268</v>
      </c>
      <c r="Q161" s="24" t="s">
        <v>904</v>
      </c>
      <c r="R161" s="24" t="s">
        <v>905</v>
      </c>
      <c r="S161" s="24" t="s">
        <v>470</v>
      </c>
      <c r="T161" s="24" t="s">
        <v>103</v>
      </c>
      <c r="U161" s="29">
        <v>46042</v>
      </c>
      <c r="V161" s="29">
        <v>46042</v>
      </c>
    </row>
    <row r="162" spans="1:36" ht="14.45">
      <c r="A162" s="24" t="s">
        <v>64</v>
      </c>
      <c r="B162" s="24" t="s">
        <v>236</v>
      </c>
      <c r="C162" s="24" t="str">
        <f>IF(ISBLANK(B162),"",_xlfn.XLOOKUP(B162,Recruiter!A:A,Recruiter!B:B))</f>
        <v>Pooja</v>
      </c>
      <c r="D162" s="24" t="str">
        <f>IF(ISBLANK(A162),"",_xlfn.XLOOKUP(A162,'Requirement Overview'!C:C,'Requirement Overview'!E:E))</f>
        <v>Talme</v>
      </c>
      <c r="E162" s="24" t="str">
        <f>IF(ISBLANK(A162),"",_xlfn.XLOOKUP(A162,'Requirement Overview'!C:C,'Requirement Overview'!H:H))</f>
        <v>Non - IT</v>
      </c>
      <c r="F162" s="24" t="str">
        <f>IF(ISBLANK(A162),"",_xlfn.XLOOKUP(A162,'Requirement Overview'!C:C,'Requirement Overview'!I:I))</f>
        <v>Sales Head</v>
      </c>
      <c r="G162" s="58" t="str">
        <f>IF(ISBLANK(A162),"",_xlfn.XLOOKUP(A162,'Requirement Overview'!C:C,'Requirement Overview'!G:G))</f>
        <v>Avinashi Ads</v>
      </c>
      <c r="H162" s="185" t="s">
        <v>906</v>
      </c>
      <c r="I162" s="153" t="s">
        <v>497</v>
      </c>
      <c r="J162" s="59" t="s">
        <v>907</v>
      </c>
      <c r="K162" s="21">
        <v>9882332552</v>
      </c>
      <c r="L162" s="46" t="s">
        <v>695</v>
      </c>
      <c r="M162" s="24" t="s">
        <v>708</v>
      </c>
      <c r="N162" s="91" t="s">
        <v>908</v>
      </c>
      <c r="O162" s="24" t="s">
        <v>382</v>
      </c>
      <c r="P162" s="21" t="s">
        <v>268</v>
      </c>
      <c r="Q162" s="21" t="s">
        <v>268</v>
      </c>
      <c r="R162" s="24" t="s">
        <v>909</v>
      </c>
      <c r="S162" s="24" t="s">
        <v>470</v>
      </c>
      <c r="T162" s="24" t="s">
        <v>103</v>
      </c>
      <c r="U162" s="29">
        <v>46042</v>
      </c>
      <c r="V162" s="29">
        <v>46042</v>
      </c>
    </row>
    <row r="163" spans="1:36" ht="14.45">
      <c r="A163" s="24" t="s">
        <v>64</v>
      </c>
      <c r="B163" s="24" t="s">
        <v>236</v>
      </c>
      <c r="C163" s="24" t="str">
        <f>IF(ISBLANK(B163),"",_xlfn.XLOOKUP(B163,Recruiter!A:A,Recruiter!B:B))</f>
        <v>Pooja</v>
      </c>
      <c r="D163" s="24" t="str">
        <f>IF(ISBLANK(A163),"",_xlfn.XLOOKUP(A163,'Requirement Overview'!C:C,'Requirement Overview'!E:E))</f>
        <v>Talme</v>
      </c>
      <c r="E163" s="24" t="str">
        <f>IF(ISBLANK(A163),"",_xlfn.XLOOKUP(A163,'Requirement Overview'!C:C,'Requirement Overview'!H:H))</f>
        <v>Non - IT</v>
      </c>
      <c r="F163" s="24" t="str">
        <f>IF(ISBLANK(A163),"",_xlfn.XLOOKUP(A163,'Requirement Overview'!C:C,'Requirement Overview'!I:I))</f>
        <v>Sales Head</v>
      </c>
      <c r="G163" s="58" t="str">
        <f>IF(ISBLANK(A163),"",_xlfn.XLOOKUP(A163,'Requirement Overview'!C:C,'Requirement Overview'!G:G))</f>
        <v>Avinashi Ads</v>
      </c>
      <c r="H163" s="185" t="s">
        <v>910</v>
      </c>
      <c r="I163" s="153" t="s">
        <v>911</v>
      </c>
      <c r="J163" s="59" t="s">
        <v>912</v>
      </c>
      <c r="K163" s="21">
        <v>9206229290</v>
      </c>
      <c r="L163" s="46" t="s">
        <v>707</v>
      </c>
      <c r="M163" s="24" t="s">
        <v>899</v>
      </c>
      <c r="N163" s="91" t="s">
        <v>913</v>
      </c>
      <c r="O163" s="24" t="s">
        <v>424</v>
      </c>
      <c r="P163" s="24" t="s">
        <v>268</v>
      </c>
      <c r="Q163" s="24" t="s">
        <v>837</v>
      </c>
      <c r="R163" s="24" t="s">
        <v>914</v>
      </c>
      <c r="S163" s="24" t="s">
        <v>470</v>
      </c>
      <c r="T163" s="24" t="s">
        <v>103</v>
      </c>
      <c r="U163" s="29">
        <v>46042</v>
      </c>
      <c r="V163" s="29">
        <v>46042</v>
      </c>
    </row>
    <row r="164" spans="1:36" ht="14.45">
      <c r="A164" s="24" t="s">
        <v>64</v>
      </c>
      <c r="B164" s="24" t="s">
        <v>236</v>
      </c>
      <c r="C164" s="24" t="str">
        <f>IF(ISBLANK(B164),"",_xlfn.XLOOKUP(B164,Recruiter!A:A,Recruiter!B:B))</f>
        <v>Pooja</v>
      </c>
      <c r="D164" s="24" t="str">
        <f>IF(ISBLANK(A164),"",_xlfn.XLOOKUP(A164,'Requirement Overview'!C:C,'Requirement Overview'!E:E))</f>
        <v>Talme</v>
      </c>
      <c r="E164" s="24" t="str">
        <f>IF(ISBLANK(A164),"",_xlfn.XLOOKUP(A164,'Requirement Overview'!C:C,'Requirement Overview'!H:H))</f>
        <v>Non - IT</v>
      </c>
      <c r="F164" s="24" t="str">
        <f>IF(ISBLANK(A164),"",_xlfn.XLOOKUP(A164,'Requirement Overview'!C:C,'Requirement Overview'!I:I))</f>
        <v>Sales Head</v>
      </c>
      <c r="G164" s="58" t="str">
        <f>IF(ISBLANK(A164),"",_xlfn.XLOOKUP(A164,'Requirement Overview'!C:C,'Requirement Overview'!G:G))</f>
        <v>Avinashi Ads</v>
      </c>
      <c r="H164" s="185" t="s">
        <v>915</v>
      </c>
      <c r="I164" s="153" t="s">
        <v>892</v>
      </c>
      <c r="J164" s="195" t="s">
        <v>916</v>
      </c>
      <c r="K164" s="21">
        <v>6360273878</v>
      </c>
      <c r="L164" s="46" t="s">
        <v>641</v>
      </c>
      <c r="M164" s="24" t="s">
        <v>917</v>
      </c>
      <c r="N164" s="91" t="s">
        <v>918</v>
      </c>
      <c r="O164" s="24" t="s">
        <v>836</v>
      </c>
      <c r="P164" s="21" t="s">
        <v>268</v>
      </c>
      <c r="Q164" s="24" t="s">
        <v>268</v>
      </c>
      <c r="R164" s="24" t="s">
        <v>843</v>
      </c>
      <c r="S164" s="24" t="s">
        <v>470</v>
      </c>
      <c r="T164" s="24" t="s">
        <v>103</v>
      </c>
      <c r="U164" s="29">
        <v>46042</v>
      </c>
      <c r="V164" s="29">
        <v>46042</v>
      </c>
    </row>
    <row r="165" spans="1:36" ht="14.45">
      <c r="A165" s="24" t="s">
        <v>93</v>
      </c>
      <c r="B165" s="24" t="s">
        <v>236</v>
      </c>
      <c r="C165" s="24" t="str">
        <f>IF(ISBLANK(B165),"",_xlfn.XLOOKUP(B165,Recruiter!A:A,Recruiter!B:B))</f>
        <v>Pooja</v>
      </c>
      <c r="D165" s="24" t="str">
        <f>IF(ISBLANK(A165),"",_xlfn.XLOOKUP(A165,'Requirement Overview'!C:C,'Requirement Overview'!E:E))</f>
        <v>Talme</v>
      </c>
      <c r="E165" s="24" t="str">
        <f>IF(ISBLANK(A165),"",_xlfn.XLOOKUP(A165,'Requirement Overview'!C:C,'Requirement Overview'!H:H))</f>
        <v>IT</v>
      </c>
      <c r="F165" s="24" t="str">
        <f>IF(ISBLANK(A165),"",_xlfn.XLOOKUP(A165,'Requirement Overview'!C:C,'Requirement Overview'!I:I))</f>
        <v>Angular JS developer</v>
      </c>
      <c r="G165" s="58" t="str">
        <f>IF(ISBLANK(A165),"",_xlfn.XLOOKUP(A165,'Requirement Overview'!C:C,'Requirement Overview'!G:G))</f>
        <v>EMIDS</v>
      </c>
      <c r="H165" s="185" t="s">
        <v>919</v>
      </c>
      <c r="I165" s="162" t="s">
        <v>920</v>
      </c>
      <c r="J165" s="59" t="s">
        <v>921</v>
      </c>
      <c r="K165" s="35">
        <v>9504610122</v>
      </c>
      <c r="L165" s="228" t="s">
        <v>922</v>
      </c>
      <c r="M165" s="23" t="s">
        <v>923</v>
      </c>
      <c r="N165" s="91" t="s">
        <v>924</v>
      </c>
      <c r="O165" s="23" t="s">
        <v>239</v>
      </c>
      <c r="P165" s="23" t="s">
        <v>806</v>
      </c>
      <c r="Q165" s="23" t="s">
        <v>806</v>
      </c>
      <c r="R165" s="23" t="s">
        <v>239</v>
      </c>
      <c r="S165" s="24" t="s">
        <v>270</v>
      </c>
      <c r="T165" s="24" t="s">
        <v>103</v>
      </c>
      <c r="U165" s="29">
        <v>46042</v>
      </c>
      <c r="V165" s="29">
        <v>46042</v>
      </c>
    </row>
    <row r="166" spans="1:36" ht="14.45">
      <c r="A166" s="24" t="s">
        <v>93</v>
      </c>
      <c r="B166" s="24" t="s">
        <v>236</v>
      </c>
      <c r="C166" s="24" t="str">
        <f>IF(ISBLANK(B166),"",_xlfn.XLOOKUP(B166,Recruiter!A:A,Recruiter!B:B))</f>
        <v>Pooja</v>
      </c>
      <c r="D166" s="24" t="str">
        <f>IF(ISBLANK(A166),"",_xlfn.XLOOKUP(A166,'Requirement Overview'!C:C,'Requirement Overview'!E:E))</f>
        <v>Talme</v>
      </c>
      <c r="E166" s="24" t="str">
        <f>IF(ISBLANK(A166),"",_xlfn.XLOOKUP(A166,'Requirement Overview'!C:C,'Requirement Overview'!H:H))</f>
        <v>IT</v>
      </c>
      <c r="F166" s="24" t="str">
        <f>IF(ISBLANK(A166),"",_xlfn.XLOOKUP(A166,'Requirement Overview'!C:C,'Requirement Overview'!I:I))</f>
        <v>Angular JS developer</v>
      </c>
      <c r="G166" s="58" t="str">
        <f>IF(ISBLANK(A166),"",_xlfn.XLOOKUP(A166,'Requirement Overview'!C:C,'Requirement Overview'!G:G))</f>
        <v>EMIDS</v>
      </c>
      <c r="H166" s="185" t="s">
        <v>925</v>
      </c>
      <c r="I166" s="163" t="s">
        <v>926</v>
      </c>
      <c r="J166" s="59" t="s">
        <v>927</v>
      </c>
      <c r="K166" s="35">
        <v>7549385391</v>
      </c>
      <c r="L166" s="228" t="s">
        <v>818</v>
      </c>
      <c r="M166" s="23" t="s">
        <v>928</v>
      </c>
      <c r="N166" s="91" t="s">
        <v>929</v>
      </c>
      <c r="O166" s="23" t="s">
        <v>239</v>
      </c>
      <c r="P166" s="23" t="s">
        <v>806</v>
      </c>
      <c r="Q166" s="23" t="s">
        <v>806</v>
      </c>
      <c r="R166" s="23" t="s">
        <v>239</v>
      </c>
      <c r="S166" s="24" t="s">
        <v>270</v>
      </c>
      <c r="T166" s="24" t="s">
        <v>103</v>
      </c>
      <c r="U166" s="29">
        <v>46042</v>
      </c>
      <c r="V166" s="29">
        <v>46042</v>
      </c>
    </row>
    <row r="167" spans="1:36" ht="14.45">
      <c r="A167" s="24" t="s">
        <v>93</v>
      </c>
      <c r="B167" s="24" t="s">
        <v>236</v>
      </c>
      <c r="C167" s="24" t="str">
        <f>IF(ISBLANK(B167),"",_xlfn.XLOOKUP(B167,Recruiter!A:A,Recruiter!B:B))</f>
        <v>Pooja</v>
      </c>
      <c r="D167" s="24" t="str">
        <f>IF(ISBLANK(A167),"",_xlfn.XLOOKUP(A167,'Requirement Overview'!C:C,'Requirement Overview'!E:E))</f>
        <v>Talme</v>
      </c>
      <c r="E167" s="24" t="str">
        <f>IF(ISBLANK(A167),"",_xlfn.XLOOKUP(A167,'Requirement Overview'!C:C,'Requirement Overview'!H:H))</f>
        <v>IT</v>
      </c>
      <c r="F167" s="24" t="str">
        <f>IF(ISBLANK(A167),"",_xlfn.XLOOKUP(A167,'Requirement Overview'!C:C,'Requirement Overview'!I:I))</f>
        <v>Angular JS developer</v>
      </c>
      <c r="G167" s="58" t="str">
        <f>IF(ISBLANK(A167),"",_xlfn.XLOOKUP(A167,'Requirement Overview'!C:C,'Requirement Overview'!G:G))</f>
        <v>EMIDS</v>
      </c>
      <c r="H167" s="185" t="s">
        <v>930</v>
      </c>
      <c r="I167" s="162" t="s">
        <v>920</v>
      </c>
      <c r="J167" s="198" t="s">
        <v>931</v>
      </c>
      <c r="K167" s="35">
        <v>6387660681</v>
      </c>
      <c r="L167" s="228" t="s">
        <v>932</v>
      </c>
      <c r="M167" s="23" t="s">
        <v>923</v>
      </c>
      <c r="N167" s="91" t="s">
        <v>933</v>
      </c>
      <c r="O167" s="23" t="s">
        <v>239</v>
      </c>
      <c r="P167" s="23" t="s">
        <v>806</v>
      </c>
      <c r="Q167" s="23" t="s">
        <v>806</v>
      </c>
      <c r="R167" s="23" t="s">
        <v>239</v>
      </c>
      <c r="S167" s="24" t="s">
        <v>270</v>
      </c>
      <c r="T167" s="24" t="s">
        <v>103</v>
      </c>
      <c r="U167" s="29">
        <v>46042</v>
      </c>
      <c r="V167" s="29">
        <v>46042</v>
      </c>
    </row>
    <row r="168" spans="1:36" ht="14.45">
      <c r="A168" s="24" t="s">
        <v>93</v>
      </c>
      <c r="B168" s="24" t="s">
        <v>236</v>
      </c>
      <c r="C168" s="24" t="str">
        <f>IF(ISBLANK(B168),"",_xlfn.XLOOKUP(B168,Recruiter!A:A,Recruiter!B:B))</f>
        <v>Pooja</v>
      </c>
      <c r="D168" s="24" t="str">
        <f>IF(ISBLANK(A168),"",_xlfn.XLOOKUP(A168,'Requirement Overview'!C:C,'Requirement Overview'!E:E))</f>
        <v>Talme</v>
      </c>
      <c r="E168" s="24" t="str">
        <f>IF(ISBLANK(A168),"",_xlfn.XLOOKUP(A168,'Requirement Overview'!C:C,'Requirement Overview'!H:H))</f>
        <v>IT</v>
      </c>
      <c r="F168" s="24" t="str">
        <f>IF(ISBLANK(A168),"",_xlfn.XLOOKUP(A168,'Requirement Overview'!C:C,'Requirement Overview'!I:I))</f>
        <v>Angular JS developer</v>
      </c>
      <c r="G168" s="58" t="str">
        <f>IF(ISBLANK(A168),"",_xlfn.XLOOKUP(A168,'Requirement Overview'!C:C,'Requirement Overview'!G:G))</f>
        <v>EMIDS</v>
      </c>
      <c r="H168" s="185" t="s">
        <v>934</v>
      </c>
      <c r="I168" s="162" t="s">
        <v>935</v>
      </c>
      <c r="J168" s="59" t="s">
        <v>936</v>
      </c>
      <c r="K168" s="35">
        <v>9080918326</v>
      </c>
      <c r="L168" s="228" t="s">
        <v>695</v>
      </c>
      <c r="M168" s="23" t="s">
        <v>937</v>
      </c>
      <c r="N168" s="91" t="s">
        <v>938</v>
      </c>
      <c r="O168" s="23" t="s">
        <v>239</v>
      </c>
      <c r="P168" s="23" t="s">
        <v>268</v>
      </c>
      <c r="Q168" s="23" t="s">
        <v>268</v>
      </c>
      <c r="R168" s="23">
        <v>100000</v>
      </c>
      <c r="S168" s="24" t="s">
        <v>270</v>
      </c>
      <c r="T168" s="24" t="s">
        <v>103</v>
      </c>
      <c r="U168" s="29">
        <v>46042</v>
      </c>
      <c r="V168" s="29">
        <v>46042</v>
      </c>
    </row>
    <row r="169" spans="1:36" ht="14.45">
      <c r="A169" s="24" t="s">
        <v>93</v>
      </c>
      <c r="B169" s="24" t="s">
        <v>340</v>
      </c>
      <c r="C169" s="24" t="str">
        <f>IF(ISBLANK(B169),"",_xlfn.XLOOKUP(B169,Recruiter!A:A,Recruiter!B:B))</f>
        <v>Harshitha</v>
      </c>
      <c r="D169" s="24" t="str">
        <f>IF(ISBLANK(A169),"",_xlfn.XLOOKUP(A169,'Requirement Overview'!C:C,'Requirement Overview'!E:E))</f>
        <v>Talme</v>
      </c>
      <c r="E169" s="24" t="str">
        <f>IF(ISBLANK(A169),"",_xlfn.XLOOKUP(A169,'Requirement Overview'!C:C,'Requirement Overview'!H:H))</f>
        <v>IT</v>
      </c>
      <c r="F169" s="24" t="str">
        <f>IF(ISBLANK(A169),"",_xlfn.XLOOKUP(A169,'Requirement Overview'!C:C,'Requirement Overview'!I:I))</f>
        <v>Angular JS developer</v>
      </c>
      <c r="G169" s="58" t="str">
        <f>IF(ISBLANK(A169),"",_xlfn.XLOOKUP(A169,'Requirement Overview'!C:C,'Requirement Overview'!G:G))</f>
        <v>EMIDS</v>
      </c>
      <c r="H169" s="185" t="s">
        <v>939</v>
      </c>
      <c r="I169" s="156" t="s">
        <v>940</v>
      </c>
      <c r="J169" s="59" t="s">
        <v>941</v>
      </c>
      <c r="K169" s="24">
        <v>9993734909</v>
      </c>
      <c r="L169" s="156" t="s">
        <v>378</v>
      </c>
      <c r="M169" s="21" t="s">
        <v>942</v>
      </c>
      <c r="N169" s="91" t="s">
        <v>943</v>
      </c>
      <c r="P169" s="21" t="s">
        <v>879</v>
      </c>
      <c r="Q169" s="21" t="s">
        <v>879</v>
      </c>
      <c r="S169" s="24" t="s">
        <v>360</v>
      </c>
      <c r="T169" s="24" t="s">
        <v>103</v>
      </c>
      <c r="U169" s="29">
        <v>46042</v>
      </c>
      <c r="V169" s="29">
        <v>46042</v>
      </c>
      <c r="X169" s="29">
        <v>46045</v>
      </c>
      <c r="Y169" s="24" t="s">
        <v>362</v>
      </c>
    </row>
    <row r="170" spans="1:36" ht="14.45">
      <c r="A170" s="24" t="s">
        <v>93</v>
      </c>
      <c r="B170" s="24" t="s">
        <v>340</v>
      </c>
      <c r="C170" s="24" t="str">
        <f>IF(ISBLANK(B170),"",_xlfn.XLOOKUP(B170,Recruiter!A:A,Recruiter!B:B))</f>
        <v>Harshitha</v>
      </c>
      <c r="D170" s="24" t="str">
        <f>IF(ISBLANK(A170),"",_xlfn.XLOOKUP(A170,'Requirement Overview'!C:C,'Requirement Overview'!E:E))</f>
        <v>Talme</v>
      </c>
      <c r="E170" s="24" t="str">
        <f>IF(ISBLANK(A170),"",_xlfn.XLOOKUP(A170,'Requirement Overview'!C:C,'Requirement Overview'!H:H))</f>
        <v>IT</v>
      </c>
      <c r="F170" s="24" t="str">
        <f>IF(ISBLANK(A170),"",_xlfn.XLOOKUP(A170,'Requirement Overview'!C:C,'Requirement Overview'!I:I))</f>
        <v>Angular JS developer</v>
      </c>
      <c r="G170" s="58" t="str">
        <f>IF(ISBLANK(A170),"",_xlfn.XLOOKUP(A170,'Requirement Overview'!C:C,'Requirement Overview'!G:G))</f>
        <v>EMIDS</v>
      </c>
      <c r="H170" s="185" t="s">
        <v>944</v>
      </c>
      <c r="I170" s="156" t="s">
        <v>945</v>
      </c>
      <c r="J170" s="59" t="s">
        <v>946</v>
      </c>
      <c r="K170" s="24">
        <v>9653088436</v>
      </c>
      <c r="L170" s="156" t="s">
        <v>305</v>
      </c>
      <c r="M170" s="21" t="s">
        <v>947</v>
      </c>
      <c r="N170" s="91" t="s">
        <v>948</v>
      </c>
      <c r="P170" s="21" t="s">
        <v>806</v>
      </c>
      <c r="Q170" s="21" t="s">
        <v>806</v>
      </c>
      <c r="S170" s="24" t="s">
        <v>949</v>
      </c>
      <c r="T170" s="24" t="s">
        <v>103</v>
      </c>
      <c r="U170" s="29">
        <v>46042</v>
      </c>
      <c r="V170" s="29">
        <v>46042</v>
      </c>
      <c r="X170" s="29">
        <v>46045</v>
      </c>
      <c r="Y170" s="24" t="s">
        <v>784</v>
      </c>
      <c r="AB170" s="29">
        <v>46055</v>
      </c>
      <c r="AC170" s="24" t="s">
        <v>784</v>
      </c>
      <c r="AF170" s="29">
        <v>46057</v>
      </c>
      <c r="AG170" s="24" t="s">
        <v>784</v>
      </c>
      <c r="AJ170" s="29">
        <v>46059</v>
      </c>
    </row>
    <row r="171" spans="1:36" ht="14.45">
      <c r="A171" s="24" t="s">
        <v>93</v>
      </c>
      <c r="B171" s="24" t="s">
        <v>340</v>
      </c>
      <c r="C171" s="24" t="str">
        <f>IF(ISBLANK(B171),"",_xlfn.XLOOKUP(B171,Recruiter!A:A,Recruiter!B:B))</f>
        <v>Harshitha</v>
      </c>
      <c r="D171" s="24" t="str">
        <f>IF(ISBLANK(A171),"",_xlfn.XLOOKUP(A171,'Requirement Overview'!C:C,'Requirement Overview'!E:E))</f>
        <v>Talme</v>
      </c>
      <c r="E171" s="24" t="str">
        <f>IF(ISBLANK(A171),"",_xlfn.XLOOKUP(A171,'Requirement Overview'!C:C,'Requirement Overview'!H:H))</f>
        <v>IT</v>
      </c>
      <c r="F171" s="24" t="str">
        <f>IF(ISBLANK(A171),"",_xlfn.XLOOKUP(A171,'Requirement Overview'!C:C,'Requirement Overview'!I:I))</f>
        <v>Angular JS developer</v>
      </c>
      <c r="G171" s="58" t="str">
        <f>IF(ISBLANK(A171),"",_xlfn.XLOOKUP(A171,'Requirement Overview'!C:C,'Requirement Overview'!G:G))</f>
        <v>EMIDS</v>
      </c>
      <c r="H171" s="185" t="s">
        <v>950</v>
      </c>
      <c r="I171" s="156" t="s">
        <v>519</v>
      </c>
      <c r="J171" s="59" t="s">
        <v>951</v>
      </c>
      <c r="K171" s="24">
        <v>7075567966</v>
      </c>
      <c r="L171" s="156" t="s">
        <v>305</v>
      </c>
      <c r="M171" s="21" t="s">
        <v>395</v>
      </c>
      <c r="N171" s="91" t="s">
        <v>952</v>
      </c>
      <c r="P171" s="21" t="s">
        <v>879</v>
      </c>
      <c r="Q171" s="21" t="s">
        <v>268</v>
      </c>
      <c r="S171" s="24" t="s">
        <v>270</v>
      </c>
      <c r="T171" s="24" t="s">
        <v>103</v>
      </c>
      <c r="U171" s="29">
        <v>46042</v>
      </c>
      <c r="V171" s="29">
        <v>46042</v>
      </c>
    </row>
    <row r="172" spans="1:36" ht="14.45">
      <c r="A172" s="24" t="s">
        <v>93</v>
      </c>
      <c r="B172" s="24" t="s">
        <v>340</v>
      </c>
      <c r="C172" s="24" t="str">
        <f>IF(ISBLANK(B172),"",_xlfn.XLOOKUP(B172,Recruiter!A:A,Recruiter!B:B))</f>
        <v>Harshitha</v>
      </c>
      <c r="D172" s="24" t="str">
        <f>IF(ISBLANK(A172),"",_xlfn.XLOOKUP(A172,'Requirement Overview'!C:C,'Requirement Overview'!E:E))</f>
        <v>Talme</v>
      </c>
      <c r="E172" s="24" t="str">
        <f>IF(ISBLANK(A172),"",_xlfn.XLOOKUP(A172,'Requirement Overview'!C:C,'Requirement Overview'!H:H))</f>
        <v>IT</v>
      </c>
      <c r="F172" s="24" t="str">
        <f>IF(ISBLANK(A172),"",_xlfn.XLOOKUP(A172,'Requirement Overview'!C:C,'Requirement Overview'!I:I))</f>
        <v>Angular JS developer</v>
      </c>
      <c r="G172" s="58" t="str">
        <f>IF(ISBLANK(A172),"",_xlfn.XLOOKUP(A172,'Requirement Overview'!C:C,'Requirement Overview'!G:G))</f>
        <v>EMIDS</v>
      </c>
      <c r="H172" s="185" t="s">
        <v>953</v>
      </c>
      <c r="I172" s="156" t="s">
        <v>954</v>
      </c>
      <c r="J172" s="59" t="s">
        <v>955</v>
      </c>
      <c r="K172" s="24">
        <v>9902291840</v>
      </c>
      <c r="L172" s="156" t="s">
        <v>305</v>
      </c>
      <c r="M172" s="21" t="s">
        <v>956</v>
      </c>
      <c r="N172" s="91" t="s">
        <v>860</v>
      </c>
      <c r="P172" s="21" t="s">
        <v>268</v>
      </c>
      <c r="Q172" s="21" t="s">
        <v>268</v>
      </c>
      <c r="S172" s="24" t="s">
        <v>270</v>
      </c>
      <c r="T172" s="24" t="s">
        <v>103</v>
      </c>
      <c r="U172" s="29">
        <v>46042</v>
      </c>
      <c r="V172" s="29">
        <v>46042</v>
      </c>
    </row>
    <row r="173" spans="1:36" ht="14.45">
      <c r="A173" s="24" t="s">
        <v>93</v>
      </c>
      <c r="B173" s="24" t="s">
        <v>340</v>
      </c>
      <c r="C173" s="24" t="str">
        <f>IF(ISBLANK(B173),"",_xlfn.XLOOKUP(B173,Recruiter!A:A,Recruiter!B:B))</f>
        <v>Harshitha</v>
      </c>
      <c r="D173" s="24" t="str">
        <f>IF(ISBLANK(A173),"",_xlfn.XLOOKUP(A173,'Requirement Overview'!C:C,'Requirement Overview'!E:E))</f>
        <v>Talme</v>
      </c>
      <c r="E173" s="24" t="str">
        <f>IF(ISBLANK(A173),"",_xlfn.XLOOKUP(A173,'Requirement Overview'!C:C,'Requirement Overview'!H:H))</f>
        <v>IT</v>
      </c>
      <c r="F173" s="24" t="str">
        <f>IF(ISBLANK(A173),"",_xlfn.XLOOKUP(A173,'Requirement Overview'!C:C,'Requirement Overview'!I:I))</f>
        <v>Angular JS developer</v>
      </c>
      <c r="G173" s="58" t="str">
        <f>IF(ISBLANK(A173),"",_xlfn.XLOOKUP(A173,'Requirement Overview'!C:C,'Requirement Overview'!G:G))</f>
        <v>EMIDS</v>
      </c>
      <c r="H173" s="185" t="s">
        <v>957</v>
      </c>
      <c r="I173" s="156" t="s">
        <v>858</v>
      </c>
      <c r="J173" s="59" t="s">
        <v>958</v>
      </c>
      <c r="K173" s="24">
        <v>9100410254</v>
      </c>
      <c r="L173" s="156" t="s">
        <v>404</v>
      </c>
      <c r="M173" s="21" t="s">
        <v>279</v>
      </c>
      <c r="N173" s="91" t="s">
        <v>959</v>
      </c>
      <c r="P173" s="21" t="s">
        <v>268</v>
      </c>
      <c r="Q173" s="21" t="s">
        <v>879</v>
      </c>
      <c r="S173" s="24" t="s">
        <v>360</v>
      </c>
      <c r="T173" s="24" t="s">
        <v>103</v>
      </c>
      <c r="U173" s="29">
        <v>46042</v>
      </c>
      <c r="V173" s="29">
        <v>46042</v>
      </c>
      <c r="X173" s="29">
        <v>46045</v>
      </c>
      <c r="Y173" s="24" t="s">
        <v>362</v>
      </c>
    </row>
    <row r="174" spans="1:36" ht="14.45">
      <c r="A174" s="24" t="s">
        <v>33</v>
      </c>
      <c r="B174" s="24" t="s">
        <v>340</v>
      </c>
      <c r="C174" s="24" t="str">
        <f>IF(ISBLANK(B174),"",_xlfn.XLOOKUP(B174,Recruiter!A:A,Recruiter!B:B))</f>
        <v>Harshitha</v>
      </c>
      <c r="D174" s="24" t="str">
        <f>IF(ISBLANK(A174),"",_xlfn.XLOOKUP(A174,'Requirement Overview'!C:C,'Requirement Overview'!E:E))</f>
        <v>Talme</v>
      </c>
      <c r="E174" s="24" t="str">
        <f>IF(ISBLANK(A174),"",_xlfn.XLOOKUP(A174,'Requirement Overview'!C:C,'Requirement Overview'!H:H))</f>
        <v>IT</v>
      </c>
      <c r="F174" s="24" t="str">
        <f>IF(ISBLANK(A174),"",_xlfn.XLOOKUP(A174,'Requirement Overview'!C:C,'Requirement Overview'!I:I))</f>
        <v>Python Architect</v>
      </c>
      <c r="G174" s="58" t="str">
        <f>IF(ISBLANK(A174),"",_xlfn.XLOOKUP(A174,'Requirement Overview'!C:C,'Requirement Overview'!G:G))</f>
        <v>EMIDS</v>
      </c>
      <c r="H174" s="185" t="s">
        <v>960</v>
      </c>
      <c r="I174" s="164" t="s">
        <v>262</v>
      </c>
      <c r="J174" s="202" t="s">
        <v>961</v>
      </c>
      <c r="K174" s="42">
        <v>9790399236</v>
      </c>
      <c r="L174" s="164" t="s">
        <v>305</v>
      </c>
      <c r="M174" s="24" t="s">
        <v>487</v>
      </c>
      <c r="N174" s="91" t="s">
        <v>962</v>
      </c>
      <c r="O174" s="42" t="s">
        <v>963</v>
      </c>
      <c r="P174" s="21" t="s">
        <v>268</v>
      </c>
      <c r="Q174" s="21" t="s">
        <v>268</v>
      </c>
      <c r="R174" s="24" t="s">
        <v>964</v>
      </c>
      <c r="S174" s="24" t="s">
        <v>783</v>
      </c>
      <c r="T174" s="24" t="s">
        <v>103</v>
      </c>
      <c r="U174" s="29">
        <v>46042</v>
      </c>
      <c r="V174" s="29">
        <v>46042</v>
      </c>
      <c r="X174" s="29">
        <v>46038</v>
      </c>
      <c r="Y174" s="24" t="s">
        <v>784</v>
      </c>
      <c r="AB174" s="24" t="s">
        <v>965</v>
      </c>
      <c r="AC174" s="24" t="s">
        <v>784</v>
      </c>
      <c r="AF174" s="24" t="s">
        <v>791</v>
      </c>
      <c r="AG174" s="24" t="s">
        <v>362</v>
      </c>
    </row>
    <row r="175" spans="1:36" ht="14.45">
      <c r="A175" s="24" t="s">
        <v>64</v>
      </c>
      <c r="B175" s="24" t="s">
        <v>236</v>
      </c>
      <c r="C175" s="24" t="str">
        <f>IF(ISBLANK(B175),"",_xlfn.XLOOKUP(B175,Recruiter!A:A,Recruiter!B:B))</f>
        <v>Pooja</v>
      </c>
      <c r="D175" s="24" t="str">
        <f>IF(ISBLANK(A175),"",_xlfn.XLOOKUP(A175,'Requirement Overview'!C:C,'Requirement Overview'!E:E))</f>
        <v>Talme</v>
      </c>
      <c r="E175" s="24" t="str">
        <f>IF(ISBLANK(A175),"",_xlfn.XLOOKUP(A175,'Requirement Overview'!C:C,'Requirement Overview'!H:H))</f>
        <v>Non - IT</v>
      </c>
      <c r="F175" s="24" t="str">
        <f>IF(ISBLANK(A175),"",_xlfn.XLOOKUP(A175,'Requirement Overview'!C:C,'Requirement Overview'!I:I))</f>
        <v>Sales Head</v>
      </c>
      <c r="G175" s="58" t="str">
        <f>IF(ISBLANK(A175),"",_xlfn.XLOOKUP(A175,'Requirement Overview'!C:C,'Requirement Overview'!G:G))</f>
        <v>Avinashi Ads</v>
      </c>
      <c r="H175" s="185" t="s">
        <v>966</v>
      </c>
      <c r="I175" s="154" t="s">
        <v>750</v>
      </c>
      <c r="J175" s="59" t="s">
        <v>967</v>
      </c>
      <c r="K175" s="21">
        <v>9164176440</v>
      </c>
      <c r="L175" s="46" t="s">
        <v>968</v>
      </c>
      <c r="M175" s="24" t="s">
        <v>969</v>
      </c>
      <c r="N175" s="91" t="s">
        <v>970</v>
      </c>
      <c r="O175" s="24" t="s">
        <v>971</v>
      </c>
      <c r="P175" s="24" t="s">
        <v>904</v>
      </c>
      <c r="Q175" s="24" t="s">
        <v>837</v>
      </c>
      <c r="R175" s="21" t="s">
        <v>517</v>
      </c>
      <c r="S175" s="24" t="s">
        <v>470</v>
      </c>
      <c r="T175" s="24" t="s">
        <v>103</v>
      </c>
      <c r="U175" s="29">
        <v>46042</v>
      </c>
      <c r="V175" s="29">
        <v>46042</v>
      </c>
    </row>
    <row r="176" spans="1:36" ht="14.45">
      <c r="A176" s="24" t="s">
        <v>64</v>
      </c>
      <c r="B176" s="24" t="s">
        <v>236</v>
      </c>
      <c r="C176" s="24" t="str">
        <f>IF(ISBLANK(B176),"",_xlfn.XLOOKUP(B176,Recruiter!A:A,Recruiter!B:B))</f>
        <v>Pooja</v>
      </c>
      <c r="D176" s="24" t="str">
        <f>IF(ISBLANK(A176),"",_xlfn.XLOOKUP(A176,'Requirement Overview'!C:C,'Requirement Overview'!E:E))</f>
        <v>Talme</v>
      </c>
      <c r="E176" s="24" t="str">
        <f>IF(ISBLANK(A176),"",_xlfn.XLOOKUP(A176,'Requirement Overview'!C:C,'Requirement Overview'!H:H))</f>
        <v>Non - IT</v>
      </c>
      <c r="F176" s="24" t="str">
        <f>IF(ISBLANK(A176),"",_xlfn.XLOOKUP(A176,'Requirement Overview'!C:C,'Requirement Overview'!I:I))</f>
        <v>Sales Head</v>
      </c>
      <c r="G176" s="58" t="str">
        <f>IF(ISBLANK(A176),"",_xlfn.XLOOKUP(A176,'Requirement Overview'!C:C,'Requirement Overview'!G:G))</f>
        <v>Avinashi Ads</v>
      </c>
      <c r="H176" s="185" t="s">
        <v>972</v>
      </c>
      <c r="I176" s="153" t="s">
        <v>625</v>
      </c>
      <c r="J176" s="59" t="s">
        <v>973</v>
      </c>
      <c r="K176" s="21">
        <v>8892400382</v>
      </c>
      <c r="L176" s="46" t="s">
        <v>695</v>
      </c>
      <c r="M176" s="21" t="s">
        <v>573</v>
      </c>
      <c r="N176" s="91" t="s">
        <v>239</v>
      </c>
      <c r="P176" s="21" t="s">
        <v>268</v>
      </c>
      <c r="Q176" s="21" t="s">
        <v>268</v>
      </c>
      <c r="R176" s="21" t="s">
        <v>974</v>
      </c>
      <c r="S176" s="24" t="s">
        <v>470</v>
      </c>
      <c r="T176" s="24" t="s">
        <v>103</v>
      </c>
      <c r="U176" s="29">
        <v>46042</v>
      </c>
      <c r="V176" s="29">
        <v>46042</v>
      </c>
    </row>
    <row r="177" spans="1:45" ht="14.45">
      <c r="A177" s="24" t="s">
        <v>64</v>
      </c>
      <c r="B177" s="24" t="s">
        <v>236</v>
      </c>
      <c r="C177" s="24" t="str">
        <f>IF(ISBLANK(B177),"",_xlfn.XLOOKUP(B177,Recruiter!A:A,Recruiter!B:B))</f>
        <v>Pooja</v>
      </c>
      <c r="D177" s="24" t="str">
        <f>IF(ISBLANK(A177),"",_xlfn.XLOOKUP(A177,'Requirement Overview'!C:C,'Requirement Overview'!E:E))</f>
        <v>Talme</v>
      </c>
      <c r="E177" s="24" t="str">
        <f>IF(ISBLANK(A177),"",_xlfn.XLOOKUP(A177,'Requirement Overview'!C:C,'Requirement Overview'!H:H))</f>
        <v>Non - IT</v>
      </c>
      <c r="F177" s="24" t="str">
        <f>IF(ISBLANK(A177),"",_xlfn.XLOOKUP(A177,'Requirement Overview'!C:C,'Requirement Overview'!I:I))</f>
        <v>Sales Head</v>
      </c>
      <c r="G177" s="58" t="str">
        <f>IF(ISBLANK(A177),"",_xlfn.XLOOKUP(A177,'Requirement Overview'!C:C,'Requirement Overview'!G:G))</f>
        <v>Avinashi Ads</v>
      </c>
      <c r="H177" s="185" t="s">
        <v>975</v>
      </c>
      <c r="I177" s="153" t="s">
        <v>976</v>
      </c>
      <c r="J177" s="59" t="s">
        <v>977</v>
      </c>
      <c r="K177" s="21">
        <v>7760685681</v>
      </c>
      <c r="L177" s="46" t="s">
        <v>695</v>
      </c>
      <c r="M177" s="24" t="s">
        <v>978</v>
      </c>
      <c r="N177" s="91" t="s">
        <v>979</v>
      </c>
      <c r="O177" s="24" t="s">
        <v>980</v>
      </c>
      <c r="P177" s="21" t="s">
        <v>268</v>
      </c>
      <c r="Q177" s="24" t="s">
        <v>837</v>
      </c>
      <c r="R177" s="24" t="s">
        <v>981</v>
      </c>
      <c r="S177" s="24" t="s">
        <v>470</v>
      </c>
      <c r="T177" s="24" t="s">
        <v>103</v>
      </c>
      <c r="U177" s="29">
        <v>46042</v>
      </c>
      <c r="V177" s="29">
        <v>46042</v>
      </c>
    </row>
    <row r="178" spans="1:45" ht="14.45">
      <c r="A178" s="51" t="s">
        <v>64</v>
      </c>
      <c r="B178" s="51" t="s">
        <v>236</v>
      </c>
      <c r="C178" s="51" t="str">
        <f>IF(ISBLANK(B178),"",_xlfn.XLOOKUP(B178,Recruiter!A:A,Recruiter!B:B))</f>
        <v>Pooja</v>
      </c>
      <c r="D178" s="51" t="str">
        <f>IF(ISBLANK(A178),"",_xlfn.XLOOKUP(A178,'Requirement Overview'!C:C,'Requirement Overview'!E:E))</f>
        <v>Talme</v>
      </c>
      <c r="E178" s="51" t="str">
        <f>IF(ISBLANK(A178),"",_xlfn.XLOOKUP(A178,'Requirement Overview'!C:C,'Requirement Overview'!H:H))</f>
        <v>Non - IT</v>
      </c>
      <c r="F178" s="51" t="str">
        <f>IF(ISBLANK(A178),"",_xlfn.XLOOKUP(A178,'Requirement Overview'!C:C,'Requirement Overview'!I:I))</f>
        <v>Sales Head</v>
      </c>
      <c r="G178" s="62" t="str">
        <f>IF(ISBLANK(A178),"",_xlfn.XLOOKUP(A178,'Requirement Overview'!C:C,'Requirement Overview'!G:G))</f>
        <v>Avinashi Ads</v>
      </c>
      <c r="H178" s="518" t="s">
        <v>982</v>
      </c>
      <c r="I178" s="519" t="s">
        <v>983</v>
      </c>
      <c r="J178" s="225" t="s">
        <v>984</v>
      </c>
      <c r="K178" s="517">
        <v>9535505110</v>
      </c>
      <c r="L178" s="108" t="s">
        <v>985</v>
      </c>
      <c r="M178" s="51" t="s">
        <v>986</v>
      </c>
      <c r="N178" s="110" t="s">
        <v>987</v>
      </c>
      <c r="O178" s="51" t="s">
        <v>314</v>
      </c>
      <c r="P178" s="51" t="s">
        <v>904</v>
      </c>
      <c r="Q178" s="517" t="s">
        <v>268</v>
      </c>
      <c r="R178" s="51" t="s">
        <v>988</v>
      </c>
      <c r="S178" s="51" t="s">
        <v>470</v>
      </c>
      <c r="T178" s="51"/>
      <c r="U178" s="89">
        <v>46042</v>
      </c>
      <c r="V178" s="89">
        <v>46042</v>
      </c>
      <c r="W178" s="51"/>
      <c r="X178" s="51"/>
      <c r="Y178" s="51"/>
      <c r="Z178" s="51"/>
      <c r="AA178" s="51"/>
      <c r="AB178" s="51"/>
      <c r="AC178" s="51"/>
      <c r="AD178" s="51"/>
    </row>
    <row r="179" spans="1:45" s="36" customFormat="1" ht="14.45">
      <c r="A179" s="498" t="s">
        <v>93</v>
      </c>
      <c r="B179" s="498" t="s">
        <v>258</v>
      </c>
      <c r="C179" s="702" t="str">
        <f>IF(ISBLANK(B179),"",_xlfn.XLOOKUP(B179,Recruiter!A:A,Recruiter!B:B))</f>
        <v>Bhoomika</v>
      </c>
      <c r="D179" s="702" t="str">
        <f>IF(ISBLANK(A179),"",_xlfn.XLOOKUP(A179,'Requirement Overview'!C:C,'Requirement Overview'!E:E))</f>
        <v>Talme</v>
      </c>
      <c r="E179" s="702" t="str">
        <f>IF(ISBLANK(A179),"",_xlfn.XLOOKUP(A179,'Requirement Overview'!C:C,'Requirement Overview'!H:H))</f>
        <v>IT</v>
      </c>
      <c r="F179" s="702" t="str">
        <f>IF(ISBLANK(A179),"",_xlfn.XLOOKUP(A179,'Requirement Overview'!C:C,'Requirement Overview'!I:I))</f>
        <v>Angular JS developer</v>
      </c>
      <c r="G179" s="702" t="str">
        <f>IF(ISBLANK(A179),"",_xlfn.XLOOKUP(A179,'Requirement Overview'!C:C,'Requirement Overview'!G:G))</f>
        <v>EMIDS</v>
      </c>
      <c r="H179" s="470" t="s">
        <v>989</v>
      </c>
      <c r="I179" s="702" t="s">
        <v>990</v>
      </c>
      <c r="J179" s="476" t="s">
        <v>991</v>
      </c>
      <c r="K179" s="499">
        <v>6362305662</v>
      </c>
      <c r="L179" s="702" t="s">
        <v>311</v>
      </c>
      <c r="M179" s="702" t="s">
        <v>956</v>
      </c>
      <c r="N179" s="496" t="s">
        <v>992</v>
      </c>
      <c r="O179" s="704"/>
      <c r="P179" s="702" t="s">
        <v>268</v>
      </c>
      <c r="Q179" s="702" t="s">
        <v>268</v>
      </c>
      <c r="R179" s="498"/>
      <c r="S179" s="498" t="s">
        <v>270</v>
      </c>
      <c r="T179" s="476" t="s">
        <v>271</v>
      </c>
      <c r="U179" s="703">
        <v>46041</v>
      </c>
      <c r="V179" s="703">
        <v>46041</v>
      </c>
      <c r="W179" s="704"/>
      <c r="X179" s="704"/>
      <c r="Y179" s="704"/>
      <c r="Z179" s="704"/>
      <c r="AA179" s="704"/>
      <c r="AB179" s="704"/>
      <c r="AC179" s="704"/>
      <c r="AD179" s="704"/>
      <c r="AE179" s="516"/>
      <c r="AP179" s="24"/>
      <c r="AQ179" s="24"/>
      <c r="AR179" s="24"/>
      <c r="AS179" s="24"/>
    </row>
    <row r="180" spans="1:45" s="36" customFormat="1" ht="14.45">
      <c r="A180" s="498" t="s">
        <v>93</v>
      </c>
      <c r="B180" s="498" t="s">
        <v>258</v>
      </c>
      <c r="C180" s="702" t="str">
        <f>IF(ISBLANK(B180),"",_xlfn.XLOOKUP(B180,Recruiter!A:A,Recruiter!B:B))</f>
        <v>Bhoomika</v>
      </c>
      <c r="D180" s="702" t="str">
        <f>IF(ISBLANK(A180),"",_xlfn.XLOOKUP(A180,'Requirement Overview'!C:C,'Requirement Overview'!E:E))</f>
        <v>Talme</v>
      </c>
      <c r="E180" s="702" t="str">
        <f>IF(ISBLANK(A180),"",_xlfn.XLOOKUP(A180,'Requirement Overview'!C:C,'Requirement Overview'!H:H))</f>
        <v>IT</v>
      </c>
      <c r="F180" s="702" t="str">
        <f>IF(ISBLANK(A180),"",_xlfn.XLOOKUP(A180,'Requirement Overview'!C:C,'Requirement Overview'!I:I))</f>
        <v>Angular JS developer</v>
      </c>
      <c r="G180" s="702" t="str">
        <f>IF(ISBLANK(A180),"",_xlfn.XLOOKUP(A180,'Requirement Overview'!C:C,'Requirement Overview'!G:G))</f>
        <v>EMIDS</v>
      </c>
      <c r="H180" s="470" t="s">
        <v>993</v>
      </c>
      <c r="I180" s="702" t="s">
        <v>316</v>
      </c>
      <c r="J180" s="476" t="s">
        <v>994</v>
      </c>
      <c r="K180" s="499">
        <v>9121325132</v>
      </c>
      <c r="L180" s="702" t="s">
        <v>305</v>
      </c>
      <c r="M180" s="702" t="s">
        <v>947</v>
      </c>
      <c r="N180" s="496" t="s">
        <v>995</v>
      </c>
      <c r="O180" s="498"/>
      <c r="P180" s="702" t="s">
        <v>268</v>
      </c>
      <c r="Q180" s="702" t="s">
        <v>268</v>
      </c>
      <c r="R180" s="498"/>
      <c r="S180" s="498" t="s">
        <v>270</v>
      </c>
      <c r="T180" s="476" t="s">
        <v>271</v>
      </c>
      <c r="U180" s="703">
        <v>46041</v>
      </c>
      <c r="V180" s="703">
        <v>46041</v>
      </c>
      <c r="W180" s="704"/>
      <c r="X180" s="704"/>
      <c r="Y180" s="704"/>
      <c r="Z180" s="704"/>
      <c r="AA180" s="704"/>
      <c r="AB180" s="704"/>
      <c r="AC180" s="704"/>
      <c r="AD180" s="704"/>
      <c r="AE180" s="516"/>
      <c r="AP180" s="24"/>
      <c r="AQ180" s="24"/>
      <c r="AR180" s="24"/>
      <c r="AS180" s="24"/>
    </row>
    <row r="181" spans="1:45" s="36" customFormat="1" ht="14.45">
      <c r="A181" s="498" t="s">
        <v>93</v>
      </c>
      <c r="B181" s="498" t="s">
        <v>258</v>
      </c>
      <c r="C181" s="702" t="str">
        <f>IF(ISBLANK(B181),"",_xlfn.XLOOKUP(B181,Recruiter!A:A,Recruiter!B:B))</f>
        <v>Bhoomika</v>
      </c>
      <c r="D181" s="702" t="str">
        <f>IF(ISBLANK(A181),"",_xlfn.XLOOKUP(A181,'Requirement Overview'!C:C,'Requirement Overview'!E:E))</f>
        <v>Talme</v>
      </c>
      <c r="E181" s="702" t="str">
        <f>IF(ISBLANK(A181),"",_xlfn.XLOOKUP(A181,'Requirement Overview'!C:C,'Requirement Overview'!H:H))</f>
        <v>IT</v>
      </c>
      <c r="F181" s="702" t="str">
        <f>IF(ISBLANK(A181),"",_xlfn.XLOOKUP(A181,'Requirement Overview'!C:C,'Requirement Overview'!I:I))</f>
        <v>Angular JS developer</v>
      </c>
      <c r="G181" s="702" t="str">
        <f>IF(ISBLANK(A181),"",_xlfn.XLOOKUP(A181,'Requirement Overview'!C:C,'Requirement Overview'!G:G))</f>
        <v>EMIDS</v>
      </c>
      <c r="H181" s="470" t="s">
        <v>996</v>
      </c>
      <c r="I181" s="702" t="s">
        <v>316</v>
      </c>
      <c r="J181" s="476" t="s">
        <v>997</v>
      </c>
      <c r="K181" s="499">
        <v>9760479737</v>
      </c>
      <c r="L181" s="702" t="s">
        <v>305</v>
      </c>
      <c r="M181" s="702" t="s">
        <v>279</v>
      </c>
      <c r="N181" s="496" t="s">
        <v>998</v>
      </c>
      <c r="O181" s="498"/>
      <c r="P181" s="702" t="s">
        <v>268</v>
      </c>
      <c r="Q181" s="702" t="s">
        <v>268</v>
      </c>
      <c r="R181" s="704"/>
      <c r="S181" s="498" t="s">
        <v>270</v>
      </c>
      <c r="T181" s="476" t="s">
        <v>271</v>
      </c>
      <c r="U181" s="703">
        <v>46041</v>
      </c>
      <c r="V181" s="703">
        <v>46041</v>
      </c>
      <c r="W181" s="704"/>
      <c r="X181" s="704"/>
      <c r="Y181" s="704"/>
      <c r="Z181" s="704"/>
      <c r="AA181" s="704"/>
      <c r="AB181" s="704"/>
      <c r="AC181" s="704"/>
      <c r="AD181" s="704"/>
      <c r="AE181" s="516"/>
      <c r="AP181" s="24"/>
      <c r="AQ181" s="24"/>
      <c r="AR181" s="24"/>
      <c r="AS181" s="24"/>
    </row>
    <row r="182" spans="1:45" s="36" customFormat="1" ht="14.45">
      <c r="A182" s="498" t="s">
        <v>93</v>
      </c>
      <c r="B182" s="498" t="s">
        <v>258</v>
      </c>
      <c r="C182" s="702" t="str">
        <f>IF(ISBLANK(B182),"",_xlfn.XLOOKUP(B182,Recruiter!A:A,Recruiter!B:B))</f>
        <v>Bhoomika</v>
      </c>
      <c r="D182" s="702" t="str">
        <f>IF(ISBLANK(A182),"",_xlfn.XLOOKUP(A182,'Requirement Overview'!C:C,'Requirement Overview'!E:E))</f>
        <v>Talme</v>
      </c>
      <c r="E182" s="702" t="str">
        <f>IF(ISBLANK(A182),"",_xlfn.XLOOKUP(A182,'Requirement Overview'!C:C,'Requirement Overview'!H:H))</f>
        <v>IT</v>
      </c>
      <c r="F182" s="702" t="str">
        <f>IF(ISBLANK(A182),"",_xlfn.XLOOKUP(A182,'Requirement Overview'!C:C,'Requirement Overview'!I:I))</f>
        <v>Angular JS developer</v>
      </c>
      <c r="G182" s="702" t="str">
        <f>IF(ISBLANK(A182),"",_xlfn.XLOOKUP(A182,'Requirement Overview'!C:C,'Requirement Overview'!G:G))</f>
        <v>EMIDS</v>
      </c>
      <c r="H182" s="470" t="s">
        <v>999</v>
      </c>
      <c r="I182" s="702" t="s">
        <v>316</v>
      </c>
      <c r="J182" s="476" t="s">
        <v>1000</v>
      </c>
      <c r="K182" s="499">
        <v>8012025883</v>
      </c>
      <c r="L182" s="702" t="s">
        <v>311</v>
      </c>
      <c r="M182" s="702" t="s">
        <v>1001</v>
      </c>
      <c r="N182" s="496" t="s">
        <v>831</v>
      </c>
      <c r="O182" s="498"/>
      <c r="P182" s="702" t="s">
        <v>268</v>
      </c>
      <c r="Q182" s="702" t="s">
        <v>268</v>
      </c>
      <c r="R182" s="704"/>
      <c r="S182" s="498" t="s">
        <v>270</v>
      </c>
      <c r="T182" s="476" t="s">
        <v>271</v>
      </c>
      <c r="U182" s="703">
        <v>46041</v>
      </c>
      <c r="V182" s="703">
        <v>46041</v>
      </c>
      <c r="W182" s="704"/>
      <c r="X182" s="704"/>
      <c r="Y182" s="704"/>
      <c r="Z182" s="704"/>
      <c r="AA182" s="704"/>
      <c r="AB182" s="704"/>
      <c r="AC182" s="704"/>
      <c r="AD182" s="704"/>
      <c r="AE182" s="516"/>
      <c r="AP182" s="24"/>
      <c r="AQ182" s="24"/>
      <c r="AR182" s="24"/>
      <c r="AS182" s="24"/>
    </row>
    <row r="183" spans="1:45" s="36" customFormat="1" ht="14.45">
      <c r="A183" s="498" t="s">
        <v>93</v>
      </c>
      <c r="B183" s="498" t="s">
        <v>258</v>
      </c>
      <c r="C183" s="702" t="str">
        <f>IF(ISBLANK(B183),"",_xlfn.XLOOKUP(B183,Recruiter!A:A,Recruiter!B:B))</f>
        <v>Bhoomika</v>
      </c>
      <c r="D183" s="702" t="str">
        <f>IF(ISBLANK(A183),"",_xlfn.XLOOKUP(A183,'Requirement Overview'!C:C,'Requirement Overview'!E:E))</f>
        <v>Talme</v>
      </c>
      <c r="E183" s="702" t="str">
        <f>IF(ISBLANK(A183),"",_xlfn.XLOOKUP(A183,'Requirement Overview'!C:C,'Requirement Overview'!H:H))</f>
        <v>IT</v>
      </c>
      <c r="F183" s="702" t="str">
        <f>IF(ISBLANK(A183),"",_xlfn.XLOOKUP(A183,'Requirement Overview'!C:C,'Requirement Overview'!I:I))</f>
        <v>Angular JS developer</v>
      </c>
      <c r="G183" s="702" t="str">
        <f>IF(ISBLANK(A183),"",_xlfn.XLOOKUP(A183,'Requirement Overview'!C:C,'Requirement Overview'!G:G))</f>
        <v>EMIDS</v>
      </c>
      <c r="H183" s="470" t="s">
        <v>1002</v>
      </c>
      <c r="I183" s="470" t="s">
        <v>990</v>
      </c>
      <c r="J183" s="476" t="s">
        <v>1003</v>
      </c>
      <c r="K183" s="499">
        <v>7348991524</v>
      </c>
      <c r="L183" s="702" t="s">
        <v>305</v>
      </c>
      <c r="M183" s="702" t="s">
        <v>942</v>
      </c>
      <c r="N183" s="496" t="s">
        <v>1004</v>
      </c>
      <c r="O183" s="498"/>
      <c r="P183" s="702" t="s">
        <v>268</v>
      </c>
      <c r="Q183" s="702" t="s">
        <v>268</v>
      </c>
      <c r="R183" s="498"/>
      <c r="S183" s="498" t="s">
        <v>270</v>
      </c>
      <c r="T183" s="476" t="s">
        <v>271</v>
      </c>
      <c r="U183" s="703">
        <v>46041</v>
      </c>
      <c r="V183" s="703">
        <v>46041</v>
      </c>
      <c r="W183" s="704"/>
      <c r="X183" s="705"/>
      <c r="Y183" s="704"/>
      <c r="Z183" s="704"/>
      <c r="AA183" s="704"/>
      <c r="AB183" s="704"/>
      <c r="AC183" s="704"/>
      <c r="AD183" s="704"/>
      <c r="AE183" s="516"/>
      <c r="AP183" s="24"/>
      <c r="AQ183" s="24"/>
      <c r="AR183" s="24"/>
      <c r="AS183" s="24"/>
    </row>
    <row r="184" spans="1:45" s="36" customFormat="1" ht="14.45">
      <c r="A184" s="498" t="s">
        <v>68</v>
      </c>
      <c r="B184" s="498" t="s">
        <v>258</v>
      </c>
      <c r="C184" s="702" t="str">
        <f>IF(ISBLANK(B184),"",_xlfn.XLOOKUP(B184,Recruiter!A:A,Recruiter!B:B))</f>
        <v>Bhoomika</v>
      </c>
      <c r="D184" s="702" t="str">
        <f>IF(ISBLANK(A184),"",_xlfn.XLOOKUP(A184,'Requirement Overview'!C:C,'Requirement Overview'!E:E))</f>
        <v>Talme</v>
      </c>
      <c r="E184" s="702" t="str">
        <f>IF(ISBLANK(A184),"",_xlfn.XLOOKUP(A184,'Requirement Overview'!C:C,'Requirement Overview'!H:H))</f>
        <v>Non - IT</v>
      </c>
      <c r="F184" s="702" t="str">
        <f>IF(ISBLANK(A184),"",_xlfn.XLOOKUP(A184,'Requirement Overview'!C:C,'Requirement Overview'!I:I))</f>
        <v>Associate Sales</v>
      </c>
      <c r="G184" s="702" t="str">
        <f>IF(ISBLANK(A184),"",_xlfn.XLOOKUP(A184,'Requirement Overview'!C:C,'Requirement Overview'!G:G))</f>
        <v>Avinashi Ads</v>
      </c>
      <c r="H184" s="470" t="s">
        <v>1005</v>
      </c>
      <c r="I184" s="704" t="s">
        <v>618</v>
      </c>
      <c r="J184" s="497" t="s">
        <v>1006</v>
      </c>
      <c r="K184" s="702">
        <v>7348896540</v>
      </c>
      <c r="L184" s="704" t="s">
        <v>330</v>
      </c>
      <c r="M184" s="704" t="s">
        <v>566</v>
      </c>
      <c r="N184" s="496" t="s">
        <v>1007</v>
      </c>
      <c r="O184" s="702" t="s">
        <v>321</v>
      </c>
      <c r="P184" s="498" t="s">
        <v>268</v>
      </c>
      <c r="Q184" s="498" t="s">
        <v>268</v>
      </c>
      <c r="R184" s="498" t="s">
        <v>517</v>
      </c>
      <c r="S184" s="498" t="s">
        <v>270</v>
      </c>
      <c r="T184" s="476" t="s">
        <v>271</v>
      </c>
      <c r="U184" s="703">
        <v>46036</v>
      </c>
      <c r="V184" s="703">
        <v>46036</v>
      </c>
      <c r="W184" s="704"/>
      <c r="X184" s="704"/>
      <c r="Y184" s="702"/>
      <c r="Z184" s="704"/>
      <c r="AA184" s="704"/>
      <c r="AB184" s="704"/>
      <c r="AC184" s="704"/>
      <c r="AD184" s="704"/>
      <c r="AE184" s="516"/>
      <c r="AP184" s="24"/>
      <c r="AQ184" s="24"/>
      <c r="AR184" s="24"/>
      <c r="AS184" s="24"/>
    </row>
    <row r="185" spans="1:45" ht="14.45">
      <c r="A185" s="702" t="s">
        <v>70</v>
      </c>
      <c r="B185" s="702" t="s">
        <v>258</v>
      </c>
      <c r="C185" s="476" t="str">
        <f>IF(ISBLANK(B185),"",_xlfn.XLOOKUP(B185,Recruiter!A:A,Recruiter!B:B))</f>
        <v>Bhoomika</v>
      </c>
      <c r="D185" s="476" t="str">
        <f>IF(ISBLANK(A185),"",_xlfn.XLOOKUP(A185,'Requirement Overview'!C:C,'Requirement Overview'!E:E))</f>
        <v>Talme</v>
      </c>
      <c r="E185" s="702" t="str">
        <f>IF(ISBLANK(A185),"",_xlfn.XLOOKUP(A185,'Requirement Overview'!C:C,'Requirement Overview'!H:H))</f>
        <v>Non - IT</v>
      </c>
      <c r="F185" s="702" t="str">
        <f>IF(ISBLANK(A185),"",_xlfn.XLOOKUP(A185,'Requirement Overview'!C:C,'Requirement Overview'!I:I))</f>
        <v>Key Accounts Manager</v>
      </c>
      <c r="G185" s="702" t="str">
        <f>IF(ISBLANK(A185),"",_xlfn.XLOOKUP(A185,'Requirement Overview'!C:C,'Requirement Overview'!G:G))</f>
        <v>Avinashi Ads</v>
      </c>
      <c r="H185" s="470" t="s">
        <v>1008</v>
      </c>
      <c r="I185" s="702" t="s">
        <v>618</v>
      </c>
      <c r="J185" s="497" t="s">
        <v>1009</v>
      </c>
      <c r="K185" s="702">
        <v>8553246807</v>
      </c>
      <c r="L185" s="470" t="s">
        <v>330</v>
      </c>
      <c r="M185" s="702" t="s">
        <v>414</v>
      </c>
      <c r="N185" s="496" t="s">
        <v>1010</v>
      </c>
      <c r="O185" s="702" t="s">
        <v>382</v>
      </c>
      <c r="P185" s="702" t="s">
        <v>268</v>
      </c>
      <c r="Q185" s="702" t="s">
        <v>268</v>
      </c>
      <c r="R185" s="702" t="s">
        <v>1011</v>
      </c>
      <c r="S185" s="498" t="s">
        <v>270</v>
      </c>
      <c r="T185" s="702" t="s">
        <v>1012</v>
      </c>
      <c r="U185" s="703">
        <v>46036</v>
      </c>
      <c r="V185" s="703">
        <v>46036</v>
      </c>
      <c r="W185" s="704"/>
      <c r="X185" s="702"/>
      <c r="Y185" s="702"/>
      <c r="Z185" s="702"/>
      <c r="AA185" s="702"/>
      <c r="AB185" s="702"/>
      <c r="AC185" s="702"/>
      <c r="AD185" s="702"/>
      <c r="AE185" s="46"/>
    </row>
    <row r="186" spans="1:45" ht="14.45">
      <c r="A186" s="702" t="s">
        <v>70</v>
      </c>
      <c r="B186" s="702" t="s">
        <v>258</v>
      </c>
      <c r="C186" s="476" t="str">
        <f>IF(ISBLANK(B186),"",_xlfn.XLOOKUP(B186,Recruiter!A:A,Recruiter!B:B))</f>
        <v>Bhoomika</v>
      </c>
      <c r="D186" s="476" t="str">
        <f>IF(ISBLANK(A186),"",_xlfn.XLOOKUP(A186,'Requirement Overview'!C:C,'Requirement Overview'!E:E))</f>
        <v>Talme</v>
      </c>
      <c r="E186" s="702" t="str">
        <f>IF(ISBLANK(A186),"",_xlfn.XLOOKUP(A186,'Requirement Overview'!C:C,'Requirement Overview'!H:H))</f>
        <v>Non - IT</v>
      </c>
      <c r="F186" s="702" t="str">
        <f>IF(ISBLANK(A186),"",_xlfn.XLOOKUP(A186,'Requirement Overview'!C:C,'Requirement Overview'!I:I))</f>
        <v>Key Accounts Manager</v>
      </c>
      <c r="G186" s="702" t="str">
        <f>IF(ISBLANK(A186),"",_xlfn.XLOOKUP(A186,'Requirement Overview'!C:C,'Requirement Overview'!G:G))</f>
        <v>Avinashi Ads</v>
      </c>
      <c r="H186" s="470" t="s">
        <v>1013</v>
      </c>
      <c r="I186" s="702" t="s">
        <v>262</v>
      </c>
      <c r="J186" s="497" t="s">
        <v>1014</v>
      </c>
      <c r="K186" s="702">
        <v>9449268899</v>
      </c>
      <c r="L186" s="702" t="s">
        <v>311</v>
      </c>
      <c r="M186" s="702" t="s">
        <v>533</v>
      </c>
      <c r="N186" s="496" t="s">
        <v>637</v>
      </c>
      <c r="O186" s="702" t="s">
        <v>678</v>
      </c>
      <c r="P186" s="702" t="s">
        <v>268</v>
      </c>
      <c r="Q186" s="702" t="s">
        <v>268</v>
      </c>
      <c r="R186" s="702" t="s">
        <v>1015</v>
      </c>
      <c r="S186" s="498" t="s">
        <v>270</v>
      </c>
      <c r="T186" s="702" t="s">
        <v>271</v>
      </c>
      <c r="U186" s="703">
        <v>46036</v>
      </c>
      <c r="V186" s="703">
        <v>46036</v>
      </c>
      <c r="W186" s="704"/>
      <c r="X186" s="702"/>
      <c r="Y186" s="702"/>
      <c r="Z186" s="702"/>
      <c r="AA186" s="702"/>
      <c r="AB186" s="702"/>
      <c r="AC186" s="702"/>
      <c r="AD186" s="702"/>
      <c r="AE186" s="46"/>
    </row>
    <row r="187" spans="1:45" ht="14.45">
      <c r="A187" s="702" t="s">
        <v>55</v>
      </c>
      <c r="B187" s="702" t="s">
        <v>258</v>
      </c>
      <c r="C187" s="476" t="str">
        <f>IF(ISBLANK(B187),"",_xlfn.XLOOKUP(B187,Recruiter!A:A,Recruiter!B:B))</f>
        <v>Bhoomika</v>
      </c>
      <c r="D187" s="476" t="str">
        <f>IF(ISBLANK(A187),"",_xlfn.XLOOKUP(A187,'Requirement Overview'!C:C,'Requirement Overview'!E:E))</f>
        <v>Talme</v>
      </c>
      <c r="E187" s="702" t="str">
        <f>IF(ISBLANK(A187),"",_xlfn.XLOOKUP(A187,'Requirement Overview'!C:C,'Requirement Overview'!H:H))</f>
        <v>Non - IT</v>
      </c>
      <c r="F187" s="702" t="str">
        <f>IF(ISBLANK(A187),"",_xlfn.XLOOKUP(A187,'Requirement Overview'!C:C,'Requirement Overview'!I:I))</f>
        <v>Inside Sales Executive</v>
      </c>
      <c r="G187" s="702" t="str">
        <f>IF(ISBLANK(A187),"",_xlfn.XLOOKUP(A187,'Requirement Overview'!C:C,'Requirement Overview'!G:G))</f>
        <v>Peritas</v>
      </c>
      <c r="H187" s="470" t="s">
        <v>1016</v>
      </c>
      <c r="I187" s="702" t="s">
        <v>262</v>
      </c>
      <c r="J187" s="497" t="s">
        <v>1017</v>
      </c>
      <c r="K187" s="702" t="s">
        <v>1018</v>
      </c>
      <c r="L187" s="702" t="s">
        <v>330</v>
      </c>
      <c r="M187" s="702" t="s">
        <v>379</v>
      </c>
      <c r="N187" s="496" t="s">
        <v>1019</v>
      </c>
      <c r="O187" s="702" t="s">
        <v>1020</v>
      </c>
      <c r="P187" s="702" t="s">
        <v>268</v>
      </c>
      <c r="Q187" s="702" t="s">
        <v>268</v>
      </c>
      <c r="R187" s="702" t="s">
        <v>517</v>
      </c>
      <c r="S187" s="498" t="s">
        <v>1021</v>
      </c>
      <c r="T187" s="702" t="s">
        <v>271</v>
      </c>
      <c r="U187" s="703">
        <v>46036</v>
      </c>
      <c r="V187" s="703">
        <v>46036</v>
      </c>
      <c r="W187" s="704"/>
      <c r="X187" s="703">
        <v>46038</v>
      </c>
      <c r="Y187" s="702" t="s">
        <v>784</v>
      </c>
      <c r="Z187" s="702"/>
      <c r="AA187" s="702"/>
      <c r="AB187" s="703">
        <v>46043</v>
      </c>
      <c r="AC187" s="702" t="s">
        <v>362</v>
      </c>
      <c r="AD187" s="702"/>
      <c r="AE187" s="46"/>
    </row>
    <row r="188" spans="1:45" ht="14.45">
      <c r="A188" s="702" t="s">
        <v>55</v>
      </c>
      <c r="B188" s="702" t="s">
        <v>258</v>
      </c>
      <c r="C188" s="476" t="str">
        <f>IF(ISBLANK(B188),"",_xlfn.XLOOKUP(B188,Recruiter!A:A,Recruiter!B:B))</f>
        <v>Bhoomika</v>
      </c>
      <c r="D188" s="476" t="str">
        <f>IF(ISBLANK(A188),"",_xlfn.XLOOKUP(A188,'Requirement Overview'!C:C,'Requirement Overview'!E:E))</f>
        <v>Talme</v>
      </c>
      <c r="E188" s="702" t="str">
        <f>IF(ISBLANK(A188),"",_xlfn.XLOOKUP(A188,'Requirement Overview'!C:C,'Requirement Overview'!H:H))</f>
        <v>Non - IT</v>
      </c>
      <c r="F188" s="702" t="str">
        <f>IF(ISBLANK(A188),"",_xlfn.XLOOKUP(A188,'Requirement Overview'!C:C,'Requirement Overview'!I:I))</f>
        <v>Inside Sales Executive</v>
      </c>
      <c r="G188" s="702" t="str">
        <f>IF(ISBLANK(A188),"",_xlfn.XLOOKUP(A188,'Requirement Overview'!C:C,'Requirement Overview'!G:G))</f>
        <v>Peritas</v>
      </c>
      <c r="H188" s="470" t="s">
        <v>1022</v>
      </c>
      <c r="I188" s="702" t="s">
        <v>618</v>
      </c>
      <c r="J188" s="497" t="s">
        <v>1023</v>
      </c>
      <c r="K188" s="702">
        <v>8296649386</v>
      </c>
      <c r="L188" s="702" t="s">
        <v>1024</v>
      </c>
      <c r="M188" s="702" t="s">
        <v>265</v>
      </c>
      <c r="N188" s="496" t="s">
        <v>1025</v>
      </c>
      <c r="O188" s="702" t="s">
        <v>1026</v>
      </c>
      <c r="P188" s="702" t="s">
        <v>268</v>
      </c>
      <c r="Q188" s="702" t="s">
        <v>268</v>
      </c>
      <c r="R188" s="702" t="s">
        <v>517</v>
      </c>
      <c r="S188" s="498" t="s">
        <v>270</v>
      </c>
      <c r="T188" s="702" t="s">
        <v>271</v>
      </c>
      <c r="U188" s="703">
        <v>46036</v>
      </c>
      <c r="V188" s="703">
        <v>46036</v>
      </c>
      <c r="W188" s="702"/>
      <c r="X188" s="702"/>
      <c r="Y188" s="702"/>
      <c r="Z188" s="702"/>
      <c r="AA188" s="702"/>
      <c r="AB188" s="702"/>
      <c r="AC188" s="702"/>
      <c r="AD188" s="702"/>
      <c r="AE188" s="46"/>
    </row>
    <row r="189" spans="1:45" ht="15.6">
      <c r="A189" s="702" t="s">
        <v>55</v>
      </c>
      <c r="B189" s="702" t="s">
        <v>258</v>
      </c>
      <c r="C189" s="476" t="str">
        <f>IF(ISBLANK(B189),"",_xlfn.XLOOKUP(B189,Recruiter!A:A,Recruiter!B:B))</f>
        <v>Bhoomika</v>
      </c>
      <c r="D189" s="476" t="str">
        <f>IF(ISBLANK(A189),"",_xlfn.XLOOKUP(A189,'Requirement Overview'!C:C,'Requirement Overview'!E:E))</f>
        <v>Talme</v>
      </c>
      <c r="E189" s="702" t="str">
        <f>IF(ISBLANK(A189),"",_xlfn.XLOOKUP(A189,'Requirement Overview'!C:C,'Requirement Overview'!H:H))</f>
        <v>Non - IT</v>
      </c>
      <c r="F189" s="702" t="str">
        <f>IF(ISBLANK(A189),"",_xlfn.XLOOKUP(A189,'Requirement Overview'!C:C,'Requirement Overview'!I:I))</f>
        <v>Inside Sales Executive</v>
      </c>
      <c r="G189" s="702" t="str">
        <f>IF(ISBLANK(A188),"",_xlfn.XLOOKUP(A188,'Requirement Overview'!C:C,'Requirement Overview'!G:G))</f>
        <v>Peritas</v>
      </c>
      <c r="H189" s="470" t="s">
        <v>1027</v>
      </c>
      <c r="I189" s="473" t="s">
        <v>497</v>
      </c>
      <c r="J189" s="702" t="s">
        <v>1028</v>
      </c>
      <c r="K189" s="471">
        <v>6370661701</v>
      </c>
      <c r="L189" s="473" t="s">
        <v>330</v>
      </c>
      <c r="M189" s="473" t="s">
        <v>1029</v>
      </c>
      <c r="N189" s="496" t="s">
        <v>1030</v>
      </c>
      <c r="O189" s="473" t="s">
        <v>327</v>
      </c>
      <c r="P189" s="702" t="s">
        <v>268</v>
      </c>
      <c r="Q189" s="702" t="s">
        <v>268</v>
      </c>
      <c r="R189" s="702" t="s">
        <v>1031</v>
      </c>
      <c r="S189" s="498" t="s">
        <v>270</v>
      </c>
      <c r="T189" s="702" t="s">
        <v>103</v>
      </c>
      <c r="U189" s="703">
        <v>46036</v>
      </c>
      <c r="V189" s="703">
        <v>46036</v>
      </c>
      <c r="W189" s="702"/>
      <c r="X189" s="702"/>
      <c r="Y189" s="702"/>
      <c r="Z189" s="702"/>
      <c r="AA189" s="702"/>
      <c r="AB189" s="702"/>
      <c r="AC189" s="702"/>
      <c r="AD189" s="702"/>
      <c r="AE189" s="46"/>
    </row>
    <row r="190" spans="1:45" ht="15.6">
      <c r="A190" s="702" t="s">
        <v>55</v>
      </c>
      <c r="B190" s="702" t="s">
        <v>258</v>
      </c>
      <c r="C190" s="476" t="str">
        <f>IF(ISBLANK(B190),"",_xlfn.XLOOKUP(B190,Recruiter!A:A,Recruiter!B:B))</f>
        <v>Bhoomika</v>
      </c>
      <c r="D190" s="476" t="str">
        <f>IF(ISBLANK(A190),"",_xlfn.XLOOKUP(A190,'Requirement Overview'!C:C,'Requirement Overview'!E:E))</f>
        <v>Talme</v>
      </c>
      <c r="E190" s="702" t="str">
        <f>IF(ISBLANK(A190),"",_xlfn.XLOOKUP(A190,'Requirement Overview'!C:C,'Requirement Overview'!H:H))</f>
        <v>Non - IT</v>
      </c>
      <c r="F190" s="702" t="str">
        <f>IF(ISBLANK(A190),"",_xlfn.XLOOKUP(A190,'Requirement Overview'!C:C,'Requirement Overview'!I:I))</f>
        <v>Inside Sales Executive</v>
      </c>
      <c r="G190" s="702" t="str">
        <f>IF(ISBLANK(A189),"",_xlfn.XLOOKUP(A189,'Requirement Overview'!C:C,'Requirement Overview'!G:G))</f>
        <v>Peritas</v>
      </c>
      <c r="H190" s="470" t="s">
        <v>1032</v>
      </c>
      <c r="I190" s="473" t="s">
        <v>618</v>
      </c>
      <c r="J190" s="702" t="s">
        <v>1033</v>
      </c>
      <c r="K190" s="471">
        <v>9933672453</v>
      </c>
      <c r="L190" s="500" t="s">
        <v>1034</v>
      </c>
      <c r="M190" s="473" t="s">
        <v>1035</v>
      </c>
      <c r="N190" s="496" t="s">
        <v>1036</v>
      </c>
      <c r="O190" s="473" t="s">
        <v>1020</v>
      </c>
      <c r="P190" s="471" t="s">
        <v>268</v>
      </c>
      <c r="Q190" s="471" t="s">
        <v>268</v>
      </c>
      <c r="R190" s="473" t="s">
        <v>1031</v>
      </c>
      <c r="S190" s="702" t="s">
        <v>270</v>
      </c>
      <c r="T190" s="702" t="s">
        <v>103</v>
      </c>
      <c r="U190" s="703">
        <v>46036</v>
      </c>
      <c r="V190" s="703">
        <v>46036</v>
      </c>
      <c r="W190" s="702"/>
      <c r="X190" s="702"/>
      <c r="Y190" s="702"/>
      <c r="Z190" s="702"/>
      <c r="AA190" s="702"/>
      <c r="AB190" s="702"/>
      <c r="AC190" s="702"/>
      <c r="AD190" s="702"/>
      <c r="AE190" s="46"/>
    </row>
    <row r="191" spans="1:45" ht="14.45">
      <c r="A191" s="702" t="s">
        <v>61</v>
      </c>
      <c r="B191" s="702" t="s">
        <v>258</v>
      </c>
      <c r="C191" s="476" t="str">
        <f>IF(ISBLANK(B191),"",_xlfn.XLOOKUP(B191,Recruiter!A:A,Recruiter!B:B))</f>
        <v>Bhoomika</v>
      </c>
      <c r="D191" s="476" t="str">
        <f>IF(ISBLANK(A191),"",_xlfn.XLOOKUP(A191,'Requirement Overview'!C:C,'Requirement Overview'!E:E))</f>
        <v>Talme</v>
      </c>
      <c r="E191" s="702" t="str">
        <f>IF(ISBLANK(A191),"",_xlfn.XLOOKUP(A191,'Requirement Overview'!C:C,'Requirement Overview'!H:H))</f>
        <v>Non - IT</v>
      </c>
      <c r="F191" s="702" t="str">
        <f>IF(ISBLANK(A191),"",_xlfn.XLOOKUP(A191,'Requirement Overview'!C:C,'Requirement Overview'!I:I))</f>
        <v>Graphic Designer</v>
      </c>
      <c r="G191" s="702" t="s">
        <v>62</v>
      </c>
      <c r="H191" s="470" t="s">
        <v>1037</v>
      </c>
      <c r="I191" s="702" t="s">
        <v>1038</v>
      </c>
      <c r="J191" s="501" t="s">
        <v>1039</v>
      </c>
      <c r="K191" s="702"/>
      <c r="L191" s="702"/>
      <c r="M191" s="702" t="s">
        <v>1040</v>
      </c>
      <c r="N191" s="496" t="s">
        <v>1041</v>
      </c>
      <c r="O191" s="702" t="s">
        <v>321</v>
      </c>
      <c r="P191" s="702" t="s">
        <v>1042</v>
      </c>
      <c r="Q191" s="702" t="s">
        <v>268</v>
      </c>
      <c r="R191" s="702" t="s">
        <v>1043</v>
      </c>
      <c r="S191" s="702" t="s">
        <v>270</v>
      </c>
      <c r="T191" s="702" t="s">
        <v>271</v>
      </c>
      <c r="U191" s="703">
        <v>46036</v>
      </c>
      <c r="V191" s="703">
        <v>46036</v>
      </c>
      <c r="W191" s="702"/>
      <c r="X191" s="702"/>
      <c r="Y191" s="702"/>
      <c r="Z191" s="702"/>
      <c r="AA191" s="702"/>
      <c r="AB191" s="702"/>
      <c r="AC191" s="702"/>
      <c r="AD191" s="702"/>
      <c r="AE191" s="46"/>
    </row>
    <row r="192" spans="1:45" ht="14.45">
      <c r="A192" s="702" t="s">
        <v>61</v>
      </c>
      <c r="B192" s="702" t="s">
        <v>258</v>
      </c>
      <c r="C192" s="476" t="str">
        <f>IF(ISBLANK(B192),"",_xlfn.XLOOKUP(B192,Recruiter!A:A,Recruiter!B:B))</f>
        <v>Bhoomika</v>
      </c>
      <c r="D192" s="476" t="str">
        <f>IF(ISBLANK(A192),"",_xlfn.XLOOKUP(A192,'Requirement Overview'!C:C,'Requirement Overview'!E:E))</f>
        <v>Talme</v>
      </c>
      <c r="E192" s="702" t="str">
        <f>IF(ISBLANK(A192),"",_xlfn.XLOOKUP(A192,'Requirement Overview'!C:C,'Requirement Overview'!H:H))</f>
        <v>Non - IT</v>
      </c>
      <c r="F192" s="702" t="str">
        <f>IF(ISBLANK(A192),"",_xlfn.XLOOKUP(A192,'Requirement Overview'!C:C,'Requirement Overview'!I:I))</f>
        <v>Graphic Designer</v>
      </c>
      <c r="G192" s="702" t="s">
        <v>62</v>
      </c>
      <c r="H192" s="470" t="s">
        <v>104</v>
      </c>
      <c r="I192" s="702" t="s">
        <v>674</v>
      </c>
      <c r="J192" s="501" t="s">
        <v>1044</v>
      </c>
      <c r="K192" s="702">
        <v>8217219920</v>
      </c>
      <c r="L192" s="702" t="s">
        <v>311</v>
      </c>
      <c r="M192" s="702" t="s">
        <v>1045</v>
      </c>
      <c r="N192" s="496" t="s">
        <v>1046</v>
      </c>
      <c r="O192" s="702" t="s">
        <v>314</v>
      </c>
      <c r="P192" s="702" t="s">
        <v>1047</v>
      </c>
      <c r="Q192" s="702" t="s">
        <v>268</v>
      </c>
      <c r="R192" s="702" t="s">
        <v>1043</v>
      </c>
      <c r="S192" s="702" t="s">
        <v>270</v>
      </c>
      <c r="T192" s="702" t="s">
        <v>271</v>
      </c>
      <c r="U192" s="703">
        <v>46036</v>
      </c>
      <c r="V192" s="703">
        <v>46036</v>
      </c>
      <c r="W192" s="702"/>
      <c r="X192" s="702"/>
      <c r="Y192" s="702"/>
      <c r="Z192" s="702"/>
      <c r="AA192" s="702"/>
      <c r="AB192" s="702"/>
      <c r="AC192" s="702"/>
      <c r="AD192" s="702"/>
      <c r="AE192" s="46"/>
    </row>
    <row r="193" spans="1:31" ht="14.45">
      <c r="A193" s="702" t="s">
        <v>61</v>
      </c>
      <c r="B193" s="702" t="s">
        <v>258</v>
      </c>
      <c r="C193" s="476" t="str">
        <f>IF(ISBLANK(B193),"",_xlfn.XLOOKUP(B193,Recruiter!A:A,Recruiter!B:B))</f>
        <v>Bhoomika</v>
      </c>
      <c r="D193" s="476" t="str">
        <f>IF(ISBLANK(A193),"",_xlfn.XLOOKUP(A193,'Requirement Overview'!C:C,'Requirement Overview'!E:E))</f>
        <v>Talme</v>
      </c>
      <c r="E193" s="702" t="str">
        <f>IF(ISBLANK(A193),"",_xlfn.XLOOKUP(A193,'Requirement Overview'!C:C,'Requirement Overview'!H:H))</f>
        <v>Non - IT</v>
      </c>
      <c r="F193" s="702" t="str">
        <f>IF(ISBLANK(A193),"",_xlfn.XLOOKUP(A193,'Requirement Overview'!C:C,'Requirement Overview'!I:I))</f>
        <v>Graphic Designer</v>
      </c>
      <c r="G193" s="702" t="s">
        <v>62</v>
      </c>
      <c r="H193" s="470" t="s">
        <v>1048</v>
      </c>
      <c r="I193" s="702" t="s">
        <v>497</v>
      </c>
      <c r="J193" s="502" t="s">
        <v>1049</v>
      </c>
      <c r="K193" s="702">
        <v>9900344229</v>
      </c>
      <c r="L193" s="702" t="s">
        <v>404</v>
      </c>
      <c r="M193" s="702" t="s">
        <v>566</v>
      </c>
      <c r="N193" s="496" t="s">
        <v>1050</v>
      </c>
      <c r="O193" s="702" t="s">
        <v>327</v>
      </c>
      <c r="P193" s="702" t="s">
        <v>294</v>
      </c>
      <c r="Q193" s="702" t="s">
        <v>294</v>
      </c>
      <c r="R193" s="702" t="s">
        <v>327</v>
      </c>
      <c r="S193" s="702" t="s">
        <v>270</v>
      </c>
      <c r="T193" s="702" t="s">
        <v>271</v>
      </c>
      <c r="U193" s="703">
        <v>46042</v>
      </c>
      <c r="V193" s="703">
        <v>46042</v>
      </c>
      <c r="W193" s="702"/>
      <c r="X193" s="702"/>
      <c r="Y193" s="702"/>
      <c r="Z193" s="702"/>
      <c r="AA193" s="702"/>
      <c r="AB193" s="702"/>
      <c r="AC193" s="702"/>
      <c r="AD193" s="702"/>
      <c r="AE193" s="46"/>
    </row>
    <row r="194" spans="1:31" ht="15.6">
      <c r="A194" s="702" t="s">
        <v>93</v>
      </c>
      <c r="B194" s="702" t="s">
        <v>258</v>
      </c>
      <c r="C194" s="476" t="str">
        <f>IF(ISBLANK(B194),"",_xlfn.XLOOKUP(B194,Recruiter!A:A,Recruiter!B:B))</f>
        <v>Bhoomika</v>
      </c>
      <c r="D194" s="476" t="str">
        <f>IF(ISBLANK(A194),"",_xlfn.XLOOKUP(A194,'Requirement Overview'!C:C,'Requirement Overview'!E:E))</f>
        <v>Talme</v>
      </c>
      <c r="E194" s="702" t="str">
        <f>IF(ISBLANK(A194),"",_xlfn.XLOOKUP(A194,'Requirement Overview'!C:C,'Requirement Overview'!H:H))</f>
        <v>IT</v>
      </c>
      <c r="F194" s="702" t="str">
        <f>IF(ISBLANK(A194),"",_xlfn.XLOOKUP(A194,'Requirement Overview'!C:C,'Requirement Overview'!I:I))</f>
        <v>Angular JS developer</v>
      </c>
      <c r="G194" s="702" t="str">
        <f>IF(ISBLANK(A194),"",_xlfn.XLOOKUP(A194,'Requirement Overview'!C:C,'Requirement Overview'!G:G))</f>
        <v>EMIDS</v>
      </c>
      <c r="H194" s="470" t="s">
        <v>1051</v>
      </c>
      <c r="I194" s="472" t="s">
        <v>1052</v>
      </c>
      <c r="J194" s="503" t="s">
        <v>1053</v>
      </c>
      <c r="K194" s="472">
        <v>9329509540</v>
      </c>
      <c r="L194" s="702" t="s">
        <v>311</v>
      </c>
      <c r="M194" s="472" t="s">
        <v>390</v>
      </c>
      <c r="N194" s="496" t="s">
        <v>400</v>
      </c>
      <c r="O194" s="472" t="s">
        <v>1054</v>
      </c>
      <c r="P194" s="472" t="s">
        <v>1055</v>
      </c>
      <c r="Q194" s="472" t="s">
        <v>294</v>
      </c>
      <c r="R194" s="473" t="s">
        <v>374</v>
      </c>
      <c r="S194" s="702" t="s">
        <v>270</v>
      </c>
      <c r="T194" s="702" t="s">
        <v>271</v>
      </c>
      <c r="U194" s="703">
        <v>46042</v>
      </c>
      <c r="V194" s="703">
        <v>46042</v>
      </c>
      <c r="W194" s="702"/>
      <c r="X194" s="702"/>
      <c r="Y194" s="702"/>
      <c r="Z194" s="702"/>
      <c r="AA194" s="702"/>
      <c r="AB194" s="702"/>
      <c r="AC194" s="702"/>
      <c r="AD194" s="702"/>
      <c r="AE194" s="46"/>
    </row>
    <row r="195" spans="1:31" ht="14.45">
      <c r="A195" s="702" t="s">
        <v>68</v>
      </c>
      <c r="B195" s="702" t="s">
        <v>258</v>
      </c>
      <c r="C195" s="476" t="str">
        <f>IF(ISBLANK(B195),"",_xlfn.XLOOKUP(B195,Recruiter!A:A,Recruiter!B:B))</f>
        <v>Bhoomika</v>
      </c>
      <c r="D195" s="476" t="str">
        <f>IF(ISBLANK(A195),"",_xlfn.XLOOKUP(A195,'Requirement Overview'!C:C,'Requirement Overview'!E:E))</f>
        <v>Talme</v>
      </c>
      <c r="E195" s="702" t="str">
        <f>IF(ISBLANK(A195),"",_xlfn.XLOOKUP(A195,'Requirement Overview'!C:C,'Requirement Overview'!H:H))</f>
        <v>Non - IT</v>
      </c>
      <c r="F195" s="702" t="str">
        <f>IF(ISBLANK(A195),"",_xlfn.XLOOKUP(A195,'Requirement Overview'!C:C,'Requirement Overview'!I:I))</f>
        <v>Associate Sales</v>
      </c>
      <c r="G195" s="702" t="str">
        <f>IF(ISBLANK(A195),"",_xlfn.XLOOKUP(A195,'Requirement Overview'!C:C,'Requirement Overview'!G:G))</f>
        <v>Avinashi Ads</v>
      </c>
      <c r="H195" s="470" t="s">
        <v>1056</v>
      </c>
      <c r="I195" s="702" t="s">
        <v>1057</v>
      </c>
      <c r="J195" s="478" t="s">
        <v>1058</v>
      </c>
      <c r="K195" s="702">
        <v>7483533745</v>
      </c>
      <c r="L195" s="702" t="s">
        <v>1059</v>
      </c>
      <c r="M195" s="702" t="s">
        <v>499</v>
      </c>
      <c r="N195" s="496" t="s">
        <v>1060</v>
      </c>
      <c r="O195" s="702" t="s">
        <v>1061</v>
      </c>
      <c r="P195" s="702" t="s">
        <v>294</v>
      </c>
      <c r="Q195" s="702" t="s">
        <v>294</v>
      </c>
      <c r="R195" s="702" t="s">
        <v>1062</v>
      </c>
      <c r="S195" s="702" t="s">
        <v>270</v>
      </c>
      <c r="T195" s="476" t="s">
        <v>271</v>
      </c>
      <c r="U195" s="703">
        <v>46034</v>
      </c>
      <c r="V195" s="703">
        <v>46034</v>
      </c>
      <c r="W195" s="704"/>
      <c r="X195" s="702"/>
      <c r="Y195" s="702"/>
      <c r="Z195" s="702"/>
      <c r="AA195" s="702"/>
      <c r="AB195" s="702"/>
      <c r="AC195" s="702"/>
      <c r="AD195" s="702"/>
      <c r="AE195" s="46"/>
    </row>
    <row r="196" spans="1:31" ht="14.45">
      <c r="A196" s="702" t="s">
        <v>68</v>
      </c>
      <c r="B196" s="702" t="s">
        <v>258</v>
      </c>
      <c r="C196" s="476" t="str">
        <f>IF(ISBLANK(B196),"",_xlfn.XLOOKUP(B196,Recruiter!A:A,Recruiter!B:B))</f>
        <v>Bhoomika</v>
      </c>
      <c r="D196" s="476" t="str">
        <f>IF(ISBLANK(A196),"",_xlfn.XLOOKUP(A196,'Requirement Overview'!C:C,'Requirement Overview'!E:E))</f>
        <v>Talme</v>
      </c>
      <c r="E196" s="702" t="str">
        <f>IF(ISBLANK(A196),"",_xlfn.XLOOKUP(A196,'Requirement Overview'!C:C,'Requirement Overview'!H:H))</f>
        <v>Non - IT</v>
      </c>
      <c r="F196" s="702" t="str">
        <f>IF(ISBLANK(A196),"",_xlfn.XLOOKUP(A196,'Requirement Overview'!C:C,'Requirement Overview'!I:I))</f>
        <v>Associate Sales</v>
      </c>
      <c r="G196" s="702" t="str">
        <f>IF(ISBLANK(A196),"",_xlfn.XLOOKUP(A196,'Requirement Overview'!C:C,'Requirement Overview'!G:G))</f>
        <v>Avinashi Ads</v>
      </c>
      <c r="H196" s="470" t="s">
        <v>1063</v>
      </c>
      <c r="I196" s="702" t="s">
        <v>316</v>
      </c>
      <c r="J196" s="478" t="s">
        <v>1064</v>
      </c>
      <c r="K196" s="702">
        <v>7624876597</v>
      </c>
      <c r="L196" s="702" t="s">
        <v>421</v>
      </c>
      <c r="M196" s="702" t="s">
        <v>1065</v>
      </c>
      <c r="N196" s="496" t="s">
        <v>1066</v>
      </c>
      <c r="O196" s="702" t="s">
        <v>1067</v>
      </c>
      <c r="P196" s="702" t="s">
        <v>294</v>
      </c>
      <c r="Q196" s="702" t="s">
        <v>294</v>
      </c>
      <c r="R196" s="702" t="s">
        <v>509</v>
      </c>
      <c r="S196" s="702" t="s">
        <v>270</v>
      </c>
      <c r="T196" s="476" t="s">
        <v>271</v>
      </c>
      <c r="U196" s="703">
        <v>46034</v>
      </c>
      <c r="V196" s="703">
        <v>46034</v>
      </c>
      <c r="W196" s="704"/>
      <c r="X196" s="702"/>
      <c r="Y196" s="702"/>
      <c r="Z196" s="702"/>
      <c r="AA196" s="702"/>
      <c r="AB196" s="702"/>
      <c r="AC196" s="702"/>
      <c r="AD196" s="702"/>
      <c r="AE196" s="46"/>
    </row>
    <row r="197" spans="1:31" ht="14.45">
      <c r="A197" s="702" t="s">
        <v>68</v>
      </c>
      <c r="B197" s="702" t="s">
        <v>258</v>
      </c>
      <c r="C197" s="476" t="str">
        <f>IF(ISBLANK(B197),"",_xlfn.XLOOKUP(B197,Recruiter!A:A,Recruiter!B:B))</f>
        <v>Bhoomika</v>
      </c>
      <c r="D197" s="476" t="str">
        <f>IF(ISBLANK(A197),"",_xlfn.XLOOKUP(A197,'Requirement Overview'!C:C,'Requirement Overview'!E:E))</f>
        <v>Talme</v>
      </c>
      <c r="E197" s="702" t="str">
        <f>IF(ISBLANK(A197),"",_xlfn.XLOOKUP(A197,'Requirement Overview'!C:C,'Requirement Overview'!H:H))</f>
        <v>Non - IT</v>
      </c>
      <c r="F197" s="702" t="str">
        <f>IF(ISBLANK(A197),"",_xlfn.XLOOKUP(A197,'Requirement Overview'!C:C,'Requirement Overview'!I:I))</f>
        <v>Associate Sales</v>
      </c>
      <c r="G197" s="702" t="str">
        <f>IF(ISBLANK(A197),"",_xlfn.XLOOKUP(A197,'Requirement Overview'!C:C,'Requirement Overview'!G:G))</f>
        <v>Avinashi Ads</v>
      </c>
      <c r="H197" s="470" t="s">
        <v>1068</v>
      </c>
      <c r="I197" s="702" t="s">
        <v>316</v>
      </c>
      <c r="J197" s="478" t="s">
        <v>1069</v>
      </c>
      <c r="K197" s="702">
        <v>9731807522</v>
      </c>
      <c r="L197" s="702" t="s">
        <v>290</v>
      </c>
      <c r="M197" s="702" t="s">
        <v>265</v>
      </c>
      <c r="N197" s="496" t="s">
        <v>1070</v>
      </c>
      <c r="O197" s="702" t="s">
        <v>1071</v>
      </c>
      <c r="P197" s="702" t="s">
        <v>294</v>
      </c>
      <c r="Q197" s="702" t="s">
        <v>294</v>
      </c>
      <c r="R197" s="702" t="s">
        <v>1072</v>
      </c>
      <c r="S197" s="702" t="s">
        <v>270</v>
      </c>
      <c r="T197" s="702" t="s">
        <v>271</v>
      </c>
      <c r="U197" s="703">
        <v>46036</v>
      </c>
      <c r="V197" s="703">
        <v>46036</v>
      </c>
      <c r="W197" s="704"/>
      <c r="X197" s="702"/>
      <c r="Y197" s="702"/>
      <c r="Z197" s="702"/>
      <c r="AA197" s="702"/>
      <c r="AB197" s="702"/>
      <c r="AC197" s="702"/>
      <c r="AD197" s="702"/>
      <c r="AE197" s="46"/>
    </row>
    <row r="198" spans="1:31" ht="14.45">
      <c r="A198" s="702" t="s">
        <v>90</v>
      </c>
      <c r="B198" s="702" t="s">
        <v>258</v>
      </c>
      <c r="C198" s="476" t="str">
        <f>IF(ISBLANK(B198),"",_xlfn.XLOOKUP(B198,Recruiter!A:A,Recruiter!B:B))</f>
        <v>Bhoomika</v>
      </c>
      <c r="D198" s="476" t="str">
        <f>IF(ISBLANK(A198),"",_xlfn.XLOOKUP(A198,'Requirement Overview'!C:C,'Requirement Overview'!E:E))</f>
        <v>Talme</v>
      </c>
      <c r="E198" s="702" t="str">
        <f>IF(ISBLANK(A198),"",_xlfn.XLOOKUP(A198,'Requirement Overview'!C:C,'Requirement Overview'!H:H))</f>
        <v>IT</v>
      </c>
      <c r="F198" s="702" t="str">
        <f>IF(ISBLANK(A198),"",_xlfn.XLOOKUP(A198,'Requirement Overview'!C:C,'Requirement Overview'!I:I))</f>
        <v>HR Recruiter</v>
      </c>
      <c r="G198" s="702" t="str">
        <f>IF(ISBLANK(A198),"",_xlfn.XLOOKUP(A198,'Requirement Overview'!C:C,'Requirement Overview'!G:G))</f>
        <v xml:space="preserve">Talme </v>
      </c>
      <c r="H198" s="470" t="s">
        <v>1073</v>
      </c>
      <c r="I198" s="702" t="s">
        <v>316</v>
      </c>
      <c r="J198" s="478" t="s">
        <v>1074</v>
      </c>
      <c r="K198" s="702">
        <v>7338033489</v>
      </c>
      <c r="L198" s="702" t="s">
        <v>290</v>
      </c>
      <c r="M198" s="702" t="s">
        <v>573</v>
      </c>
      <c r="N198" s="496" t="s">
        <v>574</v>
      </c>
      <c r="O198" s="702" t="s">
        <v>574</v>
      </c>
      <c r="P198" s="702" t="s">
        <v>268</v>
      </c>
      <c r="Q198" s="702" t="s">
        <v>268</v>
      </c>
      <c r="R198" s="702" t="s">
        <v>339</v>
      </c>
      <c r="S198" s="702" t="s">
        <v>270</v>
      </c>
      <c r="T198" s="702" t="s">
        <v>271</v>
      </c>
      <c r="U198" s="703">
        <v>46031</v>
      </c>
      <c r="V198" s="703">
        <v>46031</v>
      </c>
      <c r="W198" s="702"/>
      <c r="X198" s="702"/>
      <c r="Y198" s="702"/>
      <c r="Z198" s="702"/>
      <c r="AA198" s="702"/>
      <c r="AB198" s="702"/>
      <c r="AC198" s="702"/>
      <c r="AD198" s="702"/>
      <c r="AE198" s="46"/>
    </row>
    <row r="199" spans="1:31" ht="14.45">
      <c r="A199" s="702" t="s">
        <v>90</v>
      </c>
      <c r="B199" s="702" t="s">
        <v>258</v>
      </c>
      <c r="C199" s="476" t="str">
        <f>IF(ISBLANK(B199),"",_xlfn.XLOOKUP(B199,Recruiter!A:A,Recruiter!B:B))</f>
        <v>Bhoomika</v>
      </c>
      <c r="D199" s="476" t="str">
        <f>IF(ISBLANK(A199),"",_xlfn.XLOOKUP(A199,'Requirement Overview'!C:C,'Requirement Overview'!E:E))</f>
        <v>Talme</v>
      </c>
      <c r="E199" s="702" t="str">
        <f>IF(ISBLANK(A199),"",_xlfn.XLOOKUP(A199,'Requirement Overview'!C:C,'Requirement Overview'!H:H))</f>
        <v>IT</v>
      </c>
      <c r="F199" s="702" t="str">
        <f>IF(ISBLANK(A199),"",_xlfn.XLOOKUP(A199,'Requirement Overview'!C:C,'Requirement Overview'!I:I))</f>
        <v>HR Recruiter</v>
      </c>
      <c r="G199" s="702" t="str">
        <f>IF(ISBLANK(A199),"",_xlfn.XLOOKUP(A199,'Requirement Overview'!C:C,'Requirement Overview'!G:G))</f>
        <v xml:space="preserve">Talme </v>
      </c>
      <c r="H199" s="470" t="s">
        <v>1075</v>
      </c>
      <c r="I199" s="702" t="s">
        <v>316</v>
      </c>
      <c r="J199" s="476"/>
      <c r="K199" s="702">
        <v>6361997680</v>
      </c>
      <c r="L199" s="702"/>
      <c r="M199" s="702" t="s">
        <v>573</v>
      </c>
      <c r="N199" s="496" t="s">
        <v>574</v>
      </c>
      <c r="O199" s="702" t="s">
        <v>574</v>
      </c>
      <c r="P199" s="702" t="s">
        <v>1076</v>
      </c>
      <c r="Q199" s="702" t="s">
        <v>294</v>
      </c>
      <c r="R199" s="702" t="s">
        <v>623</v>
      </c>
      <c r="S199" s="702" t="s">
        <v>270</v>
      </c>
      <c r="T199" s="702" t="s">
        <v>271</v>
      </c>
      <c r="U199" s="703">
        <v>46035</v>
      </c>
      <c r="V199" s="703">
        <v>46035</v>
      </c>
      <c r="W199" s="702"/>
      <c r="X199" s="702"/>
      <c r="Y199" s="702"/>
      <c r="Z199" s="702"/>
      <c r="AA199" s="702"/>
      <c r="AB199" s="702"/>
      <c r="AC199" s="702"/>
      <c r="AD199" s="702"/>
      <c r="AE199" s="46"/>
    </row>
    <row r="200" spans="1:31" ht="14.45">
      <c r="A200" s="702" t="s">
        <v>90</v>
      </c>
      <c r="B200" s="702" t="s">
        <v>258</v>
      </c>
      <c r="C200" s="476" t="str">
        <f>IF(ISBLANK(B200),"",_xlfn.XLOOKUP(B200,Recruiter!A:A,Recruiter!B:B))</f>
        <v>Bhoomika</v>
      </c>
      <c r="D200" s="476" t="str">
        <f>IF(ISBLANK(A200),"",_xlfn.XLOOKUP(A200,'Requirement Overview'!C:C,'Requirement Overview'!E:E))</f>
        <v>Talme</v>
      </c>
      <c r="E200" s="702" t="str">
        <f>IF(ISBLANK(A200),"",_xlfn.XLOOKUP(A200,'Requirement Overview'!C:C,'Requirement Overview'!H:H))</f>
        <v>IT</v>
      </c>
      <c r="F200" s="702" t="str">
        <f>IF(ISBLANK(A200),"",_xlfn.XLOOKUP(A200,'Requirement Overview'!C:C,'Requirement Overview'!I:I))</f>
        <v>HR Recruiter</v>
      </c>
      <c r="G200" s="702" t="str">
        <f>IF(ISBLANK(A200),"",_xlfn.XLOOKUP(A200,'Requirement Overview'!C:C,'Requirement Overview'!G:G))</f>
        <v xml:space="preserve">Talme </v>
      </c>
      <c r="H200" s="470" t="s">
        <v>1077</v>
      </c>
      <c r="I200" s="702" t="s">
        <v>316</v>
      </c>
      <c r="J200" s="476"/>
      <c r="K200" s="702">
        <v>8105456871</v>
      </c>
      <c r="L200" s="702"/>
      <c r="M200" s="702" t="s">
        <v>573</v>
      </c>
      <c r="N200" s="496" t="s">
        <v>574</v>
      </c>
      <c r="O200" s="702" t="s">
        <v>574</v>
      </c>
      <c r="P200" s="702" t="s">
        <v>1078</v>
      </c>
      <c r="Q200" s="702" t="s">
        <v>294</v>
      </c>
      <c r="R200" s="702" t="s">
        <v>623</v>
      </c>
      <c r="S200" s="702" t="s">
        <v>270</v>
      </c>
      <c r="T200" s="702" t="s">
        <v>271</v>
      </c>
      <c r="U200" s="703">
        <v>46035</v>
      </c>
      <c r="V200" s="703">
        <v>46035</v>
      </c>
      <c r="W200" s="702"/>
      <c r="X200" s="702"/>
      <c r="Y200" s="702"/>
      <c r="Z200" s="702"/>
      <c r="AA200" s="702"/>
      <c r="AB200" s="702"/>
      <c r="AC200" s="702"/>
      <c r="AD200" s="702"/>
      <c r="AE200" s="46"/>
    </row>
    <row r="201" spans="1:31" ht="14.45">
      <c r="A201" s="702" t="s">
        <v>90</v>
      </c>
      <c r="B201" s="702" t="s">
        <v>258</v>
      </c>
      <c r="C201" s="476" t="str">
        <f>IF(ISBLANK(B201),"",_xlfn.XLOOKUP(B201,Recruiter!A:A,Recruiter!B:B))</f>
        <v>Bhoomika</v>
      </c>
      <c r="D201" s="476" t="str">
        <f>IF(ISBLANK(A201),"",_xlfn.XLOOKUP(A201,'Requirement Overview'!C:C,'Requirement Overview'!E:E))</f>
        <v>Talme</v>
      </c>
      <c r="E201" s="702" t="str">
        <f>IF(ISBLANK(A201),"",_xlfn.XLOOKUP(A201,'Requirement Overview'!C:C,'Requirement Overview'!H:H))</f>
        <v>IT</v>
      </c>
      <c r="F201" s="702" t="str">
        <f>IF(ISBLANK(A201),"",_xlfn.XLOOKUP(A201,'Requirement Overview'!C:C,'Requirement Overview'!I:I))</f>
        <v>HR Recruiter</v>
      </c>
      <c r="G201" s="702" t="str">
        <f>IF(ISBLANK(A201),"",_xlfn.XLOOKUP(A201,'Requirement Overview'!C:C,'Requirement Overview'!G:G))</f>
        <v xml:space="preserve">Talme </v>
      </c>
      <c r="H201" s="470" t="s">
        <v>1079</v>
      </c>
      <c r="I201" s="702" t="s">
        <v>316</v>
      </c>
      <c r="J201" s="476"/>
      <c r="K201" s="702">
        <v>7899313051</v>
      </c>
      <c r="L201" s="702"/>
      <c r="M201" s="702" t="s">
        <v>573</v>
      </c>
      <c r="N201" s="496" t="s">
        <v>574</v>
      </c>
      <c r="O201" s="702" t="s">
        <v>574</v>
      </c>
      <c r="P201" s="702" t="s">
        <v>294</v>
      </c>
      <c r="Q201" s="702" t="s">
        <v>294</v>
      </c>
      <c r="R201" s="702" t="s">
        <v>623</v>
      </c>
      <c r="S201" s="702" t="s">
        <v>270</v>
      </c>
      <c r="T201" s="702" t="s">
        <v>271</v>
      </c>
      <c r="U201" s="703">
        <v>46035</v>
      </c>
      <c r="V201" s="703">
        <v>46035</v>
      </c>
      <c r="W201" s="702"/>
      <c r="X201" s="702"/>
      <c r="Y201" s="702"/>
      <c r="Z201" s="702"/>
      <c r="AA201" s="702"/>
      <c r="AB201" s="702"/>
      <c r="AC201" s="702"/>
      <c r="AD201" s="702"/>
      <c r="AE201" s="46"/>
    </row>
    <row r="202" spans="1:31" ht="14.45">
      <c r="A202" s="702" t="s">
        <v>90</v>
      </c>
      <c r="B202" s="702" t="s">
        <v>258</v>
      </c>
      <c r="C202" s="476" t="str">
        <f>IF(ISBLANK(B202),"",_xlfn.XLOOKUP(B202,Recruiter!A:A,Recruiter!B:B))</f>
        <v>Bhoomika</v>
      </c>
      <c r="D202" s="476" t="str">
        <f>IF(ISBLANK(A202),"",_xlfn.XLOOKUP(A202,'Requirement Overview'!C:C,'Requirement Overview'!E:E))</f>
        <v>Talme</v>
      </c>
      <c r="E202" s="702" t="str">
        <f>IF(ISBLANK(A202),"",_xlfn.XLOOKUP(A202,'Requirement Overview'!C:C,'Requirement Overview'!H:H))</f>
        <v>IT</v>
      </c>
      <c r="F202" s="702" t="str">
        <f>IF(ISBLANK(A202),"",_xlfn.XLOOKUP(A202,'Requirement Overview'!C:C,'Requirement Overview'!I:I))</f>
        <v>HR Recruiter</v>
      </c>
      <c r="G202" s="702" t="str">
        <f>IF(ISBLANK(A202),"",_xlfn.XLOOKUP(A202,'Requirement Overview'!C:C,'Requirement Overview'!G:G))</f>
        <v xml:space="preserve">Talme </v>
      </c>
      <c r="H202" s="470" t="s">
        <v>1080</v>
      </c>
      <c r="I202" s="702" t="s">
        <v>316</v>
      </c>
      <c r="J202" s="476"/>
      <c r="K202" s="702">
        <v>9353011767</v>
      </c>
      <c r="L202" s="702"/>
      <c r="M202" s="702" t="s">
        <v>573</v>
      </c>
      <c r="N202" s="496" t="s">
        <v>574</v>
      </c>
      <c r="O202" s="702" t="s">
        <v>574</v>
      </c>
      <c r="P202" s="702" t="s">
        <v>1081</v>
      </c>
      <c r="Q202" s="702" t="s">
        <v>294</v>
      </c>
      <c r="R202" s="702" t="s">
        <v>623</v>
      </c>
      <c r="S202" s="702" t="s">
        <v>270</v>
      </c>
      <c r="T202" s="702" t="s">
        <v>271</v>
      </c>
      <c r="U202" s="703">
        <v>46035</v>
      </c>
      <c r="V202" s="703">
        <v>46035</v>
      </c>
      <c r="W202" s="702"/>
      <c r="X202" s="702"/>
      <c r="Y202" s="702"/>
      <c r="Z202" s="702"/>
      <c r="AA202" s="702"/>
      <c r="AB202" s="702"/>
      <c r="AC202" s="702"/>
      <c r="AD202" s="702"/>
      <c r="AE202" s="46"/>
    </row>
    <row r="203" spans="1:31" ht="15.6">
      <c r="A203" s="702" t="s">
        <v>64</v>
      </c>
      <c r="B203" s="702" t="s">
        <v>258</v>
      </c>
      <c r="C203" s="476" t="str">
        <f>IF(ISBLANK(B203),"",_xlfn.XLOOKUP(B203,Recruiter!A:A,Recruiter!B:B))</f>
        <v>Bhoomika</v>
      </c>
      <c r="D203" s="476" t="str">
        <f>IF(ISBLANK(A203),"",_xlfn.XLOOKUP(A203,'Requirement Overview'!C:C,'Requirement Overview'!E:E))</f>
        <v>Talme</v>
      </c>
      <c r="E203" s="702" t="str">
        <f>IF(ISBLANK(A203),"",_xlfn.XLOOKUP(A203,'Requirement Overview'!C:C,'Requirement Overview'!H:H))</f>
        <v>Non - IT</v>
      </c>
      <c r="F203" s="702" t="s">
        <v>65</v>
      </c>
      <c r="G203" s="702" t="s">
        <v>62</v>
      </c>
      <c r="H203" s="470" t="s">
        <v>1082</v>
      </c>
      <c r="I203" s="702" t="s">
        <v>316</v>
      </c>
      <c r="J203" s="504" t="s">
        <v>1083</v>
      </c>
      <c r="K203" s="472">
        <v>8884053360</v>
      </c>
      <c r="L203" s="702" t="s">
        <v>330</v>
      </c>
      <c r="M203" s="702" t="s">
        <v>390</v>
      </c>
      <c r="N203" s="496" t="s">
        <v>1084</v>
      </c>
      <c r="O203" s="702" t="s">
        <v>589</v>
      </c>
      <c r="P203" s="702" t="s">
        <v>294</v>
      </c>
      <c r="Q203" s="702" t="s">
        <v>294</v>
      </c>
      <c r="R203" s="706" t="s">
        <v>308</v>
      </c>
      <c r="S203" s="702" t="s">
        <v>270</v>
      </c>
      <c r="T203" s="702" t="s">
        <v>103</v>
      </c>
      <c r="U203" s="703">
        <v>46041</v>
      </c>
      <c r="V203" s="703">
        <v>46041</v>
      </c>
      <c r="W203" s="702"/>
      <c r="X203" s="702"/>
      <c r="Y203" s="702"/>
      <c r="Z203" s="702"/>
      <c r="AA203" s="702"/>
      <c r="AB203" s="702"/>
      <c r="AC203" s="702"/>
      <c r="AD203" s="702"/>
      <c r="AE203" s="46"/>
    </row>
    <row r="204" spans="1:31" ht="14.45">
      <c r="A204" s="702" t="s">
        <v>64</v>
      </c>
      <c r="B204" s="702" t="s">
        <v>258</v>
      </c>
      <c r="C204" s="476" t="str">
        <f>IF(ISBLANK(B204),"",_xlfn.XLOOKUP(B204,Recruiter!A:A,Recruiter!B:B))</f>
        <v>Bhoomika</v>
      </c>
      <c r="D204" s="476" t="str">
        <f>IF(ISBLANK(A204),"",_xlfn.XLOOKUP(A204,'Requirement Overview'!C:C,'Requirement Overview'!E:E))</f>
        <v>Talme</v>
      </c>
      <c r="E204" s="702" t="str">
        <f>IF(ISBLANK(A204),"",_xlfn.XLOOKUP(A204,'Requirement Overview'!C:C,'Requirement Overview'!H:H))</f>
        <v>Non - IT</v>
      </c>
      <c r="F204" s="702" t="s">
        <v>65</v>
      </c>
      <c r="G204" s="702" t="s">
        <v>62</v>
      </c>
      <c r="H204" s="470" t="s">
        <v>1085</v>
      </c>
      <c r="I204" s="702" t="s">
        <v>316</v>
      </c>
      <c r="J204" s="478" t="s">
        <v>1086</v>
      </c>
      <c r="K204" s="702">
        <v>7795705807</v>
      </c>
      <c r="L204" s="702" t="s">
        <v>290</v>
      </c>
      <c r="M204" s="702" t="s">
        <v>365</v>
      </c>
      <c r="N204" s="496" t="s">
        <v>1087</v>
      </c>
      <c r="O204" s="702" t="s">
        <v>589</v>
      </c>
      <c r="P204" s="702" t="s">
        <v>294</v>
      </c>
      <c r="Q204" s="702" t="s">
        <v>294</v>
      </c>
      <c r="R204" s="702" t="s">
        <v>623</v>
      </c>
      <c r="S204" s="702" t="s">
        <v>270</v>
      </c>
      <c r="T204" s="702" t="s">
        <v>103</v>
      </c>
      <c r="U204" s="703">
        <v>46039</v>
      </c>
      <c r="V204" s="703">
        <v>46039</v>
      </c>
      <c r="W204" s="702"/>
      <c r="X204" s="702"/>
      <c r="Y204" s="702"/>
      <c r="Z204" s="702"/>
      <c r="AA204" s="702"/>
      <c r="AB204" s="702"/>
      <c r="AC204" s="702"/>
      <c r="AD204" s="702"/>
      <c r="AE204" s="46"/>
    </row>
    <row r="205" spans="1:31" ht="15.6">
      <c r="A205" s="702" t="s">
        <v>64</v>
      </c>
      <c r="B205" s="702" t="s">
        <v>258</v>
      </c>
      <c r="C205" s="476" t="str">
        <f>IF(ISBLANK(B205),"",_xlfn.XLOOKUP(B205,Recruiter!A:A,Recruiter!B:B))</f>
        <v>Bhoomika</v>
      </c>
      <c r="D205" s="476" t="str">
        <f>IF(ISBLANK(A205),"",_xlfn.XLOOKUP(A205,'Requirement Overview'!C:C,'Requirement Overview'!E:E))</f>
        <v>Talme</v>
      </c>
      <c r="E205" s="702" t="str">
        <f>IF(ISBLANK(A205),"",_xlfn.XLOOKUP(A205,'Requirement Overview'!C:C,'Requirement Overview'!H:H))</f>
        <v>Non - IT</v>
      </c>
      <c r="F205" s="702" t="s">
        <v>65</v>
      </c>
      <c r="G205" s="702" t="s">
        <v>62</v>
      </c>
      <c r="H205" s="470" t="s">
        <v>1088</v>
      </c>
      <c r="I205" s="702" t="s">
        <v>1089</v>
      </c>
      <c r="J205" s="504" t="s">
        <v>1090</v>
      </c>
      <c r="K205" s="702">
        <v>8618204284</v>
      </c>
      <c r="L205" s="702" t="s">
        <v>311</v>
      </c>
      <c r="M205" s="702" t="s">
        <v>379</v>
      </c>
      <c r="N205" s="496" t="s">
        <v>1091</v>
      </c>
      <c r="O205" s="702" t="s">
        <v>373</v>
      </c>
      <c r="P205" s="702" t="s">
        <v>294</v>
      </c>
      <c r="Q205" s="702" t="s">
        <v>294</v>
      </c>
      <c r="R205" s="702" t="s">
        <v>540</v>
      </c>
      <c r="S205" s="702" t="s">
        <v>270</v>
      </c>
      <c r="T205" s="702" t="s">
        <v>103</v>
      </c>
      <c r="U205" s="703">
        <v>46038</v>
      </c>
      <c r="V205" s="703">
        <v>46038</v>
      </c>
      <c r="W205" s="702"/>
      <c r="X205" s="702"/>
      <c r="Y205" s="702"/>
      <c r="Z205" s="702"/>
      <c r="AA205" s="702"/>
      <c r="AB205" s="702"/>
      <c r="AC205" s="702"/>
      <c r="AD205" s="702"/>
      <c r="AE205" s="46"/>
    </row>
    <row r="206" spans="1:31" ht="15.6">
      <c r="A206" s="702" t="s">
        <v>64</v>
      </c>
      <c r="B206" s="702" t="s">
        <v>258</v>
      </c>
      <c r="C206" s="476" t="str">
        <f>IF(ISBLANK(B206),"",_xlfn.XLOOKUP(B206,Recruiter!A:A,Recruiter!B:B))</f>
        <v>Bhoomika</v>
      </c>
      <c r="D206" s="476" t="str">
        <f>IF(ISBLANK(A206),"",_xlfn.XLOOKUP(A206,'Requirement Overview'!C:C,'Requirement Overview'!E:E))</f>
        <v>Talme</v>
      </c>
      <c r="E206" s="702" t="str">
        <f>IF(ISBLANK(A206),"",_xlfn.XLOOKUP(A206,'Requirement Overview'!C:C,'Requirement Overview'!H:H))</f>
        <v>Non - IT</v>
      </c>
      <c r="F206" s="702" t="s">
        <v>65</v>
      </c>
      <c r="G206" s="702" t="s">
        <v>62</v>
      </c>
      <c r="H206" s="470" t="s">
        <v>1092</v>
      </c>
      <c r="I206" s="702" t="s">
        <v>262</v>
      </c>
      <c r="J206" s="504" t="s">
        <v>1093</v>
      </c>
      <c r="K206" s="702">
        <v>8217012180</v>
      </c>
      <c r="L206" s="702" t="s">
        <v>330</v>
      </c>
      <c r="M206" s="702" t="s">
        <v>365</v>
      </c>
      <c r="N206" s="496" t="s">
        <v>1094</v>
      </c>
      <c r="O206" s="702" t="s">
        <v>1095</v>
      </c>
      <c r="P206" s="702" t="s">
        <v>294</v>
      </c>
      <c r="Q206" s="702" t="s">
        <v>294</v>
      </c>
      <c r="R206" s="706" t="s">
        <v>386</v>
      </c>
      <c r="S206" s="702" t="s">
        <v>270</v>
      </c>
      <c r="T206" s="702" t="s">
        <v>103</v>
      </c>
      <c r="U206" s="703">
        <v>46038</v>
      </c>
      <c r="V206" s="703">
        <v>46038</v>
      </c>
      <c r="W206" s="702"/>
      <c r="X206" s="702"/>
      <c r="Y206" s="702"/>
      <c r="Z206" s="702"/>
      <c r="AA206" s="702"/>
      <c r="AB206" s="702"/>
      <c r="AC206" s="702"/>
      <c r="AD206" s="702"/>
      <c r="AE206" s="46"/>
    </row>
    <row r="207" spans="1:31" ht="15.6">
      <c r="A207" s="702" t="s">
        <v>64</v>
      </c>
      <c r="B207" s="702" t="s">
        <v>258</v>
      </c>
      <c r="C207" s="476" t="str">
        <f>IF(ISBLANK(B207),"",_xlfn.XLOOKUP(B207,Recruiter!A:A,Recruiter!B:B))</f>
        <v>Bhoomika</v>
      </c>
      <c r="D207" s="476" t="str">
        <f>IF(ISBLANK(A207),"",_xlfn.XLOOKUP(A207,'Requirement Overview'!C:C,'Requirement Overview'!E:E))</f>
        <v>Talme</v>
      </c>
      <c r="E207" s="702" t="str">
        <f>IF(ISBLANK(A207),"",_xlfn.XLOOKUP(A207,'Requirement Overview'!C:C,'Requirement Overview'!H:H))</f>
        <v>Non - IT</v>
      </c>
      <c r="F207" s="702" t="s">
        <v>65</v>
      </c>
      <c r="G207" s="702" t="s">
        <v>62</v>
      </c>
      <c r="H207" s="470" t="s">
        <v>1096</v>
      </c>
      <c r="I207" s="702" t="s">
        <v>497</v>
      </c>
      <c r="J207" s="504" t="s">
        <v>1097</v>
      </c>
      <c r="K207" s="702">
        <v>9880060094</v>
      </c>
      <c r="L207" s="702" t="s">
        <v>1098</v>
      </c>
      <c r="M207" s="702" t="s">
        <v>351</v>
      </c>
      <c r="N207" s="496" t="s">
        <v>1099</v>
      </c>
      <c r="O207" s="702" t="s">
        <v>589</v>
      </c>
      <c r="P207" s="702" t="s">
        <v>294</v>
      </c>
      <c r="Q207" s="702" t="s">
        <v>294</v>
      </c>
      <c r="R207" s="702" t="s">
        <v>623</v>
      </c>
      <c r="S207" s="702" t="s">
        <v>270</v>
      </c>
      <c r="T207" s="702" t="s">
        <v>103</v>
      </c>
      <c r="U207" s="703">
        <v>46038</v>
      </c>
      <c r="V207" s="703">
        <v>46038</v>
      </c>
      <c r="W207" s="702"/>
      <c r="X207" s="702"/>
      <c r="Y207" s="702"/>
      <c r="Z207" s="702"/>
      <c r="AA207" s="702"/>
      <c r="AB207" s="702"/>
      <c r="AC207" s="702"/>
      <c r="AD207" s="702"/>
      <c r="AE207" s="46"/>
    </row>
    <row r="208" spans="1:31" ht="14.45">
      <c r="A208" s="702" t="s">
        <v>70</v>
      </c>
      <c r="B208" s="702" t="s">
        <v>258</v>
      </c>
      <c r="C208" s="476" t="str">
        <f>IF(ISBLANK(B208),"",_xlfn.XLOOKUP(B208,Recruiter!A:A,Recruiter!B:B))</f>
        <v>Bhoomika</v>
      </c>
      <c r="D208" s="476" t="str">
        <f>IF(ISBLANK(A208),"",_xlfn.XLOOKUP(A208,'Requirement Overview'!C:C,'Requirement Overview'!E:E))</f>
        <v>Talme</v>
      </c>
      <c r="E208" s="702" t="str">
        <f>IF(ISBLANK(A208),"",_xlfn.XLOOKUP(A208,'Requirement Overview'!C:C,'Requirement Overview'!H:H))</f>
        <v>Non - IT</v>
      </c>
      <c r="F208" s="702" t="s">
        <v>71</v>
      </c>
      <c r="G208" s="702" t="s">
        <v>62</v>
      </c>
      <c r="H208" s="470" t="s">
        <v>1100</v>
      </c>
      <c r="I208" s="702" t="s">
        <v>262</v>
      </c>
      <c r="J208" s="502" t="s">
        <v>1101</v>
      </c>
      <c r="K208" s="702">
        <v>9741906750</v>
      </c>
      <c r="L208" s="702" t="s">
        <v>290</v>
      </c>
      <c r="M208" s="702" t="s">
        <v>395</v>
      </c>
      <c r="N208" s="496" t="s">
        <v>1102</v>
      </c>
      <c r="O208" s="702" t="s">
        <v>1103</v>
      </c>
      <c r="P208" s="702" t="s">
        <v>294</v>
      </c>
      <c r="Q208" s="702" t="s">
        <v>294</v>
      </c>
      <c r="R208" s="702" t="s">
        <v>407</v>
      </c>
      <c r="S208" s="702" t="s">
        <v>270</v>
      </c>
      <c r="T208" s="702" t="s">
        <v>103</v>
      </c>
      <c r="U208" s="703">
        <v>46041</v>
      </c>
      <c r="V208" s="703">
        <v>46041</v>
      </c>
      <c r="W208" s="702"/>
      <c r="X208" s="702"/>
      <c r="Y208" s="702"/>
      <c r="Z208" s="702"/>
      <c r="AA208" s="702"/>
      <c r="AB208" s="702"/>
      <c r="AC208" s="702"/>
      <c r="AD208" s="702"/>
      <c r="AE208" s="46"/>
    </row>
    <row r="209" spans="1:31" ht="14.45">
      <c r="A209" s="702" t="s">
        <v>70</v>
      </c>
      <c r="B209" s="702" t="s">
        <v>258</v>
      </c>
      <c r="C209" s="476" t="str">
        <f>IF(ISBLANK(B209),"",_xlfn.XLOOKUP(B209,Recruiter!A:A,Recruiter!B:B))</f>
        <v>Bhoomika</v>
      </c>
      <c r="D209" s="476" t="str">
        <f>IF(ISBLANK(A209),"",_xlfn.XLOOKUP(A209,'Requirement Overview'!C:C,'Requirement Overview'!E:E))</f>
        <v>Talme</v>
      </c>
      <c r="E209" s="702" t="str">
        <f>IF(ISBLANK(A209),"",_xlfn.XLOOKUP(A209,'Requirement Overview'!C:C,'Requirement Overview'!H:H))</f>
        <v>Non - IT</v>
      </c>
      <c r="F209" s="702" t="s">
        <v>71</v>
      </c>
      <c r="G209" s="702" t="s">
        <v>62</v>
      </c>
      <c r="H209" s="470" t="s">
        <v>1104</v>
      </c>
      <c r="I209" s="702" t="s">
        <v>316</v>
      </c>
      <c r="J209" s="502" t="s">
        <v>1105</v>
      </c>
      <c r="K209" s="702">
        <v>9900775270</v>
      </c>
      <c r="L209" s="702" t="s">
        <v>290</v>
      </c>
      <c r="M209" s="702" t="s">
        <v>279</v>
      </c>
      <c r="N209" s="496" t="s">
        <v>1106</v>
      </c>
      <c r="O209" s="702" t="s">
        <v>368</v>
      </c>
      <c r="P209" s="702" t="s">
        <v>294</v>
      </c>
      <c r="Q209" s="702" t="s">
        <v>294</v>
      </c>
      <c r="R209" s="702" t="s">
        <v>374</v>
      </c>
      <c r="S209" s="702" t="s">
        <v>270</v>
      </c>
      <c r="T209" s="702" t="s">
        <v>103</v>
      </c>
      <c r="U209" s="703">
        <v>46041</v>
      </c>
      <c r="V209" s="703">
        <v>46041</v>
      </c>
      <c r="W209" s="702"/>
      <c r="X209" s="702"/>
      <c r="Y209" s="702"/>
      <c r="Z209" s="702"/>
      <c r="AA209" s="702"/>
      <c r="AB209" s="702"/>
      <c r="AC209" s="702"/>
      <c r="AD209" s="702"/>
      <c r="AE209" s="46"/>
    </row>
    <row r="210" spans="1:31" ht="14.45">
      <c r="A210" s="702" t="s">
        <v>70</v>
      </c>
      <c r="B210" s="702" t="s">
        <v>258</v>
      </c>
      <c r="C210" s="476" t="str">
        <f>IF(ISBLANK(B210),"",_xlfn.XLOOKUP(B210,Recruiter!A:A,Recruiter!B:B))</f>
        <v>Bhoomika</v>
      </c>
      <c r="D210" s="476" t="str">
        <f>IF(ISBLANK(A210),"",_xlfn.XLOOKUP(A210,'Requirement Overview'!C:C,'Requirement Overview'!E:E))</f>
        <v>Talme</v>
      </c>
      <c r="E210" s="702" t="str">
        <f>IF(ISBLANK(A210),"",_xlfn.XLOOKUP(A210,'Requirement Overview'!C:C,'Requirement Overview'!H:H))</f>
        <v>Non - IT</v>
      </c>
      <c r="F210" s="702" t="s">
        <v>71</v>
      </c>
      <c r="G210" s="702" t="s">
        <v>62</v>
      </c>
      <c r="H210" s="470" t="s">
        <v>1107</v>
      </c>
      <c r="I210" s="702" t="s">
        <v>316</v>
      </c>
      <c r="J210" s="502" t="s">
        <v>1108</v>
      </c>
      <c r="K210" s="702">
        <v>9071080239</v>
      </c>
      <c r="L210" s="702" t="s">
        <v>311</v>
      </c>
      <c r="M210" s="702" t="s">
        <v>279</v>
      </c>
      <c r="N210" s="496" t="s">
        <v>1109</v>
      </c>
      <c r="O210" s="702" t="s">
        <v>368</v>
      </c>
      <c r="P210" s="702" t="s">
        <v>294</v>
      </c>
      <c r="Q210" s="702" t="s">
        <v>294</v>
      </c>
      <c r="R210" s="702" t="s">
        <v>374</v>
      </c>
      <c r="S210" s="702" t="s">
        <v>270</v>
      </c>
      <c r="T210" s="702" t="s">
        <v>103</v>
      </c>
      <c r="U210" s="703">
        <v>46041</v>
      </c>
      <c r="V210" s="703">
        <v>46041</v>
      </c>
      <c r="W210" s="702"/>
      <c r="X210" s="702"/>
      <c r="Y210" s="702"/>
      <c r="Z210" s="702"/>
      <c r="AA210" s="702"/>
      <c r="AB210" s="702"/>
      <c r="AC210" s="702"/>
      <c r="AD210" s="702"/>
      <c r="AE210" s="46"/>
    </row>
    <row r="211" spans="1:31" ht="15.6">
      <c r="A211" s="702" t="s">
        <v>70</v>
      </c>
      <c r="B211" s="702" t="s">
        <v>258</v>
      </c>
      <c r="C211" s="476" t="str">
        <f>IF(ISBLANK(B211),"",_xlfn.XLOOKUP(B211,Recruiter!A:A,Recruiter!B:B))</f>
        <v>Bhoomika</v>
      </c>
      <c r="D211" s="476" t="str">
        <f>IF(ISBLANK(A211),"",_xlfn.XLOOKUP(A211,'Requirement Overview'!C:C,'Requirement Overview'!E:E))</f>
        <v>Talme</v>
      </c>
      <c r="E211" s="702" t="str">
        <f>IF(ISBLANK(A211),"",_xlfn.XLOOKUP(A211,'Requirement Overview'!C:C,'Requirement Overview'!H:H))</f>
        <v>Non - IT</v>
      </c>
      <c r="F211" s="702" t="s">
        <v>71</v>
      </c>
      <c r="G211" s="702" t="s">
        <v>62</v>
      </c>
      <c r="H211" s="470" t="s">
        <v>1110</v>
      </c>
      <c r="I211" s="702" t="s">
        <v>262</v>
      </c>
      <c r="J211" s="504" t="s">
        <v>1111</v>
      </c>
      <c r="K211" s="472">
        <v>7899580061</v>
      </c>
      <c r="L211" s="702" t="s">
        <v>794</v>
      </c>
      <c r="M211" s="702" t="s">
        <v>306</v>
      </c>
      <c r="N211" s="496" t="s">
        <v>948</v>
      </c>
      <c r="O211" s="702" t="s">
        <v>1103</v>
      </c>
      <c r="P211" s="702" t="s">
        <v>294</v>
      </c>
      <c r="Q211" s="702" t="s">
        <v>294</v>
      </c>
      <c r="R211" s="702" t="s">
        <v>368</v>
      </c>
      <c r="S211" s="702" t="s">
        <v>601</v>
      </c>
      <c r="T211" s="702" t="s">
        <v>271</v>
      </c>
      <c r="U211" s="703">
        <v>46041</v>
      </c>
      <c r="V211" s="703">
        <v>46041</v>
      </c>
      <c r="W211" s="702" t="s">
        <v>1112</v>
      </c>
      <c r="X211" s="702"/>
      <c r="Y211" s="702"/>
      <c r="Z211" s="702"/>
      <c r="AA211" s="702"/>
      <c r="AB211" s="702"/>
      <c r="AC211" s="702"/>
      <c r="AD211" s="702"/>
      <c r="AE211" s="46"/>
    </row>
    <row r="212" spans="1:31" ht="15.6">
      <c r="A212" s="702" t="s">
        <v>70</v>
      </c>
      <c r="B212" s="702" t="s">
        <v>258</v>
      </c>
      <c r="C212" s="476" t="str">
        <f>IF(ISBLANK(B212),"",_xlfn.XLOOKUP(B212,Recruiter!A:A,Recruiter!B:B))</f>
        <v>Bhoomika</v>
      </c>
      <c r="D212" s="476" t="str">
        <f>IF(ISBLANK(A212),"",_xlfn.XLOOKUP(A212,'Requirement Overview'!C:C,'Requirement Overview'!E:E))</f>
        <v>Talme</v>
      </c>
      <c r="E212" s="702" t="str">
        <f>IF(ISBLANK(A212),"",_xlfn.XLOOKUP(A212,'Requirement Overview'!C:C,'Requirement Overview'!H:H))</f>
        <v>Non - IT</v>
      </c>
      <c r="F212" s="702" t="s">
        <v>71</v>
      </c>
      <c r="G212" s="702" t="s">
        <v>62</v>
      </c>
      <c r="H212" s="470" t="s">
        <v>1113</v>
      </c>
      <c r="I212" s="702" t="s">
        <v>316</v>
      </c>
      <c r="J212" s="504" t="s">
        <v>1114</v>
      </c>
      <c r="K212" s="702">
        <v>9632406911</v>
      </c>
      <c r="L212" s="702" t="s">
        <v>290</v>
      </c>
      <c r="M212" s="702" t="s">
        <v>390</v>
      </c>
      <c r="N212" s="496" t="s">
        <v>1115</v>
      </c>
      <c r="O212" s="702" t="s">
        <v>407</v>
      </c>
      <c r="P212" s="702" t="s">
        <v>294</v>
      </c>
      <c r="Q212" s="702" t="s">
        <v>294</v>
      </c>
      <c r="R212" s="702" t="s">
        <v>374</v>
      </c>
      <c r="S212" s="702" t="s">
        <v>270</v>
      </c>
      <c r="T212" s="702" t="s">
        <v>103</v>
      </c>
      <c r="U212" s="703">
        <v>46036</v>
      </c>
      <c r="V212" s="703">
        <v>46036</v>
      </c>
      <c r="W212" s="702"/>
      <c r="X212" s="702"/>
      <c r="Y212" s="702"/>
      <c r="Z212" s="702"/>
      <c r="AA212" s="702"/>
      <c r="AB212" s="702"/>
      <c r="AC212" s="702"/>
      <c r="AD212" s="702"/>
      <c r="AE212" s="46"/>
    </row>
    <row r="213" spans="1:31" ht="15.6">
      <c r="A213" s="702" t="s">
        <v>70</v>
      </c>
      <c r="B213" s="702" t="s">
        <v>258</v>
      </c>
      <c r="C213" s="476" t="str">
        <f>IF(ISBLANK(B213),"",_xlfn.XLOOKUP(B213,Recruiter!A:A,Recruiter!B:B))</f>
        <v>Bhoomika</v>
      </c>
      <c r="D213" s="476" t="str">
        <f>IF(ISBLANK(A213),"",_xlfn.XLOOKUP(A213,'Requirement Overview'!C:C,'Requirement Overview'!E:E))</f>
        <v>Talme</v>
      </c>
      <c r="E213" s="702" t="str">
        <f>IF(ISBLANK(A213),"",_xlfn.XLOOKUP(A213,'Requirement Overview'!C:C,'Requirement Overview'!H:H))</f>
        <v>Non - IT</v>
      </c>
      <c r="F213" s="702" t="s">
        <v>71</v>
      </c>
      <c r="G213" s="702" t="s">
        <v>62</v>
      </c>
      <c r="H213" s="470" t="s">
        <v>1116</v>
      </c>
      <c r="I213" s="702" t="s">
        <v>618</v>
      </c>
      <c r="J213" s="504" t="s">
        <v>1117</v>
      </c>
      <c r="K213" s="702">
        <v>7483603634</v>
      </c>
      <c r="L213" s="702" t="s">
        <v>1098</v>
      </c>
      <c r="M213" s="702" t="s">
        <v>414</v>
      </c>
      <c r="N213" s="496" t="s">
        <v>1118</v>
      </c>
      <c r="O213" s="702" t="s">
        <v>1119</v>
      </c>
      <c r="P213" s="702" t="s">
        <v>268</v>
      </c>
      <c r="Q213" s="702" t="s">
        <v>268</v>
      </c>
      <c r="R213" s="702" t="s">
        <v>589</v>
      </c>
      <c r="S213" s="702" t="s">
        <v>270</v>
      </c>
      <c r="T213" s="702" t="s">
        <v>271</v>
      </c>
      <c r="U213" s="703">
        <v>46036</v>
      </c>
      <c r="V213" s="703">
        <v>46036</v>
      </c>
      <c r="W213" s="702"/>
      <c r="X213" s="702"/>
      <c r="Y213" s="702"/>
      <c r="Z213" s="702"/>
      <c r="AA213" s="702"/>
      <c r="AB213" s="702"/>
      <c r="AC213" s="702"/>
      <c r="AD213" s="702"/>
      <c r="AE213" s="46"/>
    </row>
    <row r="214" spans="1:31" ht="14.45">
      <c r="A214" s="47" t="s">
        <v>105</v>
      </c>
      <c r="B214" s="47" t="s">
        <v>520</v>
      </c>
      <c r="C214" s="47" t="str">
        <f>IF(ISBLANK(B214),"",_xlfn.XLOOKUP(B214,Recruiter!A:A,Recruiter!B:B))</f>
        <v>Narthana</v>
      </c>
      <c r="D214" s="47" t="str">
        <f>IF(ISBLANK(A214),"",_xlfn.XLOOKUP(A214,'Requirement Overview'!C:C,'Requirement Overview'!E:E))</f>
        <v>Talme</v>
      </c>
      <c r="E214" s="47" t="str">
        <f>IF(ISBLANK(A214),"",_xlfn.XLOOKUP(A214,'Requirement Overview'!C:C,'Requirement Overview'!H:H))</f>
        <v>IT</v>
      </c>
      <c r="F214" s="47" t="s">
        <v>106</v>
      </c>
      <c r="G214" s="255" t="s">
        <v>45</v>
      </c>
      <c r="H214" s="429" t="s">
        <v>1120</v>
      </c>
      <c r="I214" s="572" t="s">
        <v>1121</v>
      </c>
      <c r="J214" s="573" t="s">
        <v>1122</v>
      </c>
      <c r="K214" s="574">
        <v>8074217640</v>
      </c>
      <c r="L214" s="184" t="s">
        <v>404</v>
      </c>
      <c r="M214" s="574" t="s">
        <v>1123</v>
      </c>
      <c r="N214" s="432" t="s">
        <v>1124</v>
      </c>
      <c r="O214" s="47" t="s">
        <v>429</v>
      </c>
      <c r="P214" s="574" t="s">
        <v>879</v>
      </c>
      <c r="Q214" s="47" t="s">
        <v>879</v>
      </c>
      <c r="R214" s="47" t="s">
        <v>374</v>
      </c>
      <c r="S214" s="47" t="s">
        <v>518</v>
      </c>
      <c r="T214" s="47" t="s">
        <v>103</v>
      </c>
      <c r="U214" s="118">
        <v>46042</v>
      </c>
      <c r="V214" s="118">
        <v>46042</v>
      </c>
      <c r="W214" s="47"/>
      <c r="X214" s="47"/>
      <c r="Y214" s="47"/>
      <c r="Z214" s="47"/>
      <c r="AA214" s="47"/>
      <c r="AB214" s="47"/>
      <c r="AC214" s="47"/>
      <c r="AD214" s="47"/>
    </row>
    <row r="215" spans="1:31" ht="14.45">
      <c r="A215" s="24" t="s">
        <v>105</v>
      </c>
      <c r="B215" s="24" t="s">
        <v>520</v>
      </c>
      <c r="C215" s="24" t="str">
        <f>IF(ISBLANK(B215),"",_xlfn.XLOOKUP(B215,Recruiter!A:A,Recruiter!B:B))</f>
        <v>Narthana</v>
      </c>
      <c r="D215" s="24" t="str">
        <f>IF(ISBLANK(A215),"",_xlfn.XLOOKUP(A215,'Requirement Overview'!C:C,'Requirement Overview'!E:E))</f>
        <v>Talme</v>
      </c>
      <c r="E215" s="24" t="str">
        <f>IF(ISBLANK(A215),"",_xlfn.XLOOKUP(A215,'Requirement Overview'!C:C,'Requirement Overview'!H:H))</f>
        <v>IT</v>
      </c>
      <c r="F215" s="24" t="s">
        <v>106</v>
      </c>
      <c r="G215" s="58" t="s">
        <v>45</v>
      </c>
      <c r="H215" s="185" t="s">
        <v>1125</v>
      </c>
      <c r="I215" s="161" t="s">
        <v>1126</v>
      </c>
      <c r="J215" s="201" t="s">
        <v>1127</v>
      </c>
      <c r="K215" s="41">
        <v>7825063805</v>
      </c>
      <c r="L215" s="46" t="s">
        <v>311</v>
      </c>
      <c r="M215" s="41" t="s">
        <v>279</v>
      </c>
      <c r="N215" s="91" t="s">
        <v>653</v>
      </c>
      <c r="O215" s="24" t="s">
        <v>742</v>
      </c>
      <c r="P215" s="41" t="s">
        <v>1128</v>
      </c>
      <c r="Q215" s="24" t="s">
        <v>268</v>
      </c>
      <c r="R215" s="24" t="s">
        <v>368</v>
      </c>
      <c r="S215" s="24" t="s">
        <v>518</v>
      </c>
      <c r="T215" s="24" t="s">
        <v>103</v>
      </c>
      <c r="U215" s="29">
        <v>46042</v>
      </c>
      <c r="V215" s="29">
        <v>46042</v>
      </c>
    </row>
    <row r="216" spans="1:31" ht="14.1" customHeight="1">
      <c r="A216" s="24" t="s">
        <v>105</v>
      </c>
      <c r="B216" s="24" t="s">
        <v>520</v>
      </c>
      <c r="C216" s="24" t="str">
        <f>IF(ISBLANK(B216),"",_xlfn.XLOOKUP(B216,Recruiter!A:A,Recruiter!B:B))</f>
        <v>Narthana</v>
      </c>
      <c r="D216" s="24" t="str">
        <f>IF(ISBLANK(A216),"",_xlfn.XLOOKUP(A216,'Requirement Overview'!C:C,'Requirement Overview'!E:E))</f>
        <v>Talme</v>
      </c>
      <c r="E216" s="24" t="str">
        <f>IF(ISBLANK(A216),"",_xlfn.XLOOKUP(A216,'Requirement Overview'!C:C,'Requirement Overview'!H:H))</f>
        <v>IT</v>
      </c>
      <c r="F216" s="24" t="s">
        <v>106</v>
      </c>
      <c r="G216" s="58" t="s">
        <v>45</v>
      </c>
      <c r="H216" s="185" t="s">
        <v>1129</v>
      </c>
      <c r="I216" s="165" t="s">
        <v>1130</v>
      </c>
      <c r="J216" s="204" t="s">
        <v>1131</v>
      </c>
      <c r="K216" s="37">
        <v>8123664856</v>
      </c>
      <c r="L216" s="46" t="s">
        <v>311</v>
      </c>
      <c r="M216" s="24" t="s">
        <v>956</v>
      </c>
      <c r="N216" s="91" t="s">
        <v>1132</v>
      </c>
      <c r="O216" s="37" t="s">
        <v>716</v>
      </c>
      <c r="P216" s="37" t="s">
        <v>268</v>
      </c>
      <c r="Q216" s="37" t="s">
        <v>268</v>
      </c>
      <c r="R216" s="37" t="s">
        <v>1133</v>
      </c>
      <c r="S216" s="24" t="s">
        <v>518</v>
      </c>
      <c r="T216" s="24" t="s">
        <v>103</v>
      </c>
      <c r="U216" s="29">
        <v>46043</v>
      </c>
      <c r="V216" s="29">
        <v>46043</v>
      </c>
    </row>
    <row r="217" spans="1:31" ht="14.45">
      <c r="A217" s="24" t="s">
        <v>105</v>
      </c>
      <c r="B217" s="24" t="s">
        <v>520</v>
      </c>
      <c r="C217" s="24" t="str">
        <f>IF(ISBLANK(B217),"",_xlfn.XLOOKUP(B217,Recruiter!A:A,Recruiter!B:B))</f>
        <v>Narthana</v>
      </c>
      <c r="D217" s="24" t="str">
        <f>IF(ISBLANK(A217),"",_xlfn.XLOOKUP(A217,'Requirement Overview'!C:C,'Requirement Overview'!E:E))</f>
        <v>Talme</v>
      </c>
      <c r="E217" s="24" t="str">
        <f>IF(ISBLANK(A217),"",_xlfn.XLOOKUP(A217,'Requirement Overview'!C:C,'Requirement Overview'!H:H))</f>
        <v>IT</v>
      </c>
      <c r="F217" s="24" t="s">
        <v>106</v>
      </c>
      <c r="G217" s="58" t="s">
        <v>45</v>
      </c>
      <c r="H217" s="185" t="s">
        <v>1134</v>
      </c>
      <c r="I217" s="165" t="s">
        <v>1135</v>
      </c>
      <c r="J217" s="204" t="s">
        <v>1136</v>
      </c>
      <c r="K217" s="37">
        <v>8697555167</v>
      </c>
      <c r="L217" s="46" t="s">
        <v>305</v>
      </c>
      <c r="M217" s="24" t="s">
        <v>395</v>
      </c>
      <c r="N217" s="91" t="s">
        <v>1137</v>
      </c>
      <c r="O217" s="37" t="s">
        <v>1138</v>
      </c>
      <c r="P217" s="37" t="s">
        <v>1139</v>
      </c>
      <c r="Q217" s="37" t="s">
        <v>268</v>
      </c>
      <c r="R217" s="37" t="s">
        <v>757</v>
      </c>
      <c r="S217" s="24" t="s">
        <v>518</v>
      </c>
      <c r="T217" s="24" t="s">
        <v>103</v>
      </c>
      <c r="U217" s="29">
        <v>46043</v>
      </c>
      <c r="V217" s="29">
        <v>46043</v>
      </c>
    </row>
    <row r="218" spans="1:31" ht="14.45">
      <c r="A218" s="24" t="s">
        <v>72</v>
      </c>
      <c r="B218" s="24" t="s">
        <v>520</v>
      </c>
      <c r="C218" s="24" t="str">
        <f>IF(ISBLANK(B218),"",_xlfn.XLOOKUP(B218,Recruiter!A:A,Recruiter!B:B))</f>
        <v>Narthana</v>
      </c>
      <c r="D218" s="24" t="str">
        <f>IF(ISBLANK(A218),"",_xlfn.XLOOKUP(A218,'Requirement Overview'!C:C,'Requirement Overview'!E:E))</f>
        <v>Talme</v>
      </c>
      <c r="E218" s="24" t="str">
        <f>IF(ISBLANK(A218),"",_xlfn.XLOOKUP(A218,'Requirement Overview'!C:C,'Requirement Overview'!H:H))</f>
        <v>IT</v>
      </c>
      <c r="F218" s="24" t="s">
        <v>74</v>
      </c>
      <c r="G218" s="58" t="s">
        <v>73</v>
      </c>
      <c r="H218" s="185" t="s">
        <v>1140</v>
      </c>
      <c r="I218" s="156" t="s">
        <v>1141</v>
      </c>
      <c r="J218" s="195" t="s">
        <v>1142</v>
      </c>
      <c r="K218" s="21">
        <v>9446568194</v>
      </c>
      <c r="L218" s="46" t="s">
        <v>311</v>
      </c>
      <c r="M218" s="24" t="s">
        <v>379</v>
      </c>
      <c r="N218" s="91" t="s">
        <v>1143</v>
      </c>
      <c r="O218" s="24" t="s">
        <v>1144</v>
      </c>
      <c r="P218" s="24" t="s">
        <v>268</v>
      </c>
      <c r="Q218" s="24" t="s">
        <v>268</v>
      </c>
      <c r="R218" s="24" t="s">
        <v>1145</v>
      </c>
      <c r="S218" s="24" t="s">
        <v>601</v>
      </c>
      <c r="T218" s="24" t="s">
        <v>103</v>
      </c>
      <c r="U218" s="29">
        <v>46043</v>
      </c>
      <c r="V218" s="29">
        <v>46043</v>
      </c>
      <c r="W218" s="24" t="s">
        <v>1146</v>
      </c>
      <c r="Y218" s="24" t="s">
        <v>54</v>
      </c>
    </row>
    <row r="219" spans="1:31" ht="14.45">
      <c r="A219" s="24" t="s">
        <v>35</v>
      </c>
      <c r="B219" s="24" t="s">
        <v>520</v>
      </c>
      <c r="C219" s="24" t="str">
        <f>IF(ISBLANK(B219),"",_xlfn.XLOOKUP(B219,Recruiter!A:A,Recruiter!B:B))</f>
        <v>Narthana</v>
      </c>
      <c r="D219" s="24" t="str">
        <f>IF(ISBLANK(A219),"",_xlfn.XLOOKUP(A219,'Requirement Overview'!C:C,'Requirement Overview'!E:E))</f>
        <v>Talme</v>
      </c>
      <c r="E219" s="24" t="str">
        <f>IF(ISBLANK(A219),"",_xlfn.XLOOKUP(A219,'Requirement Overview'!C:C,'Requirement Overview'!H:H))</f>
        <v>IT</v>
      </c>
      <c r="F219" s="24" t="str">
        <f>IF(ISBLANK(A219),"",_xlfn.XLOOKUP(A219,'Requirement Overview'!C:C,'Requirement Overview'!I:I))</f>
        <v>Windows system adminstrator</v>
      </c>
      <c r="G219" s="58" t="str">
        <f>IF(ISBLANK(A219),"",_xlfn.XLOOKUP(A219,'Requirement Overview'!C:C,'Requirement Overview'!G:G))</f>
        <v>EMIDS</v>
      </c>
      <c r="H219" s="185" t="s">
        <v>1147</v>
      </c>
      <c r="I219" s="46" t="s">
        <v>1148</v>
      </c>
      <c r="J219" s="199" t="s">
        <v>1149</v>
      </c>
      <c r="K219" s="330">
        <v>9535583241</v>
      </c>
      <c r="L219" s="326" t="s">
        <v>427</v>
      </c>
      <c r="M219" s="33" t="s">
        <v>1150</v>
      </c>
      <c r="N219" s="92" t="s">
        <v>1151</v>
      </c>
      <c r="O219" s="33" t="s">
        <v>386</v>
      </c>
      <c r="P219" s="33" t="s">
        <v>268</v>
      </c>
      <c r="Q219" s="33" t="s">
        <v>268</v>
      </c>
      <c r="R219" s="33" t="s">
        <v>439</v>
      </c>
      <c r="S219" s="24" t="s">
        <v>270</v>
      </c>
      <c r="T219" s="24" t="s">
        <v>103</v>
      </c>
      <c r="U219" s="29">
        <v>46043</v>
      </c>
      <c r="V219" s="29">
        <v>46043</v>
      </c>
    </row>
    <row r="220" spans="1:31" s="28" customFormat="1" ht="14.45">
      <c r="A220" s="24" t="s">
        <v>35</v>
      </c>
      <c r="B220" s="24" t="s">
        <v>520</v>
      </c>
      <c r="C220" s="24" t="str">
        <f>IF(ISBLANK(B220),"",_xlfn.XLOOKUP(B220,Recruiter!A:A,Recruiter!B:B))</f>
        <v>Narthana</v>
      </c>
      <c r="D220" s="24" t="str">
        <f>IF(ISBLANK(A220),"",_xlfn.XLOOKUP(A220,'Requirement Overview'!C:C,'Requirement Overview'!E:E))</f>
        <v>Talme</v>
      </c>
      <c r="E220" s="24" t="str">
        <f>IF(ISBLANK(A220),"",_xlfn.XLOOKUP(A220,'Requirement Overview'!C:C,'Requirement Overview'!H:H))</f>
        <v>IT</v>
      </c>
      <c r="F220" s="24" t="str">
        <f>IF(ISBLANK(A220),"",_xlfn.XLOOKUP(A220,'Requirement Overview'!C:C,'Requirement Overview'!I:I))</f>
        <v>Windows system adminstrator</v>
      </c>
      <c r="G220" s="58" t="str">
        <f>IF(ISBLANK(A220),"",_xlfn.XLOOKUP(A220,'Requirement Overview'!C:C,'Requirement Overview'!G:G))</f>
        <v>EMIDS</v>
      </c>
      <c r="H220" s="185" t="s">
        <v>435</v>
      </c>
      <c r="I220" s="46" t="s">
        <v>1152</v>
      </c>
      <c r="J220" s="199" t="s">
        <v>1153</v>
      </c>
      <c r="K220" s="33">
        <v>9505094453</v>
      </c>
      <c r="L220" s="326" t="s">
        <v>404</v>
      </c>
      <c r="M220" s="33" t="s">
        <v>405</v>
      </c>
      <c r="N220" s="92" t="s">
        <v>438</v>
      </c>
      <c r="O220" s="33" t="s">
        <v>368</v>
      </c>
      <c r="P220" s="33" t="s">
        <v>879</v>
      </c>
      <c r="Q220" s="33" t="s">
        <v>879</v>
      </c>
      <c r="R220" s="33" t="s">
        <v>439</v>
      </c>
      <c r="S220" s="24" t="s">
        <v>518</v>
      </c>
      <c r="T220" s="24" t="s">
        <v>103</v>
      </c>
      <c r="U220" s="29">
        <v>46043</v>
      </c>
      <c r="V220" s="29">
        <v>46043</v>
      </c>
      <c r="W220" s="24"/>
      <c r="X220" s="24"/>
      <c r="Y220" s="24"/>
      <c r="Z220" s="24"/>
      <c r="AA220" s="24"/>
      <c r="AB220" s="24"/>
      <c r="AC220" s="24"/>
      <c r="AD220" s="24"/>
    </row>
    <row r="221" spans="1:31" s="28" customFormat="1" ht="14.45">
      <c r="A221" s="51" t="s">
        <v>35</v>
      </c>
      <c r="B221" s="51" t="s">
        <v>520</v>
      </c>
      <c r="C221" s="51" t="str">
        <f>IF(ISBLANK(B221),"",_xlfn.XLOOKUP(B221,Recruiter!A:A,Recruiter!B:B))</f>
        <v>Narthana</v>
      </c>
      <c r="D221" s="51" t="str">
        <f>IF(ISBLANK(A221),"",_xlfn.XLOOKUP(A221,'Requirement Overview'!C:C,'Requirement Overview'!E:E))</f>
        <v>Talme</v>
      </c>
      <c r="E221" s="51" t="str">
        <f>IF(ISBLANK(A221),"",_xlfn.XLOOKUP(A221,'Requirement Overview'!C:C,'Requirement Overview'!H:H))</f>
        <v>IT</v>
      </c>
      <c r="F221" s="51" t="str">
        <f>IF(ISBLANK(A221),"",_xlfn.XLOOKUP(A221,'Requirement Overview'!C:C,'Requirement Overview'!I:I))</f>
        <v>Windows system adminstrator</v>
      </c>
      <c r="G221" s="62" t="str">
        <f>IF(ISBLANK(A221),"",_xlfn.XLOOKUP(A221,'Requirement Overview'!C:C,'Requirement Overview'!G:G))</f>
        <v>EMIDS</v>
      </c>
      <c r="H221" s="518" t="s">
        <v>1154</v>
      </c>
      <c r="I221" s="108" t="s">
        <v>1155</v>
      </c>
      <c r="J221" s="525" t="s">
        <v>1156</v>
      </c>
      <c r="K221" s="526">
        <v>9381023541</v>
      </c>
      <c r="L221" s="527" t="s">
        <v>350</v>
      </c>
      <c r="M221" s="526" t="s">
        <v>399</v>
      </c>
      <c r="N221" s="528" t="s">
        <v>1157</v>
      </c>
      <c r="O221" s="526" t="s">
        <v>401</v>
      </c>
      <c r="P221" s="526" t="s">
        <v>879</v>
      </c>
      <c r="Q221" s="526" t="s">
        <v>879</v>
      </c>
      <c r="R221" s="526" t="s">
        <v>439</v>
      </c>
      <c r="S221" s="51" t="s">
        <v>360</v>
      </c>
      <c r="T221" s="51" t="s">
        <v>103</v>
      </c>
      <c r="U221" s="89">
        <v>46043</v>
      </c>
      <c r="V221" s="89">
        <v>46043</v>
      </c>
      <c r="W221" s="462" t="s">
        <v>1158</v>
      </c>
      <c r="X221" s="89">
        <v>46049</v>
      </c>
      <c r="Y221" s="51" t="s">
        <v>362</v>
      </c>
      <c r="Z221" s="51"/>
      <c r="AA221" s="51"/>
      <c r="AB221" s="89"/>
      <c r="AC221" s="51"/>
      <c r="AD221" s="51"/>
    </row>
    <row r="222" spans="1:31" ht="15.6">
      <c r="A222" s="702" t="s">
        <v>55</v>
      </c>
      <c r="B222" s="702" t="s">
        <v>258</v>
      </c>
      <c r="C222" s="476" t="str">
        <f>IF(ISBLANK(B222),"",_xlfn.XLOOKUP(B222,Recruiter!A:A,Recruiter!B:B))</f>
        <v>Bhoomika</v>
      </c>
      <c r="D222" s="476" t="str">
        <f>IF(ISBLANK(A222),"",_xlfn.XLOOKUP(A222,'Requirement Overview'!C:C,'Requirement Overview'!E:E))</f>
        <v>Talme</v>
      </c>
      <c r="E222" s="702" t="str">
        <f>IF(ISBLANK(A222),"",_xlfn.XLOOKUP(A222,'Requirement Overview'!C:C,'Requirement Overview'!H:H))</f>
        <v>Non - IT</v>
      </c>
      <c r="F222" s="702" t="str">
        <f>IF(ISBLANK(A222),"",_xlfn.XLOOKUP(A222,'Requirement Overview'!C:C,'Requirement Overview'!I:I))</f>
        <v>Inside Sales Executive</v>
      </c>
      <c r="G222" s="702" t="str">
        <f>IF(ISBLANK(A222),"",_xlfn.XLOOKUP(A222,'Requirement Overview'!C:C,'Requirement Overview'!G:G))</f>
        <v>Peritas</v>
      </c>
      <c r="H222" s="470" t="s">
        <v>639</v>
      </c>
      <c r="I222" s="472" t="s">
        <v>316</v>
      </c>
      <c r="J222" s="503" t="s">
        <v>1159</v>
      </c>
      <c r="K222" s="472">
        <v>8848336965</v>
      </c>
      <c r="L222" s="472" t="s">
        <v>1160</v>
      </c>
      <c r="M222" s="472" t="s">
        <v>306</v>
      </c>
      <c r="N222" s="496" t="s">
        <v>1161</v>
      </c>
      <c r="O222" s="472" t="s">
        <v>1162</v>
      </c>
      <c r="P222" s="472" t="s">
        <v>1163</v>
      </c>
      <c r="Q222" s="472" t="s">
        <v>294</v>
      </c>
      <c r="R222" s="472" t="s">
        <v>726</v>
      </c>
      <c r="S222" s="702" t="s">
        <v>270</v>
      </c>
      <c r="T222" s="702" t="s">
        <v>103</v>
      </c>
      <c r="U222" s="703">
        <v>46043</v>
      </c>
      <c r="V222" s="703">
        <v>46043</v>
      </c>
      <c r="W222" s="702"/>
      <c r="X222" s="702"/>
      <c r="Y222" s="702"/>
      <c r="Z222" s="702"/>
      <c r="AA222" s="702"/>
      <c r="AB222" s="702"/>
      <c r="AC222" s="702"/>
      <c r="AD222" s="702"/>
      <c r="AE222" s="46"/>
    </row>
    <row r="223" spans="1:31" ht="15.6">
      <c r="A223" s="702" t="s">
        <v>55</v>
      </c>
      <c r="B223" s="702" t="s">
        <v>258</v>
      </c>
      <c r="C223" s="476" t="str">
        <f>IF(ISBLANK(B223),"",_xlfn.XLOOKUP(B223,Recruiter!A:A,Recruiter!B:B))</f>
        <v>Bhoomika</v>
      </c>
      <c r="D223" s="476" t="str">
        <f>IF(ISBLANK(A223),"",_xlfn.XLOOKUP(A223,'Requirement Overview'!C:C,'Requirement Overview'!E:E))</f>
        <v>Talme</v>
      </c>
      <c r="E223" s="702" t="str">
        <f>IF(ISBLANK(A223),"",_xlfn.XLOOKUP(A223,'Requirement Overview'!C:C,'Requirement Overview'!H:H))</f>
        <v>Non - IT</v>
      </c>
      <c r="F223" s="702" t="str">
        <f>IF(ISBLANK(A223),"",_xlfn.XLOOKUP(A223,'Requirement Overview'!C:C,'Requirement Overview'!I:I))</f>
        <v>Inside Sales Executive</v>
      </c>
      <c r="G223" s="702" t="str">
        <f>IF(ISBLANK(A223),"",_xlfn.XLOOKUP(A223,'Requirement Overview'!C:C,'Requirement Overview'!G:G))</f>
        <v>Peritas</v>
      </c>
      <c r="H223" s="470" t="s">
        <v>104</v>
      </c>
      <c r="I223" s="472" t="s">
        <v>316</v>
      </c>
      <c r="J223" s="472" t="s">
        <v>1164</v>
      </c>
      <c r="K223" s="472">
        <v>9353419348</v>
      </c>
      <c r="L223" s="472" t="s">
        <v>404</v>
      </c>
      <c r="M223" s="472" t="s">
        <v>1165</v>
      </c>
      <c r="N223" s="496" t="s">
        <v>1166</v>
      </c>
      <c r="O223" s="472" t="s">
        <v>1020</v>
      </c>
      <c r="P223" s="472" t="s">
        <v>294</v>
      </c>
      <c r="Q223" s="472" t="s">
        <v>294</v>
      </c>
      <c r="R223" s="474" t="s">
        <v>308</v>
      </c>
      <c r="S223" s="702" t="s">
        <v>270</v>
      </c>
      <c r="T223" s="702" t="s">
        <v>103</v>
      </c>
      <c r="U223" s="703">
        <v>46043</v>
      </c>
      <c r="V223" s="703">
        <v>46043</v>
      </c>
      <c r="W223" s="702"/>
      <c r="X223" s="702"/>
      <c r="Y223" s="702"/>
      <c r="Z223" s="702"/>
      <c r="AA223" s="702"/>
      <c r="AB223" s="702"/>
      <c r="AC223" s="702"/>
      <c r="AD223" s="702"/>
      <c r="AE223" s="46"/>
    </row>
    <row r="224" spans="1:31" ht="15.6">
      <c r="A224" s="702" t="s">
        <v>55</v>
      </c>
      <c r="B224" s="702" t="s">
        <v>258</v>
      </c>
      <c r="C224" s="476" t="str">
        <f>IF(ISBLANK(B224),"",_xlfn.XLOOKUP(B224,Recruiter!A:A,Recruiter!B:B))</f>
        <v>Bhoomika</v>
      </c>
      <c r="D224" s="476" t="str">
        <f>IF(ISBLANK(A224),"",_xlfn.XLOOKUP(A224,'Requirement Overview'!C:C,'Requirement Overview'!E:E))</f>
        <v>Talme</v>
      </c>
      <c r="E224" s="702" t="str">
        <f>IF(ISBLANK(A224),"",_xlfn.XLOOKUP(A224,'Requirement Overview'!C:C,'Requirement Overview'!H:H))</f>
        <v>Non - IT</v>
      </c>
      <c r="F224" s="702" t="str">
        <f>IF(ISBLANK(A224),"",_xlfn.XLOOKUP(A224,'Requirement Overview'!C:C,'Requirement Overview'!I:I))</f>
        <v>Inside Sales Executive</v>
      </c>
      <c r="G224" s="702" t="str">
        <f>IF(ISBLANK(A224),"",_xlfn.XLOOKUP(A224,'Requirement Overview'!C:C,'Requirement Overview'!G:G))</f>
        <v>Peritas</v>
      </c>
      <c r="H224" s="470" t="s">
        <v>1167</v>
      </c>
      <c r="I224" s="472" t="s">
        <v>262</v>
      </c>
      <c r="J224" s="503" t="s">
        <v>1168</v>
      </c>
      <c r="K224" s="472">
        <v>9606553939</v>
      </c>
      <c r="L224" s="472" t="s">
        <v>404</v>
      </c>
      <c r="M224" s="472" t="s">
        <v>566</v>
      </c>
      <c r="N224" s="496" t="s">
        <v>1169</v>
      </c>
      <c r="O224" s="472" t="s">
        <v>1170</v>
      </c>
      <c r="P224" s="472" t="s">
        <v>294</v>
      </c>
      <c r="Q224" s="472" t="s">
        <v>294</v>
      </c>
      <c r="R224" s="702" t="s">
        <v>623</v>
      </c>
      <c r="S224" s="702" t="s">
        <v>270</v>
      </c>
      <c r="T224" s="702" t="s">
        <v>103</v>
      </c>
      <c r="U224" s="703">
        <v>46043</v>
      </c>
      <c r="V224" s="703">
        <v>46043</v>
      </c>
      <c r="W224" s="702"/>
      <c r="X224" s="702"/>
      <c r="Y224" s="702"/>
      <c r="Z224" s="702"/>
      <c r="AA224" s="702"/>
      <c r="AB224" s="702"/>
      <c r="AC224" s="702"/>
      <c r="AD224" s="702"/>
      <c r="AE224" s="46"/>
    </row>
    <row r="225" spans="1:119" ht="14.45">
      <c r="A225" s="702" t="s">
        <v>61</v>
      </c>
      <c r="B225" s="702" t="s">
        <v>258</v>
      </c>
      <c r="C225" s="476" t="str">
        <f>IF(ISBLANK(B225),"",_xlfn.XLOOKUP(B225,Recruiter!A:A,Recruiter!B:B))</f>
        <v>Bhoomika</v>
      </c>
      <c r="D225" s="476" t="str">
        <f>IF(ISBLANK(A225),"",_xlfn.XLOOKUP(A225,'Requirement Overview'!C:C,'Requirement Overview'!E:E))</f>
        <v>Talme</v>
      </c>
      <c r="E225" s="702" t="str">
        <f>IF(ISBLANK(A225),"",_xlfn.XLOOKUP(A225,'Requirement Overview'!C:C,'Requirement Overview'!H:H))</f>
        <v>Non - IT</v>
      </c>
      <c r="F225" s="702" t="str">
        <f>IF(ISBLANK(A225),"",_xlfn.XLOOKUP(A225,'Requirement Overview'!C:C,'Requirement Overview'!I:I))</f>
        <v>Graphic Designer</v>
      </c>
      <c r="G225" s="702" t="str">
        <f>IF(ISBLANK(A225),"",_xlfn.XLOOKUP(A225,'Requirement Overview'!C:C,'Requirement Overview'!G:G))</f>
        <v>Avinashi Ads</v>
      </c>
      <c r="H225" s="470" t="s">
        <v>1171</v>
      </c>
      <c r="I225" s="702" t="s">
        <v>316</v>
      </c>
      <c r="J225" s="478" t="s">
        <v>1172</v>
      </c>
      <c r="K225" s="702">
        <v>9663474151</v>
      </c>
      <c r="L225" s="702" t="s">
        <v>427</v>
      </c>
      <c r="M225" s="702" t="s">
        <v>573</v>
      </c>
      <c r="N225" s="496" t="s">
        <v>1173</v>
      </c>
      <c r="O225" s="702" t="s">
        <v>568</v>
      </c>
      <c r="P225" s="702" t="s">
        <v>294</v>
      </c>
      <c r="Q225" s="702" t="s">
        <v>294</v>
      </c>
      <c r="R225" s="702" t="s">
        <v>327</v>
      </c>
      <c r="S225" s="702" t="s">
        <v>270</v>
      </c>
      <c r="T225" s="702" t="s">
        <v>271</v>
      </c>
      <c r="U225" s="703">
        <v>46043</v>
      </c>
      <c r="V225" s="703">
        <v>46043</v>
      </c>
      <c r="W225" s="702"/>
      <c r="X225" s="702"/>
      <c r="Y225" s="702"/>
      <c r="Z225" s="702"/>
      <c r="AA225" s="702"/>
      <c r="AB225" s="702"/>
      <c r="AC225" s="702"/>
      <c r="AD225" s="702"/>
      <c r="AE225" s="46"/>
      <c r="AL225" s="24"/>
      <c r="AM225" s="24"/>
      <c r="AS225" s="24"/>
    </row>
    <row r="226" spans="1:119" ht="14.45">
      <c r="A226" s="702" t="s">
        <v>61</v>
      </c>
      <c r="B226" s="702" t="s">
        <v>258</v>
      </c>
      <c r="C226" s="476" t="str">
        <f>IF(ISBLANK(B226),"",_xlfn.XLOOKUP(B226,Recruiter!A:A,Recruiter!B:B))</f>
        <v>Bhoomika</v>
      </c>
      <c r="D226" s="476" t="str">
        <f>IF(ISBLANK(A226),"",_xlfn.XLOOKUP(A226,'Requirement Overview'!C:C,'Requirement Overview'!E:E))</f>
        <v>Talme</v>
      </c>
      <c r="E226" s="702" t="str">
        <f>IF(ISBLANK(A226),"",_xlfn.XLOOKUP(A226,'Requirement Overview'!C:C,'Requirement Overview'!H:H))</f>
        <v>Non - IT</v>
      </c>
      <c r="F226" s="702" t="str">
        <f>IF(ISBLANK(A226),"",_xlfn.XLOOKUP(A226,'Requirement Overview'!C:C,'Requirement Overview'!I:I))</f>
        <v>Graphic Designer</v>
      </c>
      <c r="G226" s="702" t="str">
        <f>IF(ISBLANK(A226),"",_xlfn.XLOOKUP(A226,'Requirement Overview'!C:C,'Requirement Overview'!G:G))</f>
        <v>Avinashi Ads</v>
      </c>
      <c r="H226" s="470" t="s">
        <v>1174</v>
      </c>
      <c r="I226" s="702" t="s">
        <v>262</v>
      </c>
      <c r="J226" s="478" t="s">
        <v>1175</v>
      </c>
      <c r="K226" s="702">
        <v>9606553939</v>
      </c>
      <c r="L226" s="702" t="s">
        <v>404</v>
      </c>
      <c r="M226" s="702" t="s">
        <v>573</v>
      </c>
      <c r="N226" s="496" t="s">
        <v>1176</v>
      </c>
      <c r="O226" s="702" t="s">
        <v>1177</v>
      </c>
      <c r="P226" s="702" t="s">
        <v>294</v>
      </c>
      <c r="Q226" s="702" t="s">
        <v>294</v>
      </c>
      <c r="R226" s="702" t="s">
        <v>327</v>
      </c>
      <c r="S226" s="702" t="s">
        <v>270</v>
      </c>
      <c r="T226" s="702" t="s">
        <v>271</v>
      </c>
      <c r="U226" s="703">
        <v>46043</v>
      </c>
      <c r="V226" s="703">
        <v>46043</v>
      </c>
      <c r="W226" s="702"/>
      <c r="X226" s="702"/>
      <c r="Y226" s="702"/>
      <c r="Z226" s="702"/>
      <c r="AA226" s="702"/>
      <c r="AB226" s="702"/>
      <c r="AC226" s="702"/>
      <c r="AD226" s="702"/>
      <c r="AE226" s="46"/>
      <c r="AL226" s="24"/>
      <c r="AM226" s="24"/>
      <c r="AS226" s="24"/>
    </row>
    <row r="227" spans="1:119" ht="15.6">
      <c r="A227" s="47" t="s">
        <v>107</v>
      </c>
      <c r="B227" s="47" t="s">
        <v>340</v>
      </c>
      <c r="C227" s="80" t="str">
        <f>IF(ISBLANK(B227),"",_xlfn.XLOOKUP(B227,Recruiter!A:A,Recruiter!B:B))</f>
        <v>Harshitha</v>
      </c>
      <c r="D227" s="80" t="str">
        <f>IF(ISBLANK(A227),"",_xlfn.XLOOKUP(A227,'Requirement Overview'!C:C,'Requirement Overview'!E:E))</f>
        <v>Talme</v>
      </c>
      <c r="E227" s="47" t="str">
        <f>IF(ISBLANK(A227),"",_xlfn.XLOOKUP(A227,'Requirement Overview'!C:C,'Requirement Overview'!H:H))</f>
        <v>IT</v>
      </c>
      <c r="F227" s="47" t="str">
        <f>IF(ISBLANK(A227),"",_xlfn.XLOOKUP(A227,'Requirement Overview'!C:C,'Requirement Overview'!I:I))</f>
        <v>.Net Backend Developer</v>
      </c>
      <c r="G227" s="255" t="str">
        <f>IF(ISBLANK(A227),"",_xlfn.XLOOKUP(A227,'Requirement Overview'!C:C,'Requirement Overview'!G:G))</f>
        <v>Semnox Solutions</v>
      </c>
      <c r="H227" s="429" t="s">
        <v>1178</v>
      </c>
      <c r="I227" s="575" t="s">
        <v>1179</v>
      </c>
      <c r="J227" s="576" t="s">
        <v>1180</v>
      </c>
      <c r="K227" s="577">
        <v>9590755833</v>
      </c>
      <c r="L227" s="578" t="s">
        <v>378</v>
      </c>
      <c r="M227" s="579" t="s">
        <v>1181</v>
      </c>
      <c r="N227" s="432" t="s">
        <v>1182</v>
      </c>
      <c r="O227" s="579" t="s">
        <v>429</v>
      </c>
      <c r="P227" s="579" t="s">
        <v>268</v>
      </c>
      <c r="Q227" s="579" t="s">
        <v>1183</v>
      </c>
      <c r="R227" s="579" t="s">
        <v>1184</v>
      </c>
      <c r="S227" s="47" t="s">
        <v>1185</v>
      </c>
      <c r="T227" s="47" t="s">
        <v>271</v>
      </c>
      <c r="U227" s="118">
        <v>46043</v>
      </c>
      <c r="V227" s="118">
        <v>46043</v>
      </c>
      <c r="W227" s="47"/>
      <c r="X227" s="47"/>
      <c r="Y227" s="47"/>
      <c r="Z227" s="47"/>
      <c r="AA227" s="47"/>
      <c r="AB227" s="47"/>
      <c r="AC227" s="47"/>
      <c r="AD227" s="47"/>
      <c r="AL227" s="24"/>
      <c r="AM227" s="24"/>
      <c r="AS227" s="24"/>
    </row>
    <row r="228" spans="1:119" ht="15.6">
      <c r="A228" s="24" t="s">
        <v>107</v>
      </c>
      <c r="B228" s="24" t="s">
        <v>340</v>
      </c>
      <c r="C228" s="19" t="str">
        <f>IF(ISBLANK(B228),"",_xlfn.XLOOKUP(B228,Recruiter!A:A,Recruiter!B:B))</f>
        <v>Harshitha</v>
      </c>
      <c r="D228" s="19" t="str">
        <f>IF(ISBLANK(A228),"",_xlfn.XLOOKUP(A228,'Requirement Overview'!C:C,'Requirement Overview'!E:E))</f>
        <v>Talme</v>
      </c>
      <c r="E228" s="24" t="str">
        <f>IF(ISBLANK(A228),"",_xlfn.XLOOKUP(A228,'Requirement Overview'!C:C,'Requirement Overview'!H:H))</f>
        <v>IT</v>
      </c>
      <c r="F228" s="24" t="str">
        <f>IF(ISBLANK(A228),"",_xlfn.XLOOKUP(A228,'Requirement Overview'!C:C,'Requirement Overview'!I:I))</f>
        <v>.Net Backend Developer</v>
      </c>
      <c r="G228" s="58" t="str">
        <f>IF(ISBLANK(A228),"",_xlfn.XLOOKUP(A228,'Requirement Overview'!C:C,'Requirement Overview'!G:G))</f>
        <v>Semnox Solutions</v>
      </c>
      <c r="H228" s="185" t="s">
        <v>1186</v>
      </c>
      <c r="I228" s="166" t="s">
        <v>519</v>
      </c>
      <c r="J228" s="205" t="s">
        <v>1187</v>
      </c>
      <c r="K228" s="233">
        <v>9535451575</v>
      </c>
      <c r="L228" s="229" t="s">
        <v>311</v>
      </c>
      <c r="M228" s="43" t="s">
        <v>1001</v>
      </c>
      <c r="N228" s="91" t="s">
        <v>1188</v>
      </c>
      <c r="O228" s="43" t="s">
        <v>1189</v>
      </c>
      <c r="P228" s="43" t="s">
        <v>1190</v>
      </c>
      <c r="Q228" s="43" t="s">
        <v>1183</v>
      </c>
      <c r="R228" s="43" t="s">
        <v>1191</v>
      </c>
      <c r="S228" s="24" t="s">
        <v>1185</v>
      </c>
      <c r="T228" s="24" t="s">
        <v>271</v>
      </c>
      <c r="U228" s="29">
        <v>46043</v>
      </c>
      <c r="V228" s="29">
        <v>46043</v>
      </c>
      <c r="AL228" s="24"/>
      <c r="AM228" s="24"/>
      <c r="AS228" s="24"/>
    </row>
    <row r="229" spans="1:119" ht="15.6">
      <c r="A229" s="24" t="s">
        <v>107</v>
      </c>
      <c r="B229" s="24" t="s">
        <v>340</v>
      </c>
      <c r="C229" s="19" t="str">
        <f>IF(ISBLANK(B229),"",_xlfn.XLOOKUP(B229,Recruiter!A:A,Recruiter!B:B))</f>
        <v>Harshitha</v>
      </c>
      <c r="D229" s="19" t="str">
        <f>IF(ISBLANK(A229),"",_xlfn.XLOOKUP(A229,'Requirement Overview'!C:C,'Requirement Overview'!E:E))</f>
        <v>Talme</v>
      </c>
      <c r="E229" s="24" t="str">
        <f>IF(ISBLANK(A229),"",_xlfn.XLOOKUP(A229,'Requirement Overview'!C:C,'Requirement Overview'!H:H))</f>
        <v>IT</v>
      </c>
      <c r="F229" s="24" t="str">
        <f>IF(ISBLANK(A229),"",_xlfn.XLOOKUP(A229,'Requirement Overview'!C:C,'Requirement Overview'!I:I))</f>
        <v>.Net Backend Developer</v>
      </c>
      <c r="G229" s="58" t="str">
        <f>IF(ISBLANK(A229),"",_xlfn.XLOOKUP(A229,'Requirement Overview'!C:C,'Requirement Overview'!G:G))</f>
        <v>Semnox Solutions</v>
      </c>
      <c r="H229" s="185" t="s">
        <v>1192</v>
      </c>
      <c r="I229" s="166" t="s">
        <v>1193</v>
      </c>
      <c r="J229" s="205" t="s">
        <v>1194</v>
      </c>
      <c r="K229" s="233">
        <v>8088752938</v>
      </c>
      <c r="L229" s="229" t="s">
        <v>311</v>
      </c>
      <c r="M229" s="43" t="s">
        <v>279</v>
      </c>
      <c r="N229" s="91" t="s">
        <v>1195</v>
      </c>
      <c r="O229" s="43" t="s">
        <v>374</v>
      </c>
      <c r="P229" s="43" t="s">
        <v>1183</v>
      </c>
      <c r="Q229" s="43" t="s">
        <v>1183</v>
      </c>
      <c r="R229" s="43" t="s">
        <v>1196</v>
      </c>
      <c r="S229" s="24" t="s">
        <v>1185</v>
      </c>
      <c r="T229" s="24" t="s">
        <v>271</v>
      </c>
      <c r="U229" s="29">
        <v>46043</v>
      </c>
      <c r="V229" s="29">
        <v>46043</v>
      </c>
      <c r="AL229" s="24"/>
      <c r="AM229" s="24"/>
      <c r="AS229" s="24"/>
    </row>
    <row r="230" spans="1:119" ht="15.6">
      <c r="A230" s="24" t="s">
        <v>95</v>
      </c>
      <c r="B230" s="24" t="s">
        <v>340</v>
      </c>
      <c r="C230" s="19" t="str">
        <f>IF(ISBLANK(B230),"",_xlfn.XLOOKUP(B230,Recruiter!A:A,Recruiter!B:B))</f>
        <v>Harshitha</v>
      </c>
      <c r="D230" s="19" t="str">
        <f>IF(ISBLANK(A230),"",_xlfn.XLOOKUP(A230,'Requirement Overview'!C:C,'Requirement Overview'!E:E))</f>
        <v>Talme</v>
      </c>
      <c r="E230" s="24" t="str">
        <f>IF(ISBLANK(A230),"",_xlfn.XLOOKUP(A230,'Requirement Overview'!C:C,'Requirement Overview'!H:H))</f>
        <v>IT</v>
      </c>
      <c r="F230" s="24" t="str">
        <f>IF(ISBLANK(A230),"",_xlfn.XLOOKUP(A230,'Requirement Overview'!C:C,'Requirement Overview'!I:I))</f>
        <v>Analog RF Designer</v>
      </c>
      <c r="G230" s="58" t="str">
        <f>IF(ISBLANK(A230),"",_xlfn.XLOOKUP(A230,'Requirement Overview'!C:C,'Requirement Overview'!G:G))</f>
        <v>LeadSOC</v>
      </c>
      <c r="H230" s="185" t="s">
        <v>1197</v>
      </c>
      <c r="I230" s="166" t="s">
        <v>1198</v>
      </c>
      <c r="J230" s="206" t="s">
        <v>1199</v>
      </c>
      <c r="K230" s="234">
        <v>9449026998</v>
      </c>
      <c r="L230" s="170" t="s">
        <v>311</v>
      </c>
      <c r="M230" s="44" t="s">
        <v>487</v>
      </c>
      <c r="N230" s="91" t="s">
        <v>1200</v>
      </c>
      <c r="O230" s="24" t="s">
        <v>716</v>
      </c>
      <c r="P230" s="44" t="s">
        <v>268</v>
      </c>
      <c r="Q230" s="44" t="s">
        <v>1201</v>
      </c>
      <c r="R230" s="44" t="s">
        <v>1202</v>
      </c>
      <c r="S230" s="24" t="s">
        <v>1185</v>
      </c>
      <c r="T230" s="24" t="s">
        <v>271</v>
      </c>
      <c r="U230" s="29">
        <v>46043</v>
      </c>
      <c r="V230" s="29">
        <v>46043</v>
      </c>
      <c r="AL230" s="24"/>
      <c r="AM230" s="24"/>
      <c r="AS230" s="24"/>
    </row>
    <row r="231" spans="1:119" ht="14.45">
      <c r="A231" s="51" t="s">
        <v>95</v>
      </c>
      <c r="B231" s="51" t="s">
        <v>340</v>
      </c>
      <c r="C231" s="73" t="str">
        <f>IF(ISBLANK(B231),"",_xlfn.XLOOKUP(B231,Recruiter!A:A,Recruiter!B:B))</f>
        <v>Harshitha</v>
      </c>
      <c r="D231" s="73" t="str">
        <f>IF(ISBLANK(A231),"",_xlfn.XLOOKUP(A231,'Requirement Overview'!C:C,'Requirement Overview'!E:E))</f>
        <v>Talme</v>
      </c>
      <c r="E231" s="51" t="str">
        <f>IF(ISBLANK(A231),"",_xlfn.XLOOKUP(A231,'Requirement Overview'!C:C,'Requirement Overview'!H:H))</f>
        <v>IT</v>
      </c>
      <c r="F231" s="51" t="str">
        <f>IF(ISBLANK(A231),"",_xlfn.XLOOKUP(A231,'Requirement Overview'!C:C,'Requirement Overview'!I:I))</f>
        <v>Analog RF Designer</v>
      </c>
      <c r="G231" s="62" t="str">
        <f>IF(ISBLANK(A231),"",_xlfn.XLOOKUP(A231,'Requirement Overview'!C:C,'Requirement Overview'!G:G))</f>
        <v>LeadSOC</v>
      </c>
      <c r="H231" s="518" t="s">
        <v>1203</v>
      </c>
      <c r="I231" s="63" t="s">
        <v>1204</v>
      </c>
      <c r="J231" s="207" t="s">
        <v>1205</v>
      </c>
      <c r="K231" s="51">
        <v>7905390512</v>
      </c>
      <c r="L231" s="63" t="s">
        <v>311</v>
      </c>
      <c r="M231" s="50" t="s">
        <v>414</v>
      </c>
      <c r="N231" s="110" t="s">
        <v>1206</v>
      </c>
      <c r="O231" s="51" t="s">
        <v>368</v>
      </c>
      <c r="P231" s="50" t="s">
        <v>569</v>
      </c>
      <c r="Q231" s="50" t="s">
        <v>1201</v>
      </c>
      <c r="R231" s="50" t="s">
        <v>1207</v>
      </c>
      <c r="S231" s="51" t="s">
        <v>1185</v>
      </c>
      <c r="T231" s="51" t="s">
        <v>271</v>
      </c>
      <c r="U231" s="89">
        <v>46043</v>
      </c>
      <c r="V231" s="89">
        <v>46043</v>
      </c>
      <c r="W231" s="51"/>
      <c r="X231" s="51"/>
      <c r="Y231" s="51"/>
      <c r="Z231" s="51"/>
      <c r="AA231" s="51"/>
      <c r="AB231" s="51"/>
      <c r="AC231" s="51"/>
      <c r="AD231" s="51"/>
      <c r="AL231" s="24"/>
      <c r="AM231" s="24"/>
      <c r="AS231" s="24"/>
    </row>
    <row r="232" spans="1:119" ht="14.45">
      <c r="A232" s="702" t="s">
        <v>83</v>
      </c>
      <c r="B232" s="702" t="s">
        <v>258</v>
      </c>
      <c r="C232" s="476" t="str">
        <f>IF(ISBLANK(B232),"",_xlfn.XLOOKUP(B232,Recruiter!A:A,Recruiter!B:B))</f>
        <v>Bhoomika</v>
      </c>
      <c r="D232" s="476" t="str">
        <f>IF(ISBLANK(A232),"",_xlfn.XLOOKUP(A232,'Requirement Overview'!C:C,'Requirement Overview'!E:E))</f>
        <v>Talme</v>
      </c>
      <c r="E232" s="702" t="str">
        <f>IF(ISBLANK(A232),"",_xlfn.XLOOKUP(A232,'Requirement Overview'!C:C,'Requirement Overview'!H:H))</f>
        <v>Non - IT</v>
      </c>
      <c r="F232" s="702" t="str">
        <f>IF(ISBLANK(A232),"",_xlfn.XLOOKUP(A232,'Requirement Overview'!C:C,'Requirement Overview'!I:I))</f>
        <v>Business developement executive</v>
      </c>
      <c r="G232" s="702" t="str">
        <f>IF(ISBLANK(A232),"",_xlfn.XLOOKUP(A232,'Requirement Overview'!C:C,'Requirement Overview'!G:G))</f>
        <v>Sarelx</v>
      </c>
      <c r="H232" s="470" t="s">
        <v>1208</v>
      </c>
      <c r="I232" s="702" t="s">
        <v>1209</v>
      </c>
      <c r="J232" s="478" t="s">
        <v>1210</v>
      </c>
      <c r="K232" s="702">
        <v>9550203194</v>
      </c>
      <c r="L232" s="702" t="s">
        <v>1211</v>
      </c>
      <c r="M232" s="702" t="s">
        <v>506</v>
      </c>
      <c r="N232" s="496" t="s">
        <v>1212</v>
      </c>
      <c r="O232" s="702" t="s">
        <v>501</v>
      </c>
      <c r="P232" s="702" t="s">
        <v>879</v>
      </c>
      <c r="Q232" s="702" t="s">
        <v>294</v>
      </c>
      <c r="R232" s="702" t="s">
        <v>509</v>
      </c>
      <c r="S232" s="702" t="s">
        <v>270</v>
      </c>
      <c r="T232" s="702" t="s">
        <v>271</v>
      </c>
      <c r="U232" s="703">
        <v>46043</v>
      </c>
      <c r="V232" s="703">
        <v>46043</v>
      </c>
      <c r="W232" s="702"/>
      <c r="X232" s="702"/>
      <c r="Y232" s="702"/>
      <c r="Z232" s="702"/>
      <c r="AA232" s="702"/>
      <c r="AB232" s="702"/>
      <c r="AC232" s="702"/>
      <c r="AD232" s="702"/>
      <c r="AE232" s="46"/>
      <c r="AL232" s="24"/>
      <c r="AM232" s="24"/>
      <c r="AS232" s="24"/>
    </row>
    <row r="233" spans="1:119" ht="14.45">
      <c r="A233" s="702" t="s">
        <v>83</v>
      </c>
      <c r="B233" s="702" t="s">
        <v>258</v>
      </c>
      <c r="C233" s="476" t="str">
        <f>IF(ISBLANK(B233),"",_xlfn.XLOOKUP(B233,Recruiter!A:A,Recruiter!B:B))</f>
        <v>Bhoomika</v>
      </c>
      <c r="D233" s="476" t="str">
        <f>IF(ISBLANK(A233),"",_xlfn.XLOOKUP(A233,'Requirement Overview'!C:C,'Requirement Overview'!E:E))</f>
        <v>Talme</v>
      </c>
      <c r="E233" s="702" t="str">
        <f>IF(ISBLANK(A233),"",_xlfn.XLOOKUP(A233,'Requirement Overview'!C:C,'Requirement Overview'!H:H))</f>
        <v>Non - IT</v>
      </c>
      <c r="F233" s="702" t="str">
        <f>IF(ISBLANK(A233),"",_xlfn.XLOOKUP(A233,'Requirement Overview'!C:C,'Requirement Overview'!I:I))</f>
        <v>Business developement executive</v>
      </c>
      <c r="G233" s="702" t="str">
        <f>IF(ISBLANK(A233),"",_xlfn.XLOOKUP(A233,'Requirement Overview'!C:C,'Requirement Overview'!G:G))</f>
        <v>Sarelx</v>
      </c>
      <c r="H233" s="470" t="s">
        <v>1213</v>
      </c>
      <c r="I233" s="702" t="s">
        <v>262</v>
      </c>
      <c r="J233" s="478" t="s">
        <v>1214</v>
      </c>
      <c r="K233" s="702">
        <v>8310634289</v>
      </c>
      <c r="L233" s="702" t="s">
        <v>305</v>
      </c>
      <c r="M233" s="702" t="s">
        <v>1215</v>
      </c>
      <c r="N233" s="496" t="s">
        <v>539</v>
      </c>
      <c r="O233" s="702" t="s">
        <v>501</v>
      </c>
      <c r="P233" s="702" t="s">
        <v>1128</v>
      </c>
      <c r="Q233" s="702" t="s">
        <v>294</v>
      </c>
      <c r="R233" s="702" t="s">
        <v>1216</v>
      </c>
      <c r="S233" s="702" t="s">
        <v>270</v>
      </c>
      <c r="T233" s="702" t="s">
        <v>271</v>
      </c>
      <c r="U233" s="703">
        <v>46043</v>
      </c>
      <c r="V233" s="703">
        <v>46043</v>
      </c>
      <c r="W233" s="702"/>
      <c r="X233" s="702"/>
      <c r="Y233" s="702"/>
      <c r="Z233" s="702"/>
      <c r="AA233" s="702"/>
      <c r="AB233" s="702"/>
      <c r="AC233" s="702"/>
      <c r="AD233" s="702"/>
      <c r="AE233" s="46"/>
      <c r="AL233" s="24"/>
      <c r="AM233" s="24"/>
      <c r="AS233" s="24"/>
    </row>
    <row r="234" spans="1:119" ht="14.45">
      <c r="A234" s="702" t="s">
        <v>83</v>
      </c>
      <c r="B234" s="702" t="s">
        <v>258</v>
      </c>
      <c r="C234" s="476" t="str">
        <f>IF(ISBLANK(B234),"",_xlfn.XLOOKUP(B234,Recruiter!A:A,Recruiter!B:B))</f>
        <v>Bhoomika</v>
      </c>
      <c r="D234" s="476" t="str">
        <f>IF(ISBLANK(A234),"",_xlfn.XLOOKUP(A234,'Requirement Overview'!C:C,'Requirement Overview'!E:E))</f>
        <v>Talme</v>
      </c>
      <c r="E234" s="702" t="str">
        <f>IF(ISBLANK(A234),"",_xlfn.XLOOKUP(A234,'Requirement Overview'!C:C,'Requirement Overview'!H:H))</f>
        <v>Non - IT</v>
      </c>
      <c r="F234" s="702" t="str">
        <f>IF(ISBLANK(A234),"",_xlfn.XLOOKUP(A234,'Requirement Overview'!C:C,'Requirement Overview'!I:I))</f>
        <v>Business developement executive</v>
      </c>
      <c r="G234" s="702" t="str">
        <f>IF(ISBLANK(A234),"",_xlfn.XLOOKUP(A234,'Requirement Overview'!C:C,'Requirement Overview'!G:G))</f>
        <v>Sarelx</v>
      </c>
      <c r="H234" s="470" t="s">
        <v>1217</v>
      </c>
      <c r="I234" s="702" t="s">
        <v>316</v>
      </c>
      <c r="J234" s="478" t="s">
        <v>1218</v>
      </c>
      <c r="K234" s="702">
        <v>9766899792</v>
      </c>
      <c r="L234" s="702" t="s">
        <v>290</v>
      </c>
      <c r="M234" s="702" t="s">
        <v>1219</v>
      </c>
      <c r="N234" s="496" t="s">
        <v>1220</v>
      </c>
      <c r="O234" s="702" t="s">
        <v>509</v>
      </c>
      <c r="P234" s="702" t="s">
        <v>1221</v>
      </c>
      <c r="Q234" s="702" t="s">
        <v>294</v>
      </c>
      <c r="R234" s="702" t="s">
        <v>1216</v>
      </c>
      <c r="S234" s="702" t="s">
        <v>270</v>
      </c>
      <c r="T234" s="702" t="s">
        <v>271</v>
      </c>
      <c r="U234" s="703">
        <v>46043</v>
      </c>
      <c r="V234" s="703">
        <v>46043</v>
      </c>
      <c r="W234" s="702"/>
      <c r="X234" s="702"/>
      <c r="Y234" s="702"/>
      <c r="Z234" s="702"/>
      <c r="AA234" s="702"/>
      <c r="AB234" s="702"/>
      <c r="AC234" s="702"/>
      <c r="AD234" s="702"/>
      <c r="AE234" s="46"/>
      <c r="AL234" s="24"/>
      <c r="AM234" s="24"/>
      <c r="AS234" s="24"/>
    </row>
    <row r="235" spans="1:119" ht="14.45">
      <c r="A235" s="702" t="s">
        <v>83</v>
      </c>
      <c r="B235" s="702" t="s">
        <v>258</v>
      </c>
      <c r="C235" s="476" t="str">
        <f>IF(ISBLANK(B235),"",_xlfn.XLOOKUP(B235,Recruiter!A:A,Recruiter!B:B))</f>
        <v>Bhoomika</v>
      </c>
      <c r="D235" s="476" t="str">
        <f>IF(ISBLANK(A235),"",_xlfn.XLOOKUP(A235,'Requirement Overview'!C:C,'Requirement Overview'!E:E))</f>
        <v>Talme</v>
      </c>
      <c r="E235" s="702" t="str">
        <f>IF(ISBLANK(A235),"",_xlfn.XLOOKUP(A235,'Requirement Overview'!C:C,'Requirement Overview'!H:H))</f>
        <v>Non - IT</v>
      </c>
      <c r="F235" s="702" t="str">
        <f>IF(ISBLANK(A235),"",_xlfn.XLOOKUP(A235,'Requirement Overview'!C:C,'Requirement Overview'!I:I))</f>
        <v>Business developement executive</v>
      </c>
      <c r="G235" s="702" t="str">
        <f>IF(ISBLANK(A235),"",_xlfn.XLOOKUP(A235,'Requirement Overview'!C:C,'Requirement Overview'!G:G))</f>
        <v>Sarelx</v>
      </c>
      <c r="H235" s="470" t="s">
        <v>1222</v>
      </c>
      <c r="I235" s="702" t="s">
        <v>316</v>
      </c>
      <c r="J235" s="478" t="s">
        <v>1223</v>
      </c>
      <c r="K235" s="702">
        <v>8892816236</v>
      </c>
      <c r="L235" s="702" t="s">
        <v>421</v>
      </c>
      <c r="M235" s="702" t="s">
        <v>499</v>
      </c>
      <c r="N235" s="496" t="s">
        <v>1224</v>
      </c>
      <c r="O235" s="702" t="s">
        <v>501</v>
      </c>
      <c r="P235" s="702" t="s">
        <v>1225</v>
      </c>
      <c r="Q235" s="702" t="s">
        <v>294</v>
      </c>
      <c r="R235" s="702" t="s">
        <v>1226</v>
      </c>
      <c r="S235" s="702" t="s">
        <v>270</v>
      </c>
      <c r="T235" s="702" t="s">
        <v>271</v>
      </c>
      <c r="U235" s="703">
        <v>46043</v>
      </c>
      <c r="V235" s="703">
        <v>46043</v>
      </c>
      <c r="W235" s="702"/>
      <c r="X235" s="702"/>
      <c r="Y235" s="702"/>
      <c r="Z235" s="702"/>
      <c r="AA235" s="702"/>
      <c r="AB235" s="702"/>
      <c r="AC235" s="702"/>
      <c r="AD235" s="702"/>
      <c r="AE235" s="46"/>
      <c r="AL235" s="24"/>
      <c r="AM235" s="24"/>
      <c r="AS235" s="24"/>
    </row>
    <row r="236" spans="1:119" ht="14.45">
      <c r="A236" s="702" t="s">
        <v>83</v>
      </c>
      <c r="B236" s="702" t="s">
        <v>258</v>
      </c>
      <c r="C236" s="476" t="str">
        <f>IF(ISBLANK(B236),"",_xlfn.XLOOKUP(B236,Recruiter!A:A,Recruiter!B:B))</f>
        <v>Bhoomika</v>
      </c>
      <c r="D236" s="476" t="str">
        <f>IF(ISBLANK(A236),"",_xlfn.XLOOKUP(A236,'Requirement Overview'!C:C,'Requirement Overview'!E:E))</f>
        <v>Talme</v>
      </c>
      <c r="E236" s="702" t="str">
        <f>IF(ISBLANK(A236),"",_xlfn.XLOOKUP(A236,'Requirement Overview'!C:C,'Requirement Overview'!H:H))</f>
        <v>Non - IT</v>
      </c>
      <c r="F236" s="702" t="str">
        <f>IF(ISBLANK(A236),"",_xlfn.XLOOKUP(A236,'Requirement Overview'!C:C,'Requirement Overview'!I:I))</f>
        <v>Business developement executive</v>
      </c>
      <c r="G236" s="702" t="str">
        <f>IF(ISBLANK(A236),"",_xlfn.XLOOKUP(A236,'Requirement Overview'!C:C,'Requirement Overview'!G:G))</f>
        <v>Sarelx</v>
      </c>
      <c r="H236" s="470" t="s">
        <v>1227</v>
      </c>
      <c r="I236" s="702" t="s">
        <v>1228</v>
      </c>
      <c r="J236" s="478" t="s">
        <v>1229</v>
      </c>
      <c r="K236" s="702">
        <v>7986635219</v>
      </c>
      <c r="L236" s="702" t="s">
        <v>290</v>
      </c>
      <c r="M236" s="702" t="s">
        <v>1230</v>
      </c>
      <c r="N236" s="496" t="s">
        <v>1231</v>
      </c>
      <c r="O236" s="702" t="s">
        <v>1232</v>
      </c>
      <c r="P236" s="702" t="s">
        <v>268</v>
      </c>
      <c r="Q236" s="702" t="s">
        <v>268</v>
      </c>
      <c r="R236" s="702" t="s">
        <v>1020</v>
      </c>
      <c r="S236" s="702" t="s">
        <v>270</v>
      </c>
      <c r="T236" s="702" t="s">
        <v>271</v>
      </c>
      <c r="U236" s="703">
        <v>46043</v>
      </c>
      <c r="V236" s="703">
        <v>46043</v>
      </c>
      <c r="W236" s="702"/>
      <c r="X236" s="702"/>
      <c r="Y236" s="702"/>
      <c r="Z236" s="702"/>
      <c r="AA236" s="702"/>
      <c r="AB236" s="702"/>
      <c r="AC236" s="702"/>
      <c r="AD236" s="702"/>
      <c r="AE236" s="46"/>
      <c r="AL236" s="24"/>
      <c r="AM236" s="24"/>
      <c r="AS236" s="24"/>
    </row>
    <row r="237" spans="1:119" ht="14.45">
      <c r="A237" s="702" t="s">
        <v>87</v>
      </c>
      <c r="B237" s="702" t="s">
        <v>258</v>
      </c>
      <c r="C237" s="476" t="str">
        <f>IF(ISBLANK(B237),"",_xlfn.XLOOKUP(B237,Recruiter!A:A,Recruiter!B:B))</f>
        <v>Bhoomika</v>
      </c>
      <c r="D237" s="476" t="str">
        <f>IF(ISBLANK(A237),"",_xlfn.XLOOKUP(A237,'Requirement Overview'!C:C,'Requirement Overview'!E:E))</f>
        <v>Talme</v>
      </c>
      <c r="E237" s="702" t="str">
        <f>IF(ISBLANK(A237),"",_xlfn.XLOOKUP(A237,'Requirement Overview'!C:C,'Requirement Overview'!H:H))</f>
        <v>Non - IT</v>
      </c>
      <c r="F237" s="702" t="str">
        <f>IF(ISBLANK(A237),"",_xlfn.XLOOKUP(A237,'Requirement Overview'!C:C,'Requirement Overview'!I:I))</f>
        <v>Founder office assoicate</v>
      </c>
      <c r="G237" s="702" t="str">
        <f>IF(ISBLANK(A237),"",_xlfn.XLOOKUP(A237,'Requirement Overview'!C:C,'Requirement Overview'!G:G))</f>
        <v>Sarelx</v>
      </c>
      <c r="H237" s="470" t="s">
        <v>1233</v>
      </c>
      <c r="I237" s="702" t="s">
        <v>519</v>
      </c>
      <c r="J237" s="478" t="s">
        <v>1234</v>
      </c>
      <c r="K237" s="702">
        <v>6379808234</v>
      </c>
      <c r="L237" s="702" t="s">
        <v>290</v>
      </c>
      <c r="M237" s="702" t="s">
        <v>1235</v>
      </c>
      <c r="N237" s="496" t="s">
        <v>1236</v>
      </c>
      <c r="O237" s="475">
        <v>60000</v>
      </c>
      <c r="P237" s="702" t="s">
        <v>1237</v>
      </c>
      <c r="Q237" s="702" t="s">
        <v>268</v>
      </c>
      <c r="R237" s="702" t="s">
        <v>568</v>
      </c>
      <c r="S237" s="702" t="s">
        <v>270</v>
      </c>
      <c r="T237" s="702" t="s">
        <v>271</v>
      </c>
      <c r="U237" s="703">
        <v>46043</v>
      </c>
      <c r="V237" s="703">
        <v>46043</v>
      </c>
      <c r="W237" s="702"/>
      <c r="X237" s="702"/>
      <c r="Y237" s="702"/>
      <c r="Z237" s="702"/>
      <c r="AA237" s="702"/>
      <c r="AB237" s="702"/>
      <c r="AC237" s="702"/>
      <c r="AD237" s="702"/>
      <c r="AE237" s="46"/>
      <c r="AL237" s="24"/>
      <c r="AM237" s="24"/>
      <c r="AS237" s="24"/>
    </row>
    <row r="238" spans="1:119" ht="14.45">
      <c r="A238" s="702" t="s">
        <v>61</v>
      </c>
      <c r="B238" s="702" t="s">
        <v>258</v>
      </c>
      <c r="C238" s="476" t="str">
        <f>IF(ISBLANK(B238),"",_xlfn.XLOOKUP(B238,Recruiter!A:A,Recruiter!B:B))</f>
        <v>Bhoomika</v>
      </c>
      <c r="D238" s="476" t="str">
        <f>IF(ISBLANK(A238),"",_xlfn.XLOOKUP(A238,'Requirement Overview'!C:C,'Requirement Overview'!E:E))</f>
        <v>Talme</v>
      </c>
      <c r="E238" s="702" t="str">
        <f>IF(ISBLANK(A238),"",_xlfn.XLOOKUP(A238,'Requirement Overview'!C:C,'Requirement Overview'!H:H))</f>
        <v>Non - IT</v>
      </c>
      <c r="F238" s="702" t="str">
        <f>IF(ISBLANK(A238),"",_xlfn.XLOOKUP(A238,'Requirement Overview'!C:C,'Requirement Overview'!I:I))</f>
        <v>Graphic Designer</v>
      </c>
      <c r="G238" s="702" t="str">
        <f>IF(ISBLANK(A238),"",_xlfn.XLOOKUP(A238,'Requirement Overview'!C:C,'Requirement Overview'!G:G))</f>
        <v>Avinashi Ads</v>
      </c>
      <c r="H238" s="470" t="s">
        <v>1238</v>
      </c>
      <c r="I238" s="707" t="s">
        <v>316</v>
      </c>
      <c r="J238" s="505" t="s">
        <v>1239</v>
      </c>
      <c r="K238" s="707">
        <v>7975360642</v>
      </c>
      <c r="L238" s="707" t="s">
        <v>1240</v>
      </c>
      <c r="M238" s="707" t="s">
        <v>1241</v>
      </c>
      <c r="N238" s="496" t="s">
        <v>1242</v>
      </c>
      <c r="O238" s="702" t="s">
        <v>574</v>
      </c>
      <c r="P238" s="707" t="s">
        <v>1078</v>
      </c>
      <c r="Q238" s="707" t="s">
        <v>1243</v>
      </c>
      <c r="R238" s="707" t="s">
        <v>568</v>
      </c>
      <c r="S238" s="702" t="s">
        <v>270</v>
      </c>
      <c r="T238" s="702" t="s">
        <v>271</v>
      </c>
      <c r="U238" s="703">
        <v>46043</v>
      </c>
      <c r="V238" s="703">
        <v>46043</v>
      </c>
      <c r="W238" s="702"/>
      <c r="X238" s="702"/>
      <c r="Y238" s="702"/>
      <c r="Z238" s="702"/>
      <c r="AA238" s="702"/>
      <c r="AB238" s="702"/>
      <c r="AC238" s="702"/>
      <c r="AD238" s="702"/>
      <c r="AE238" s="46"/>
      <c r="AL238" s="24"/>
      <c r="AM238" s="24"/>
      <c r="AS238" s="24"/>
    </row>
    <row r="239" spans="1:119" ht="14.45">
      <c r="A239" s="702" t="s">
        <v>61</v>
      </c>
      <c r="B239" s="702" t="s">
        <v>258</v>
      </c>
      <c r="C239" s="476" t="str">
        <f>IF(ISBLANK(B239),"",_xlfn.XLOOKUP(B239,Recruiter!A:A,Recruiter!B:B))</f>
        <v>Bhoomika</v>
      </c>
      <c r="D239" s="476" t="str">
        <f>IF(ISBLANK(A239),"",_xlfn.XLOOKUP(A239,'Requirement Overview'!C:C,'Requirement Overview'!E:E))</f>
        <v>Talme</v>
      </c>
      <c r="E239" s="702" t="str">
        <f>IF(ISBLANK(A239),"",_xlfn.XLOOKUP(A239,'Requirement Overview'!C:C,'Requirement Overview'!H:H))</f>
        <v>Non - IT</v>
      </c>
      <c r="F239" s="702" t="str">
        <f>IF(ISBLANK(A239),"",_xlfn.XLOOKUP(A239,'Requirement Overview'!C:C,'Requirement Overview'!I:I))</f>
        <v>Graphic Designer</v>
      </c>
      <c r="G239" s="702" t="str">
        <f>IF(ISBLANK(A239),"",_xlfn.XLOOKUP(A239,'Requirement Overview'!C:C,'Requirement Overview'!G:G))</f>
        <v>Avinashi Ads</v>
      </c>
      <c r="H239" s="470" t="s">
        <v>1244</v>
      </c>
      <c r="I239" s="708" t="s">
        <v>316</v>
      </c>
      <c r="J239" s="505" t="s">
        <v>1245</v>
      </c>
      <c r="K239" s="707">
        <v>7204648055</v>
      </c>
      <c r="L239" s="707" t="s">
        <v>1246</v>
      </c>
      <c r="M239" s="707" t="s">
        <v>1241</v>
      </c>
      <c r="N239" s="496" t="s">
        <v>1247</v>
      </c>
      <c r="O239" s="702" t="s">
        <v>574</v>
      </c>
      <c r="P239" s="707" t="s">
        <v>268</v>
      </c>
      <c r="Q239" s="707" t="s">
        <v>1243</v>
      </c>
      <c r="R239" s="707" t="s">
        <v>568</v>
      </c>
      <c r="S239" s="702" t="s">
        <v>270</v>
      </c>
      <c r="T239" s="702" t="s">
        <v>271</v>
      </c>
      <c r="U239" s="703">
        <v>46043</v>
      </c>
      <c r="V239" s="703">
        <v>46043</v>
      </c>
      <c r="W239" s="702"/>
      <c r="X239" s="702"/>
      <c r="Y239" s="702"/>
      <c r="Z239" s="702"/>
      <c r="AA239" s="702"/>
      <c r="AB239" s="702"/>
      <c r="AC239" s="702"/>
      <c r="AD239" s="702"/>
      <c r="AE239" s="46"/>
      <c r="AL239" s="24"/>
      <c r="AM239" s="24"/>
      <c r="AS239" s="24"/>
    </row>
    <row r="240" spans="1:119" ht="14.45">
      <c r="A240" s="5" t="s">
        <v>64</v>
      </c>
      <c r="B240" s="5" t="s">
        <v>236</v>
      </c>
      <c r="C240" s="434" t="str">
        <f>IF(ISBLANK(B240),"",_xlfn.XLOOKUP(B240,Recruiter!A:A,Recruiter!B:B))</f>
        <v>Pooja</v>
      </c>
      <c r="D240" s="434" t="str">
        <f>IF(ISBLANK(A240),"",_xlfn.XLOOKUP(A240,'Requirement Overview'!C:C,'Requirement Overview'!E:E))</f>
        <v>Talme</v>
      </c>
      <c r="E240" s="580" t="str">
        <f>IF(ISBLANK(A240),"",_xlfn.XLOOKUP(A240,'Requirement Overview'!C:C,'Requirement Overview'!H:H))</f>
        <v>Non - IT</v>
      </c>
      <c r="F240" s="580" t="str">
        <f>IF(ISBLANK(A240),"",_xlfn.XLOOKUP(A240,'Requirement Overview'!C:C,'Requirement Overview'!I:I))</f>
        <v>Sales Head</v>
      </c>
      <c r="G240" s="581" t="str">
        <f>IF(ISBLANK(A240),"",_xlfn.XLOOKUP(A240,'Requirement Overview'!C:C,'Requirement Overview'!G:G))</f>
        <v>Avinashi Ads</v>
      </c>
      <c r="H240" s="429" t="s">
        <v>1248</v>
      </c>
      <c r="I240" s="582" t="s">
        <v>625</v>
      </c>
      <c r="J240" s="583" t="s">
        <v>1249</v>
      </c>
      <c r="K240" s="366">
        <v>9632853411</v>
      </c>
      <c r="L240" s="584" t="s">
        <v>707</v>
      </c>
      <c r="M240" s="5" t="s">
        <v>636</v>
      </c>
      <c r="N240" s="432" t="s">
        <v>1250</v>
      </c>
      <c r="O240" s="5" t="s">
        <v>1144</v>
      </c>
      <c r="P240" s="585" t="s">
        <v>268</v>
      </c>
      <c r="Q240" s="5" t="s">
        <v>837</v>
      </c>
      <c r="R240" s="5" t="s">
        <v>822</v>
      </c>
      <c r="S240" s="5" t="s">
        <v>270</v>
      </c>
      <c r="T240" s="5" t="s">
        <v>271</v>
      </c>
      <c r="U240" s="118">
        <v>46044</v>
      </c>
      <c r="V240" s="118">
        <v>46044</v>
      </c>
      <c r="W240" s="5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S240" s="24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</row>
    <row r="241" spans="1:119" ht="14.45">
      <c r="A241" s="3" t="s">
        <v>59</v>
      </c>
      <c r="B241" s="3" t="s">
        <v>236</v>
      </c>
      <c r="C241" s="77" t="str">
        <f>IF(ISBLANK(B241),"",_xlfn.XLOOKUP(B241,Recruiter!A:A,Recruiter!B:B))</f>
        <v>Pooja</v>
      </c>
      <c r="D241" s="77" t="str">
        <f>IF(ISBLANK(A241),"",_xlfn.XLOOKUP(A241,'Requirement Overview'!C:C,'Requirement Overview'!E:E))</f>
        <v>Talme</v>
      </c>
      <c r="E241" s="458" t="str">
        <f>IF(ISBLANK(A241),"",_xlfn.XLOOKUP(A241,'Requirement Overview'!C:C,'Requirement Overview'!H:H))</f>
        <v>Non - IT</v>
      </c>
      <c r="F241" s="458" t="str">
        <f>IF(ISBLANK(A241),"",_xlfn.XLOOKUP(A241,'Requirement Overview'!C:C,'Requirement Overview'!I:I))</f>
        <v>Field Sales Executive</v>
      </c>
      <c r="G241" s="463" t="str">
        <f>IF(ISBLANK(A241),"",_xlfn.XLOOKUP(A241,'Requirement Overview'!C:C,'Requirement Overview'!G:G))</f>
        <v>Peritas</v>
      </c>
      <c r="H241" s="185" t="s">
        <v>1251</v>
      </c>
      <c r="I241" s="167" t="s">
        <v>625</v>
      </c>
      <c r="J241" s="4" t="s">
        <v>1252</v>
      </c>
      <c r="K241" s="235">
        <v>8093310777</v>
      </c>
      <c r="L241" s="61" t="s">
        <v>713</v>
      </c>
      <c r="M241" s="6" t="s">
        <v>1253</v>
      </c>
      <c r="N241" s="91" t="s">
        <v>1254</v>
      </c>
      <c r="O241" s="3" t="s">
        <v>1255</v>
      </c>
      <c r="P241" s="45" t="s">
        <v>268</v>
      </c>
      <c r="Q241" s="3" t="s">
        <v>837</v>
      </c>
      <c r="R241" s="45" t="s">
        <v>295</v>
      </c>
      <c r="S241" s="3" t="s">
        <v>270</v>
      </c>
      <c r="T241" s="3" t="s">
        <v>103</v>
      </c>
      <c r="U241" s="29">
        <v>46044</v>
      </c>
      <c r="V241" s="29">
        <v>46044</v>
      </c>
      <c r="W241" s="3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S241" s="24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</row>
    <row r="242" spans="1:119" ht="14.45">
      <c r="A242" s="3" t="s">
        <v>59</v>
      </c>
      <c r="B242" s="3" t="s">
        <v>236</v>
      </c>
      <c r="C242" s="77" t="str">
        <f>IF(ISBLANK(B242),"",_xlfn.XLOOKUP(B242,Recruiter!A:A,Recruiter!B:B))</f>
        <v>Pooja</v>
      </c>
      <c r="D242" s="77" t="str">
        <f>IF(ISBLANK(A242),"",_xlfn.XLOOKUP(A242,'Requirement Overview'!C:C,'Requirement Overview'!E:E))</f>
        <v>Talme</v>
      </c>
      <c r="E242" s="458" t="str">
        <f>IF(ISBLANK(A242),"",_xlfn.XLOOKUP(A242,'Requirement Overview'!C:C,'Requirement Overview'!H:H))</f>
        <v>Non - IT</v>
      </c>
      <c r="F242" s="458" t="str">
        <f>IF(ISBLANK(A242),"",_xlfn.XLOOKUP(A242,'Requirement Overview'!C:C,'Requirement Overview'!I:I))</f>
        <v>Field Sales Executive</v>
      </c>
      <c r="G242" s="463" t="str">
        <f>IF(ISBLANK(A242),"",_xlfn.XLOOKUP(A242,'Requirement Overview'!C:C,'Requirement Overview'!G:G))</f>
        <v>Peritas</v>
      </c>
      <c r="H242" s="185" t="s">
        <v>1256</v>
      </c>
      <c r="I242" s="167" t="s">
        <v>892</v>
      </c>
      <c r="J242" s="4" t="s">
        <v>1257</v>
      </c>
      <c r="K242" s="235">
        <v>6366347478</v>
      </c>
      <c r="L242" s="61" t="s">
        <v>641</v>
      </c>
      <c r="M242" s="3" t="s">
        <v>1258</v>
      </c>
      <c r="N242" s="91" t="s">
        <v>1259</v>
      </c>
      <c r="O242" s="3" t="s">
        <v>1260</v>
      </c>
      <c r="P242" s="3" t="s">
        <v>837</v>
      </c>
      <c r="Q242" s="3" t="s">
        <v>837</v>
      </c>
      <c r="R242" s="3" t="s">
        <v>1261</v>
      </c>
      <c r="S242" s="3" t="s">
        <v>270</v>
      </c>
      <c r="T242" s="3" t="s">
        <v>103</v>
      </c>
      <c r="U242" s="29">
        <v>46044</v>
      </c>
      <c r="V242" s="29">
        <v>46044</v>
      </c>
      <c r="W242" s="3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S242" s="24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</row>
    <row r="243" spans="1:119" ht="14.45">
      <c r="A243" s="3" t="s">
        <v>55</v>
      </c>
      <c r="B243" s="3" t="s">
        <v>236</v>
      </c>
      <c r="C243" s="77" t="str">
        <f>IF(ISBLANK(B243),"",_xlfn.XLOOKUP(B243,Recruiter!A:A,Recruiter!B:B))</f>
        <v>Pooja</v>
      </c>
      <c r="D243" s="77" t="str">
        <f>IF(ISBLANK(A243),"",_xlfn.XLOOKUP(A243,'Requirement Overview'!C:C,'Requirement Overview'!E:E))</f>
        <v>Talme</v>
      </c>
      <c r="E243" s="458" t="str">
        <f>IF(ISBLANK(A243),"",_xlfn.XLOOKUP(A243,'Requirement Overview'!C:C,'Requirement Overview'!H:H))</f>
        <v>Non - IT</v>
      </c>
      <c r="F243" s="458" t="str">
        <f>IF(ISBLANK(A243),"",_xlfn.XLOOKUP(A243,'Requirement Overview'!C:C,'Requirement Overview'!I:I))</f>
        <v>Inside Sales Executive</v>
      </c>
      <c r="G243" s="463" t="str">
        <f>IF(ISBLANK(A243),"",_xlfn.XLOOKUP(A243,'Requirement Overview'!C:C,'Requirement Overview'!G:G))</f>
        <v>Peritas</v>
      </c>
      <c r="H243" s="185" t="s">
        <v>1262</v>
      </c>
      <c r="I243" s="167" t="s">
        <v>976</v>
      </c>
      <c r="J243" s="4" t="s">
        <v>1263</v>
      </c>
      <c r="K243" s="235">
        <v>7010736331</v>
      </c>
      <c r="L243" s="61" t="s">
        <v>922</v>
      </c>
      <c r="M243" s="3" t="s">
        <v>986</v>
      </c>
      <c r="N243" s="91" t="s">
        <v>1264</v>
      </c>
      <c r="O243" s="3" t="s">
        <v>1265</v>
      </c>
      <c r="P243" s="3" t="s">
        <v>837</v>
      </c>
      <c r="Q243" s="3" t="s">
        <v>837</v>
      </c>
      <c r="R243" s="3" t="s">
        <v>1266</v>
      </c>
      <c r="S243" s="3" t="s">
        <v>270</v>
      </c>
      <c r="T243" s="3" t="s">
        <v>103</v>
      </c>
      <c r="U243" s="29">
        <v>46044</v>
      </c>
      <c r="V243" s="29">
        <v>46044</v>
      </c>
      <c r="W243" s="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S243" s="24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</row>
    <row r="244" spans="1:119" ht="14.45">
      <c r="A244" s="50" t="s">
        <v>55</v>
      </c>
      <c r="B244" s="50" t="s">
        <v>236</v>
      </c>
      <c r="C244" s="445" t="str">
        <f>IF(ISBLANK(B244),"",_xlfn.XLOOKUP(B244,Recruiter!A:A,Recruiter!B:B))</f>
        <v>Pooja</v>
      </c>
      <c r="D244" s="445" t="str">
        <f>IF(ISBLANK(A244),"",_xlfn.XLOOKUP(A244,'Requirement Overview'!C:C,'Requirement Overview'!E:E))</f>
        <v>Talme</v>
      </c>
      <c r="E244" s="461" t="str">
        <f>IF(ISBLANK(A244),"",_xlfn.XLOOKUP(A244,'Requirement Overview'!C:C,'Requirement Overview'!H:H))</f>
        <v>Non - IT</v>
      </c>
      <c r="F244" s="461" t="str">
        <f>IF(ISBLANK(A244),"",_xlfn.XLOOKUP(A244,'Requirement Overview'!C:C,'Requirement Overview'!I:I))</f>
        <v>Inside Sales Executive</v>
      </c>
      <c r="G244" s="529" t="str">
        <f>IF(ISBLANK(A244),"",_xlfn.XLOOKUP(A244,'Requirement Overview'!C:C,'Requirement Overview'!G:G))</f>
        <v>Peritas</v>
      </c>
      <c r="H244" s="518" t="s">
        <v>1267</v>
      </c>
      <c r="I244" s="530" t="s">
        <v>625</v>
      </c>
      <c r="J244" s="148" t="s">
        <v>1268</v>
      </c>
      <c r="K244" s="531">
        <v>9902882781</v>
      </c>
      <c r="L244" s="63" t="s">
        <v>707</v>
      </c>
      <c r="M244" s="50" t="s">
        <v>1269</v>
      </c>
      <c r="N244" s="110" t="s">
        <v>1270</v>
      </c>
      <c r="O244" s="50" t="s">
        <v>1271</v>
      </c>
      <c r="P244" s="82" t="s">
        <v>268</v>
      </c>
      <c r="Q244" s="50" t="s">
        <v>837</v>
      </c>
      <c r="R244" s="50" t="s">
        <v>1272</v>
      </c>
      <c r="S244" s="50" t="s">
        <v>270</v>
      </c>
      <c r="T244" s="50" t="s">
        <v>103</v>
      </c>
      <c r="U244" s="89">
        <v>46044</v>
      </c>
      <c r="V244" s="89">
        <v>46044</v>
      </c>
      <c r="W244" s="50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S244" s="2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</row>
    <row r="245" spans="1:119" ht="14.45">
      <c r="A245" s="702" t="s">
        <v>55</v>
      </c>
      <c r="B245" s="702" t="s">
        <v>258</v>
      </c>
      <c r="C245" s="476" t="str">
        <f>IF(ISBLANK(B245),"",_xlfn.XLOOKUP(B245,Recruiter!A:A,Recruiter!B:B))</f>
        <v>Bhoomika</v>
      </c>
      <c r="D245" s="476" t="str">
        <f>IF(ISBLANK(A245),"",_xlfn.XLOOKUP(A245,'Requirement Overview'!C:C,'Requirement Overview'!E:E))</f>
        <v>Talme</v>
      </c>
      <c r="E245" s="702" t="str">
        <f>IF(ISBLANK(A245),"",_xlfn.XLOOKUP(A245,'Requirement Overview'!C:C,'Requirement Overview'!H:H))</f>
        <v>Non - IT</v>
      </c>
      <c r="F245" s="702" t="str">
        <f>IF(ISBLANK(A245),"",_xlfn.XLOOKUP(A245,'Requirement Overview'!C:C,'Requirement Overview'!I:I))</f>
        <v>Inside Sales Executive</v>
      </c>
      <c r="G245" s="702" t="str">
        <f>IF(ISBLANK(A245),"",_xlfn.XLOOKUP(A245,'Requirement Overview'!C:C,'Requirement Overview'!G:G))</f>
        <v>Peritas</v>
      </c>
      <c r="H245" s="470" t="s">
        <v>1273</v>
      </c>
      <c r="I245" s="702" t="s">
        <v>316</v>
      </c>
      <c r="J245" s="478" t="s">
        <v>1274</v>
      </c>
      <c r="K245" s="702">
        <v>7993739582</v>
      </c>
      <c r="L245" s="702" t="s">
        <v>305</v>
      </c>
      <c r="M245" s="702" t="s">
        <v>1275</v>
      </c>
      <c r="N245" s="496" t="s">
        <v>1276</v>
      </c>
      <c r="O245" s="702" t="s">
        <v>267</v>
      </c>
      <c r="P245" s="702" t="s">
        <v>294</v>
      </c>
      <c r="Q245" s="702" t="s">
        <v>294</v>
      </c>
      <c r="R245" s="702" t="s">
        <v>327</v>
      </c>
      <c r="S245" s="702" t="s">
        <v>270</v>
      </c>
      <c r="T245" s="702" t="s">
        <v>103</v>
      </c>
      <c r="U245" s="703">
        <v>46044</v>
      </c>
      <c r="V245" s="703">
        <v>46044</v>
      </c>
      <c r="W245" s="702"/>
      <c r="X245" s="702"/>
      <c r="Y245" s="702"/>
      <c r="Z245" s="702"/>
      <c r="AA245" s="702"/>
      <c r="AB245" s="702"/>
      <c r="AC245" s="702"/>
      <c r="AD245" s="702"/>
      <c r="AE245" s="46"/>
      <c r="AL245" s="24"/>
      <c r="AM245" s="24"/>
      <c r="AS245" s="24"/>
    </row>
    <row r="246" spans="1:119" ht="14.45">
      <c r="A246" s="702" t="s">
        <v>55</v>
      </c>
      <c r="B246" s="702" t="s">
        <v>258</v>
      </c>
      <c r="C246" s="476" t="str">
        <f>IF(ISBLANK(B246),"",_xlfn.XLOOKUP(B246,Recruiter!A:A,Recruiter!B:B))</f>
        <v>Bhoomika</v>
      </c>
      <c r="D246" s="476" t="str">
        <f>IF(ISBLANK(A246),"",_xlfn.XLOOKUP(A246,'Requirement Overview'!C:C,'Requirement Overview'!E:E))</f>
        <v>Talme</v>
      </c>
      <c r="E246" s="702" t="str">
        <f>IF(ISBLANK(A246),"",_xlfn.XLOOKUP(A246,'Requirement Overview'!C:C,'Requirement Overview'!H:H))</f>
        <v>Non - IT</v>
      </c>
      <c r="F246" s="702" t="str">
        <f>IF(ISBLANK(A246),"",_xlfn.XLOOKUP(A246,'Requirement Overview'!C:C,'Requirement Overview'!I:I))</f>
        <v>Inside Sales Executive</v>
      </c>
      <c r="G246" s="702" t="str">
        <f>IF(ISBLANK(A246),"",_xlfn.XLOOKUP(A246,'Requirement Overview'!C:C,'Requirement Overview'!G:G))</f>
        <v>Peritas</v>
      </c>
      <c r="H246" s="470" t="s">
        <v>1277</v>
      </c>
      <c r="I246" s="702" t="s">
        <v>497</v>
      </c>
      <c r="J246" s="478" t="s">
        <v>1278</v>
      </c>
      <c r="K246" s="702">
        <v>8309164084</v>
      </c>
      <c r="L246" s="702" t="s">
        <v>1279</v>
      </c>
      <c r="M246" s="702" t="s">
        <v>1280</v>
      </c>
      <c r="N246" s="496" t="s">
        <v>1281</v>
      </c>
      <c r="O246" s="702" t="s">
        <v>295</v>
      </c>
      <c r="P246" s="702" t="s">
        <v>879</v>
      </c>
      <c r="Q246" s="702" t="s">
        <v>294</v>
      </c>
      <c r="R246" s="702" t="s">
        <v>730</v>
      </c>
      <c r="S246" s="702" t="s">
        <v>270</v>
      </c>
      <c r="T246" s="702" t="s">
        <v>103</v>
      </c>
      <c r="U246" s="703">
        <v>46044</v>
      </c>
      <c r="V246" s="703">
        <v>46044</v>
      </c>
      <c r="W246" s="702"/>
      <c r="X246" s="702"/>
      <c r="Y246" s="702"/>
      <c r="Z246" s="702"/>
      <c r="AA246" s="702"/>
      <c r="AB246" s="702"/>
      <c r="AC246" s="702"/>
      <c r="AD246" s="702"/>
      <c r="AE246" s="46"/>
      <c r="AL246" s="24"/>
      <c r="AM246" s="24"/>
      <c r="AS246" s="24"/>
    </row>
    <row r="247" spans="1:119" s="51" customFormat="1" ht="14.45">
      <c r="A247" s="702" t="s">
        <v>55</v>
      </c>
      <c r="B247" s="702" t="s">
        <v>258</v>
      </c>
      <c r="C247" s="476" t="str">
        <f>IF(ISBLANK(B247),"",_xlfn.XLOOKUP(B247,Recruiter!A:A,Recruiter!B:B))</f>
        <v>Bhoomika</v>
      </c>
      <c r="D247" s="476" t="str">
        <f>IF(ISBLANK(A247),"",_xlfn.XLOOKUP(A247,'Requirement Overview'!C:C,'Requirement Overview'!E:E))</f>
        <v>Talme</v>
      </c>
      <c r="E247" s="702" t="str">
        <f>IF(ISBLANK(A247),"",_xlfn.XLOOKUP(A247,'Requirement Overview'!C:C,'Requirement Overview'!H:H))</f>
        <v>Non - IT</v>
      </c>
      <c r="F247" s="702" t="str">
        <f>IF(ISBLANK(A247),"",_xlfn.XLOOKUP(A247,'Requirement Overview'!C:C,'Requirement Overview'!I:I))</f>
        <v>Inside Sales Executive</v>
      </c>
      <c r="G247" s="702" t="str">
        <f>IF(ISBLANK(A247),"",_xlfn.XLOOKUP(A247,'Requirement Overview'!C:C,'Requirement Overview'!G:G))</f>
        <v>Peritas</v>
      </c>
      <c r="H247" s="470" t="s">
        <v>1282</v>
      </c>
      <c r="I247" s="702" t="s">
        <v>262</v>
      </c>
      <c r="J247" s="478" t="s">
        <v>1283</v>
      </c>
      <c r="K247" s="470">
        <v>9159651352</v>
      </c>
      <c r="L247" s="702" t="s">
        <v>290</v>
      </c>
      <c r="M247" s="702" t="s">
        <v>1284</v>
      </c>
      <c r="N247" s="496" t="s">
        <v>1285</v>
      </c>
      <c r="O247" s="702" t="s">
        <v>295</v>
      </c>
      <c r="P247" s="702" t="s">
        <v>1286</v>
      </c>
      <c r="Q247" s="702" t="s">
        <v>294</v>
      </c>
      <c r="R247" s="702" t="s">
        <v>730</v>
      </c>
      <c r="S247" s="702" t="s">
        <v>270</v>
      </c>
      <c r="T247" s="702" t="s">
        <v>103</v>
      </c>
      <c r="U247" s="703">
        <v>46044</v>
      </c>
      <c r="V247" s="703">
        <v>46044</v>
      </c>
      <c r="W247" s="702"/>
      <c r="X247" s="702"/>
      <c r="Y247" s="702"/>
      <c r="Z247" s="702"/>
      <c r="AA247" s="702"/>
      <c r="AB247" s="702"/>
      <c r="AC247" s="702"/>
      <c r="AD247" s="702"/>
      <c r="AE247" s="108"/>
      <c r="AP247" s="24"/>
      <c r="AQ247" s="24"/>
      <c r="AR247" s="24"/>
      <c r="AS247" s="24"/>
    </row>
    <row r="248" spans="1:119" ht="14.45">
      <c r="A248" s="47" t="s">
        <v>107</v>
      </c>
      <c r="B248" s="47" t="s">
        <v>520</v>
      </c>
      <c r="C248" s="80" t="str">
        <f>IF(ISBLANK(B248),"",_xlfn.XLOOKUP(B248,Recruiter!A:A,Recruiter!B:B))</f>
        <v>Narthana</v>
      </c>
      <c r="D248" s="80" t="str">
        <f>IF(ISBLANK(A248),"",_xlfn.XLOOKUP(A248,'Requirement Overview'!C:C,'Requirement Overview'!E:E))</f>
        <v>Talme</v>
      </c>
      <c r="E248" s="586" t="str">
        <f>IF(ISBLANK(A248),"",_xlfn.XLOOKUP(A248,'Requirement Overview'!C:C,'Requirement Overview'!H:H))</f>
        <v>IT</v>
      </c>
      <c r="F248" s="586" t="str">
        <f>IF(ISBLANK(A248),"",_xlfn.XLOOKUP(A248,'Requirement Overview'!C:C,'Requirement Overview'!I:I))</f>
        <v>.Net Backend Developer</v>
      </c>
      <c r="G248" s="587" t="str">
        <f>IF(ISBLANK(A248),"",_xlfn.XLOOKUP(A248,'Requirement Overview'!C:C,'Requirement Overview'!G:G))</f>
        <v>Semnox Solutions</v>
      </c>
      <c r="H248" s="429" t="s">
        <v>1287</v>
      </c>
      <c r="I248" s="588" t="s">
        <v>1288</v>
      </c>
      <c r="J248" s="589" t="s">
        <v>1289</v>
      </c>
      <c r="K248" s="590" t="s">
        <v>1290</v>
      </c>
      <c r="L248" s="588" t="s">
        <v>378</v>
      </c>
      <c r="M248" s="590" t="s">
        <v>947</v>
      </c>
      <c r="N248" s="432" t="s">
        <v>1291</v>
      </c>
      <c r="O248" s="590" t="s">
        <v>638</v>
      </c>
      <c r="P248" s="590" t="s">
        <v>1292</v>
      </c>
      <c r="Q248" s="590" t="s">
        <v>1183</v>
      </c>
      <c r="R248" s="590" t="s">
        <v>589</v>
      </c>
      <c r="S248" s="47" t="s">
        <v>470</v>
      </c>
      <c r="T248" s="47" t="s">
        <v>103</v>
      </c>
      <c r="U248" s="118">
        <v>46044</v>
      </c>
      <c r="V248" s="118">
        <v>46044</v>
      </c>
      <c r="W248" s="47"/>
      <c r="X248" s="47"/>
      <c r="Y248" s="47"/>
      <c r="Z248" s="47"/>
      <c r="AA248" s="47"/>
      <c r="AB248" s="47"/>
      <c r="AC248" s="47"/>
      <c r="AD248" s="47"/>
      <c r="AL248" s="24"/>
      <c r="AM248" s="24"/>
      <c r="AS248" s="24"/>
    </row>
    <row r="249" spans="1:119" ht="14.45">
      <c r="A249" s="24" t="s">
        <v>107</v>
      </c>
      <c r="B249" s="24" t="s">
        <v>520</v>
      </c>
      <c r="C249" s="19" t="str">
        <f>IF(ISBLANK(B249),"",_xlfn.XLOOKUP(B249,Recruiter!A:A,Recruiter!B:B))</f>
        <v>Narthana</v>
      </c>
      <c r="D249" s="19" t="str">
        <f>IF(ISBLANK(A249),"",_xlfn.XLOOKUP(A249,'Requirement Overview'!C:C,'Requirement Overview'!E:E))</f>
        <v>Talme</v>
      </c>
      <c r="E249" s="459" t="str">
        <f>IF(ISBLANK(A249),"",_xlfn.XLOOKUP(A249,'Requirement Overview'!C:C,'Requirement Overview'!H:H))</f>
        <v>IT</v>
      </c>
      <c r="F249" s="459" t="str">
        <f>IF(ISBLANK(A249),"",_xlfn.XLOOKUP(A249,'Requirement Overview'!C:C,'Requirement Overview'!I:I))</f>
        <v>.Net Backend Developer</v>
      </c>
      <c r="G249" s="460" t="str">
        <f>IF(ISBLANK(A249),"",_xlfn.XLOOKUP(A249,'Requirement Overview'!C:C,'Requirement Overview'!G:G))</f>
        <v>Semnox Solutions</v>
      </c>
      <c r="H249" s="185" t="s">
        <v>1293</v>
      </c>
      <c r="I249" s="168" t="s">
        <v>1294</v>
      </c>
      <c r="J249" s="209" t="s">
        <v>1295</v>
      </c>
      <c r="K249" s="79">
        <v>9880445578</v>
      </c>
      <c r="L249" s="168" t="s">
        <v>311</v>
      </c>
      <c r="M249" s="79" t="s">
        <v>371</v>
      </c>
      <c r="N249" s="91" t="s">
        <v>1296</v>
      </c>
      <c r="O249" s="79" t="s">
        <v>381</v>
      </c>
      <c r="P249" s="79" t="s">
        <v>1297</v>
      </c>
      <c r="Q249" s="79" t="s">
        <v>1183</v>
      </c>
      <c r="R249" s="79" t="s">
        <v>374</v>
      </c>
      <c r="S249" s="24" t="s">
        <v>470</v>
      </c>
      <c r="T249" s="24" t="s">
        <v>103</v>
      </c>
      <c r="U249" s="29">
        <v>46044</v>
      </c>
      <c r="V249" s="29">
        <v>46044</v>
      </c>
      <c r="AL249" s="24"/>
      <c r="AM249" s="24"/>
      <c r="AS249" s="24"/>
    </row>
    <row r="250" spans="1:119" ht="14.45">
      <c r="A250" s="24" t="s">
        <v>49</v>
      </c>
      <c r="B250" s="24" t="s">
        <v>520</v>
      </c>
      <c r="C250" s="19" t="str">
        <f>IF(ISBLANK(B250),"",_xlfn.XLOOKUP(B250,Recruiter!A:A,Recruiter!B:B))</f>
        <v>Narthana</v>
      </c>
      <c r="D250" s="19" t="str">
        <f>IF(ISBLANK(A250),"",_xlfn.XLOOKUP(A250,'Requirement Overview'!C:C,'Requirement Overview'!E:E))</f>
        <v>Talme</v>
      </c>
      <c r="E250" s="459" t="str">
        <f>IF(ISBLANK(A250),"",_xlfn.XLOOKUP(A250,'Requirement Overview'!C:C,'Requirement Overview'!H:H))</f>
        <v>IT</v>
      </c>
      <c r="F250" s="459" t="str">
        <f>IF(ISBLANK(A250),"",_xlfn.XLOOKUP(A250,'Requirement Overview'!C:C,'Requirement Overview'!I:I))</f>
        <v>Lead IAM Management</v>
      </c>
      <c r="G250" s="460" t="str">
        <f>IF(ISBLANK(A250),"",_xlfn.XLOOKUP(A250,'Requirement Overview'!C:C,'Requirement Overview'!G:G))</f>
        <v>Thoughtfocus</v>
      </c>
      <c r="H250" s="185" t="s">
        <v>1298</v>
      </c>
      <c r="I250" s="169" t="s">
        <v>1299</v>
      </c>
      <c r="J250" s="197" t="s">
        <v>1300</v>
      </c>
      <c r="K250" s="53">
        <v>9400601973</v>
      </c>
      <c r="L250" s="46" t="s">
        <v>350</v>
      </c>
      <c r="M250" s="24" t="s">
        <v>685</v>
      </c>
      <c r="N250" s="91" t="s">
        <v>1301</v>
      </c>
      <c r="O250" s="24" t="s">
        <v>1302</v>
      </c>
      <c r="P250" s="24" t="s">
        <v>1303</v>
      </c>
      <c r="Q250" s="24" t="s">
        <v>1303</v>
      </c>
      <c r="R250" s="24" t="s">
        <v>541</v>
      </c>
      <c r="S250" s="24" t="s">
        <v>270</v>
      </c>
      <c r="T250" s="24" t="s">
        <v>103</v>
      </c>
      <c r="U250" s="29">
        <v>46044</v>
      </c>
      <c r="V250" s="29">
        <v>46044</v>
      </c>
      <c r="W250" s="24" t="s">
        <v>1304</v>
      </c>
      <c r="AL250" s="24"/>
      <c r="AM250" s="24"/>
      <c r="AS250" s="24"/>
    </row>
    <row r="251" spans="1:119" ht="14.45">
      <c r="A251" s="24" t="s">
        <v>35</v>
      </c>
      <c r="B251" s="24" t="s">
        <v>520</v>
      </c>
      <c r="C251" s="19" t="str">
        <f>IF(ISBLANK(B251),"",_xlfn.XLOOKUP(B251,Recruiter!A:A,Recruiter!B:B))</f>
        <v>Narthana</v>
      </c>
      <c r="D251" s="19" t="str">
        <f>IF(ISBLANK(A251),"",_xlfn.XLOOKUP(A251,'Requirement Overview'!C:C,'Requirement Overview'!E:E))</f>
        <v>Talme</v>
      </c>
      <c r="E251" s="459" t="str">
        <f>IF(ISBLANK(A251),"",_xlfn.XLOOKUP(A251,'Requirement Overview'!C:C,'Requirement Overview'!H:H))</f>
        <v>IT</v>
      </c>
      <c r="F251" s="459" t="str">
        <f>IF(ISBLANK(A251),"",_xlfn.XLOOKUP(A251,'Requirement Overview'!C:C,'Requirement Overview'!I:I))</f>
        <v>Windows system adminstrator</v>
      </c>
      <c r="G251" s="460" t="str">
        <f>IF(ISBLANK(A251),"",_xlfn.XLOOKUP(A251,'Requirement Overview'!C:C,'Requirement Overview'!G:G))</f>
        <v>EMIDS</v>
      </c>
      <c r="H251" s="185" t="s">
        <v>1305</v>
      </c>
      <c r="I251" s="46" t="s">
        <v>1306</v>
      </c>
      <c r="J251" s="290" t="s">
        <v>1307</v>
      </c>
      <c r="K251" s="331">
        <v>8227077132</v>
      </c>
      <c r="L251" s="332" t="s">
        <v>305</v>
      </c>
      <c r="M251" s="48" t="s">
        <v>379</v>
      </c>
      <c r="N251" s="92" t="s">
        <v>1308</v>
      </c>
      <c r="O251" s="24" t="s">
        <v>367</v>
      </c>
      <c r="P251" s="48" t="s">
        <v>1309</v>
      </c>
      <c r="Q251" s="48" t="s">
        <v>806</v>
      </c>
      <c r="R251" s="24" t="s">
        <v>368</v>
      </c>
      <c r="S251" s="24" t="s">
        <v>470</v>
      </c>
      <c r="T251" s="24" t="s">
        <v>103</v>
      </c>
      <c r="U251" s="29">
        <v>46044</v>
      </c>
      <c r="V251" s="29">
        <v>46044</v>
      </c>
      <c r="AL251" s="24"/>
      <c r="AM251" s="24"/>
      <c r="AS251" s="24"/>
    </row>
    <row r="252" spans="1:119" ht="14.45">
      <c r="A252" s="24" t="s">
        <v>35</v>
      </c>
      <c r="B252" s="24" t="s">
        <v>520</v>
      </c>
      <c r="C252" s="19" t="str">
        <f>IF(ISBLANK(B252),"",_xlfn.XLOOKUP(B252,Recruiter!A:A,Recruiter!B:B))</f>
        <v>Narthana</v>
      </c>
      <c r="D252" s="19" t="str">
        <f>IF(ISBLANK(A252),"",_xlfn.XLOOKUP(A252,'Requirement Overview'!C:C,'Requirement Overview'!E:E))</f>
        <v>Talme</v>
      </c>
      <c r="E252" s="459" t="str">
        <f>IF(ISBLANK(A252),"",_xlfn.XLOOKUP(A252,'Requirement Overview'!C:C,'Requirement Overview'!H:H))</f>
        <v>IT</v>
      </c>
      <c r="F252" s="459" t="str">
        <f>IF(ISBLANK(A252),"",_xlfn.XLOOKUP(A252,'Requirement Overview'!C:C,'Requirement Overview'!I:I))</f>
        <v>Windows system adminstrator</v>
      </c>
      <c r="G252" s="460" t="str">
        <f>IF(ISBLANK(A252),"",_xlfn.XLOOKUP(A252,'Requirement Overview'!C:C,'Requirement Overview'!G:G))</f>
        <v>EMIDS</v>
      </c>
      <c r="H252" s="185" t="s">
        <v>1310</v>
      </c>
      <c r="I252" s="46" t="s">
        <v>497</v>
      </c>
      <c r="J252" s="290" t="s">
        <v>1311</v>
      </c>
      <c r="K252" s="291">
        <v>9880930454</v>
      </c>
      <c r="L252" s="332" t="s">
        <v>305</v>
      </c>
      <c r="M252" s="48" t="s">
        <v>1312</v>
      </c>
      <c r="N252" s="92" t="s">
        <v>1313</v>
      </c>
      <c r="O252" s="24" t="s">
        <v>367</v>
      </c>
      <c r="P252" s="48" t="s">
        <v>879</v>
      </c>
      <c r="Q252" s="48" t="s">
        <v>879</v>
      </c>
      <c r="R252" s="24" t="s">
        <v>368</v>
      </c>
      <c r="S252" s="24" t="s">
        <v>270</v>
      </c>
      <c r="T252" s="24" t="s">
        <v>103</v>
      </c>
      <c r="U252" s="29">
        <v>46044</v>
      </c>
      <c r="V252" s="29">
        <v>46044</v>
      </c>
      <c r="W252" s="24" t="s">
        <v>1314</v>
      </c>
      <c r="X252" s="29"/>
      <c r="AL252" s="24"/>
      <c r="AM252" s="24"/>
      <c r="AS252" s="24"/>
    </row>
    <row r="253" spans="1:119" ht="14.45">
      <c r="A253" s="24" t="s">
        <v>33</v>
      </c>
      <c r="B253" s="24" t="s">
        <v>340</v>
      </c>
      <c r="C253" s="19" t="str">
        <f>IF(ISBLANK(B253),"",_xlfn.XLOOKUP(B253,Recruiter!A:A,Recruiter!B:B))</f>
        <v>Harshitha</v>
      </c>
      <c r="D253" s="19" t="str">
        <f>IF(ISBLANK(A253),"",_xlfn.XLOOKUP(A253,'Requirement Overview'!C:C,'Requirement Overview'!E:E))</f>
        <v>Talme</v>
      </c>
      <c r="E253" s="459" t="str">
        <f>IF(ISBLANK(A253),"",_xlfn.XLOOKUP(A253,'Requirement Overview'!C:C,'Requirement Overview'!H:H))</f>
        <v>IT</v>
      </c>
      <c r="F253" s="459" t="str">
        <f>IF(ISBLANK(A253),"",_xlfn.XLOOKUP(A253,'Requirement Overview'!C:C,'Requirement Overview'!I:I))</f>
        <v>Python Architect</v>
      </c>
      <c r="G253" s="460" t="str">
        <f>IF(ISBLANK(A253),"",_xlfn.XLOOKUP(A253,'Requirement Overview'!C:C,'Requirement Overview'!G:G))</f>
        <v>EMIDS</v>
      </c>
      <c r="H253" s="185" t="s">
        <v>1315</v>
      </c>
      <c r="I253" s="170" t="s">
        <v>519</v>
      </c>
      <c r="J253" s="205" t="s">
        <v>1316</v>
      </c>
      <c r="K253" s="234">
        <v>7503509721</v>
      </c>
      <c r="L253" s="170" t="s">
        <v>378</v>
      </c>
      <c r="M253" s="44" t="s">
        <v>1317</v>
      </c>
      <c r="N253" s="91" t="s">
        <v>1318</v>
      </c>
      <c r="O253" s="44" t="s">
        <v>455</v>
      </c>
      <c r="P253" s="44" t="s">
        <v>806</v>
      </c>
      <c r="Q253" s="44" t="s">
        <v>806</v>
      </c>
      <c r="R253" s="44" t="s">
        <v>1319</v>
      </c>
      <c r="S253" s="24" t="s">
        <v>270</v>
      </c>
      <c r="T253" s="24" t="s">
        <v>103</v>
      </c>
      <c r="U253" s="29">
        <v>46044</v>
      </c>
      <c r="V253" s="29">
        <v>46044</v>
      </c>
      <c r="AL253" s="24"/>
      <c r="AM253" s="24"/>
      <c r="AS253" s="24"/>
    </row>
    <row r="254" spans="1:119" s="47" customFormat="1" ht="14.45">
      <c r="A254" s="47" t="s">
        <v>33</v>
      </c>
      <c r="B254" s="47" t="s">
        <v>340</v>
      </c>
      <c r="C254" s="80" t="str">
        <f>IF(ISBLANK(B254),"",_xlfn.XLOOKUP(B254,Recruiter!A:A,Recruiter!B:B))</f>
        <v>Harshitha</v>
      </c>
      <c r="D254" s="19" t="str">
        <f>IF(ISBLANK(A254),"",_xlfn.XLOOKUP(A254,'Requirement Overview'!C:C,'Requirement Overview'!E:E))</f>
        <v>Talme</v>
      </c>
      <c r="E254" s="24" t="str">
        <f>IF(ISBLANK(A254),"",_xlfn.XLOOKUP(A254,'Requirement Overview'!C:C,'Requirement Overview'!H:H))</f>
        <v>IT</v>
      </c>
      <c r="F254" s="24" t="str">
        <f>IF(ISBLANK(A254),"",_xlfn.XLOOKUP(A254,'Requirement Overview'!C:C,'Requirement Overview'!I:I))</f>
        <v>Python Architect</v>
      </c>
      <c r="G254" s="58" t="str">
        <f>IF(ISBLANK(A254),"",_xlfn.XLOOKUP(A254,'Requirement Overview'!C:C,'Requirement Overview'!G:G))</f>
        <v>EMIDS</v>
      </c>
      <c r="H254" s="185" t="s">
        <v>1320</v>
      </c>
      <c r="I254" s="170" t="s">
        <v>1321</v>
      </c>
      <c r="J254" s="205" t="s">
        <v>1322</v>
      </c>
      <c r="K254" s="234">
        <v>8887786193</v>
      </c>
      <c r="L254" s="170" t="s">
        <v>389</v>
      </c>
      <c r="M254" s="44" t="s">
        <v>788</v>
      </c>
      <c r="N254" s="91" t="s">
        <v>1323</v>
      </c>
      <c r="O254" s="44" t="s">
        <v>554</v>
      </c>
      <c r="P254" s="44" t="s">
        <v>806</v>
      </c>
      <c r="Q254" s="44" t="s">
        <v>806</v>
      </c>
      <c r="R254" s="44" t="s">
        <v>345</v>
      </c>
      <c r="S254" s="47" t="s">
        <v>360</v>
      </c>
      <c r="T254" s="47" t="s">
        <v>103</v>
      </c>
      <c r="U254" s="29">
        <v>46044</v>
      </c>
      <c r="V254" s="29">
        <v>46044</v>
      </c>
      <c r="X254" s="118">
        <v>46045</v>
      </c>
      <c r="Y254" s="47" t="s">
        <v>362</v>
      </c>
      <c r="AP254" s="24"/>
      <c r="AQ254" s="24"/>
      <c r="AR254" s="24"/>
      <c r="AS254" s="24"/>
    </row>
    <row r="255" spans="1:119" ht="14.45">
      <c r="A255" s="24" t="s">
        <v>33</v>
      </c>
      <c r="B255" s="24" t="s">
        <v>340</v>
      </c>
      <c r="C255" s="19" t="str">
        <f>IF(ISBLANK(B255),"",_xlfn.XLOOKUP(B255,Recruiter!A:A,Recruiter!B:B))</f>
        <v>Harshitha</v>
      </c>
      <c r="D255" s="19" t="str">
        <f>IF(ISBLANK(A255),"",_xlfn.XLOOKUP(A255,'Requirement Overview'!C:C,'Requirement Overview'!E:E))</f>
        <v>Talme</v>
      </c>
      <c r="E255" s="24" t="str">
        <f>IF(ISBLANK(A255),"",_xlfn.XLOOKUP(A255,'Requirement Overview'!C:C,'Requirement Overview'!H:H))</f>
        <v>IT</v>
      </c>
      <c r="F255" s="24" t="str">
        <f>IF(ISBLANK(A255),"",_xlfn.XLOOKUP(A255,'Requirement Overview'!C:C,'Requirement Overview'!I:I))</f>
        <v>Python Architect</v>
      </c>
      <c r="G255" s="58" t="str">
        <f>IF(ISBLANK(A255),"",_xlfn.XLOOKUP(A255,'Requirement Overview'!C:C,'Requirement Overview'!G:G))</f>
        <v>EMIDS</v>
      </c>
      <c r="H255" s="185" t="s">
        <v>1324</v>
      </c>
      <c r="I255" s="170" t="s">
        <v>1325</v>
      </c>
      <c r="J255" s="205" t="s">
        <v>1326</v>
      </c>
      <c r="K255" s="234">
        <v>8686888442</v>
      </c>
      <c r="L255" s="170" t="s">
        <v>305</v>
      </c>
      <c r="M255" s="44" t="s">
        <v>788</v>
      </c>
      <c r="N255" s="91" t="s">
        <v>479</v>
      </c>
      <c r="O255" s="44" t="s">
        <v>628</v>
      </c>
      <c r="P255" s="44" t="s">
        <v>879</v>
      </c>
      <c r="Q255" s="44" t="s">
        <v>879</v>
      </c>
      <c r="R255" s="44" t="s">
        <v>1327</v>
      </c>
      <c r="S255" s="24" t="s">
        <v>375</v>
      </c>
      <c r="T255" s="24" t="s">
        <v>103</v>
      </c>
      <c r="U255" s="29">
        <v>46044</v>
      </c>
      <c r="V255" s="29">
        <v>46044</v>
      </c>
      <c r="X255" s="29">
        <v>46045</v>
      </c>
      <c r="Y255" s="24" t="s">
        <v>802</v>
      </c>
      <c r="AL255" s="24"/>
      <c r="AM255" s="24"/>
      <c r="AS255" s="24"/>
    </row>
    <row r="256" spans="1:119" ht="14.45">
      <c r="A256" s="51" t="s">
        <v>33</v>
      </c>
      <c r="B256" s="51" t="s">
        <v>340</v>
      </c>
      <c r="C256" s="73" t="str">
        <f>IF(ISBLANK(B256),"",_xlfn.XLOOKUP(B256,Recruiter!A:A,Recruiter!B:B))</f>
        <v>Harshitha</v>
      </c>
      <c r="D256" s="73" t="str">
        <f>IF(ISBLANK(A256),"",_xlfn.XLOOKUP(A256,'Requirement Overview'!C:C,'Requirement Overview'!E:E))</f>
        <v>Talme</v>
      </c>
      <c r="E256" s="51" t="str">
        <f>IF(ISBLANK(A256),"",_xlfn.XLOOKUP(A256,'Requirement Overview'!C:C,'Requirement Overview'!H:H))</f>
        <v>IT</v>
      </c>
      <c r="F256" s="51" t="str">
        <f>IF(ISBLANK(A256),"",_xlfn.XLOOKUP(A256,'Requirement Overview'!C:C,'Requirement Overview'!I:I))</f>
        <v>Python Architect</v>
      </c>
      <c r="G256" s="62" t="str">
        <f>IF(ISBLANK(A256),"",_xlfn.XLOOKUP(A256,'Requirement Overview'!C:C,'Requirement Overview'!G:G))</f>
        <v>EMIDS</v>
      </c>
      <c r="H256" s="518" t="s">
        <v>1328</v>
      </c>
      <c r="I256" s="179" t="s">
        <v>519</v>
      </c>
      <c r="J256" s="213" t="s">
        <v>1329</v>
      </c>
      <c r="K256" s="532">
        <v>9820474880</v>
      </c>
      <c r="L256" s="179" t="s">
        <v>378</v>
      </c>
      <c r="M256" s="60" t="s">
        <v>1330</v>
      </c>
      <c r="N256" s="110" t="s">
        <v>1331</v>
      </c>
      <c r="O256" s="60" t="s">
        <v>1332</v>
      </c>
      <c r="P256" s="60" t="s">
        <v>268</v>
      </c>
      <c r="Q256" s="60" t="s">
        <v>268</v>
      </c>
      <c r="R256" s="60" t="s">
        <v>469</v>
      </c>
      <c r="S256" s="51" t="s">
        <v>375</v>
      </c>
      <c r="T256" s="51" t="s">
        <v>103</v>
      </c>
      <c r="U256" s="89">
        <v>46044</v>
      </c>
      <c r="V256" s="89">
        <v>46044</v>
      </c>
      <c r="W256" s="51"/>
      <c r="X256" s="89">
        <v>46045</v>
      </c>
      <c r="Y256" s="51"/>
      <c r="Z256" s="51"/>
      <c r="AA256" s="51"/>
      <c r="AB256" s="51"/>
      <c r="AC256" s="51"/>
      <c r="AD256" s="51"/>
      <c r="AL256" s="24"/>
      <c r="AM256" s="24"/>
      <c r="AS256" s="24"/>
    </row>
    <row r="257" spans="1:119" ht="14.45">
      <c r="A257" s="702" t="s">
        <v>55</v>
      </c>
      <c r="B257" s="702" t="s">
        <v>258</v>
      </c>
      <c r="C257" s="476" t="str">
        <f>IF(ISBLANK(B257),"",_xlfn.XLOOKUP(B257,Recruiter!A:A,Recruiter!B:B))</f>
        <v>Bhoomika</v>
      </c>
      <c r="D257" s="476" t="str">
        <f>IF(ISBLANK(A257),"",_xlfn.XLOOKUP(A257,'Requirement Overview'!C:C,'Requirement Overview'!E:E))</f>
        <v>Talme</v>
      </c>
      <c r="E257" s="702" t="str">
        <f>IF(ISBLANK(A257),"",_xlfn.XLOOKUP(A257,'Requirement Overview'!C:C,'Requirement Overview'!H:H))</f>
        <v>Non - IT</v>
      </c>
      <c r="F257" s="702" t="str">
        <f>IF(ISBLANK(A257),"",_xlfn.XLOOKUP(A257,'Requirement Overview'!C:C,'Requirement Overview'!I:I))</f>
        <v>Inside Sales Executive</v>
      </c>
      <c r="G257" s="702" t="str">
        <f>IF(ISBLANK(A257),"",_xlfn.XLOOKUP(A257,'Requirement Overview'!C:C,'Requirement Overview'!G:G))</f>
        <v>Peritas</v>
      </c>
      <c r="H257" s="470" t="s">
        <v>1333</v>
      </c>
      <c r="I257" s="702"/>
      <c r="J257" s="476"/>
      <c r="K257" s="702">
        <v>7981958780</v>
      </c>
      <c r="L257" s="702"/>
      <c r="M257" s="702"/>
      <c r="N257" s="496"/>
      <c r="O257" s="702"/>
      <c r="P257" s="702"/>
      <c r="Q257" s="702"/>
      <c r="R257" s="702"/>
      <c r="S257" s="702" t="s">
        <v>240</v>
      </c>
      <c r="T257" s="702" t="s">
        <v>103</v>
      </c>
      <c r="U257" s="703">
        <v>46044</v>
      </c>
      <c r="V257" s="703">
        <v>46044</v>
      </c>
      <c r="W257" s="702"/>
      <c r="X257" s="702"/>
      <c r="Y257" s="702"/>
      <c r="Z257" s="702"/>
      <c r="AA257" s="702"/>
      <c r="AB257" s="702"/>
      <c r="AC257" s="702"/>
      <c r="AD257" s="702"/>
      <c r="AE257" s="46"/>
      <c r="AL257" s="24"/>
      <c r="AM257" s="24"/>
      <c r="AS257" s="24"/>
    </row>
    <row r="258" spans="1:119" ht="14.45">
      <c r="A258" s="702" t="s">
        <v>55</v>
      </c>
      <c r="B258" s="702" t="s">
        <v>258</v>
      </c>
      <c r="C258" s="476" t="str">
        <f>IF(ISBLANK(B258),"",_xlfn.XLOOKUP(B258,Recruiter!A:A,Recruiter!B:B))</f>
        <v>Bhoomika</v>
      </c>
      <c r="D258" s="476" t="str">
        <f>IF(ISBLANK(A258),"",_xlfn.XLOOKUP(A258,'Requirement Overview'!C:C,'Requirement Overview'!E:E))</f>
        <v>Talme</v>
      </c>
      <c r="E258" s="702" t="str">
        <f>IF(ISBLANK(A258),"",_xlfn.XLOOKUP(A258,'Requirement Overview'!C:C,'Requirement Overview'!H:H))</f>
        <v>Non - IT</v>
      </c>
      <c r="F258" s="702" t="str">
        <f>IF(ISBLANK(A258),"",_xlfn.XLOOKUP(A258,'Requirement Overview'!C:C,'Requirement Overview'!I:I))</f>
        <v>Inside Sales Executive</v>
      </c>
      <c r="G258" s="702" t="str">
        <f>IF(ISBLANK(A258),"",_xlfn.XLOOKUP(A258,'Requirement Overview'!C:C,'Requirement Overview'!G:G))</f>
        <v>Peritas</v>
      </c>
      <c r="H258" s="470" t="s">
        <v>1334</v>
      </c>
      <c r="I258" s="702"/>
      <c r="J258" s="476"/>
      <c r="K258" s="702">
        <v>8777822079</v>
      </c>
      <c r="L258" s="702"/>
      <c r="M258" s="702"/>
      <c r="N258" s="496"/>
      <c r="O258" s="702"/>
      <c r="P258" s="702"/>
      <c r="Q258" s="702"/>
      <c r="R258" s="702"/>
      <c r="S258" s="702" t="s">
        <v>240</v>
      </c>
      <c r="T258" s="702" t="s">
        <v>103</v>
      </c>
      <c r="U258" s="703">
        <v>46044</v>
      </c>
      <c r="V258" s="703">
        <v>46044</v>
      </c>
      <c r="W258" s="702"/>
      <c r="X258" s="702"/>
      <c r="Y258" s="702"/>
      <c r="Z258" s="702"/>
      <c r="AA258" s="702"/>
      <c r="AB258" s="702"/>
      <c r="AC258" s="702"/>
      <c r="AD258" s="702"/>
      <c r="AE258" s="46"/>
      <c r="AL258" s="24"/>
      <c r="AM258" s="24"/>
      <c r="AS258" s="24"/>
    </row>
    <row r="259" spans="1:119" ht="14.45">
      <c r="A259" s="702" t="s">
        <v>55</v>
      </c>
      <c r="B259" s="702" t="s">
        <v>258</v>
      </c>
      <c r="C259" s="476" t="str">
        <f>IF(ISBLANK(B259),"",_xlfn.XLOOKUP(B259,Recruiter!A:A,Recruiter!B:B))</f>
        <v>Bhoomika</v>
      </c>
      <c r="D259" s="476" t="str">
        <f>IF(ISBLANK(A259),"",_xlfn.XLOOKUP(A259,'Requirement Overview'!C:C,'Requirement Overview'!E:E))</f>
        <v>Talme</v>
      </c>
      <c r="E259" s="702" t="str">
        <f>IF(ISBLANK(A259),"",_xlfn.XLOOKUP(A259,'Requirement Overview'!C:C,'Requirement Overview'!H:H))</f>
        <v>Non - IT</v>
      </c>
      <c r="F259" s="702" t="str">
        <f>IF(ISBLANK(A259),"",_xlfn.XLOOKUP(A259,'Requirement Overview'!C:C,'Requirement Overview'!I:I))</f>
        <v>Inside Sales Executive</v>
      </c>
      <c r="G259" s="702" t="str">
        <f>IF(ISBLANK(A259),"",_xlfn.XLOOKUP(A259,'Requirement Overview'!C:C,'Requirement Overview'!G:G))</f>
        <v>Peritas</v>
      </c>
      <c r="H259" s="470" t="s">
        <v>1335</v>
      </c>
      <c r="I259" s="702"/>
      <c r="J259" s="476"/>
      <c r="K259" s="702">
        <v>7386279796</v>
      </c>
      <c r="L259" s="702"/>
      <c r="M259" s="702"/>
      <c r="N259" s="496"/>
      <c r="O259" s="702"/>
      <c r="P259" s="702"/>
      <c r="Q259" s="702"/>
      <c r="R259" s="702"/>
      <c r="S259" s="702" t="s">
        <v>240</v>
      </c>
      <c r="T259" s="702" t="s">
        <v>103</v>
      </c>
      <c r="U259" s="703">
        <v>46044</v>
      </c>
      <c r="V259" s="703">
        <v>46044</v>
      </c>
      <c r="W259" s="702"/>
      <c r="X259" s="702"/>
      <c r="Y259" s="702"/>
      <c r="Z259" s="702"/>
      <c r="AA259" s="702"/>
      <c r="AB259" s="702"/>
      <c r="AC259" s="702"/>
      <c r="AD259" s="702"/>
      <c r="AE259" s="46"/>
      <c r="AL259" s="24"/>
      <c r="AM259" s="24"/>
      <c r="AS259" s="24"/>
    </row>
    <row r="260" spans="1:119" ht="14.45">
      <c r="A260" s="702" t="s">
        <v>55</v>
      </c>
      <c r="B260" s="702" t="s">
        <v>258</v>
      </c>
      <c r="C260" s="476" t="str">
        <f>IF(ISBLANK(B260),"",_xlfn.XLOOKUP(B260,Recruiter!A:A,Recruiter!B:B))</f>
        <v>Bhoomika</v>
      </c>
      <c r="D260" s="476" t="str">
        <f>IF(ISBLANK(A260),"",_xlfn.XLOOKUP(A260,'Requirement Overview'!C:C,'Requirement Overview'!E:E))</f>
        <v>Talme</v>
      </c>
      <c r="E260" s="702" t="str">
        <f>IF(ISBLANK(A260),"",_xlfn.XLOOKUP(A260,'Requirement Overview'!C:C,'Requirement Overview'!H:H))</f>
        <v>Non - IT</v>
      </c>
      <c r="F260" s="702" t="str">
        <f>IF(ISBLANK(A260),"",_xlfn.XLOOKUP(A260,'Requirement Overview'!C:C,'Requirement Overview'!I:I))</f>
        <v>Inside Sales Executive</v>
      </c>
      <c r="G260" s="702" t="str">
        <f>IF(ISBLANK(A260),"",_xlfn.XLOOKUP(A260,'Requirement Overview'!C:C,'Requirement Overview'!G:G))</f>
        <v>Peritas</v>
      </c>
      <c r="H260" s="470" t="s">
        <v>1336</v>
      </c>
      <c r="I260" s="702"/>
      <c r="J260" s="476"/>
      <c r="K260" s="702">
        <v>8619684999</v>
      </c>
      <c r="L260" s="702"/>
      <c r="M260" s="702"/>
      <c r="N260" s="496"/>
      <c r="O260" s="702"/>
      <c r="P260" s="702"/>
      <c r="Q260" s="702"/>
      <c r="R260" s="702"/>
      <c r="S260" s="702" t="s">
        <v>240</v>
      </c>
      <c r="T260" s="702" t="s">
        <v>103</v>
      </c>
      <c r="U260" s="703">
        <v>46044</v>
      </c>
      <c r="V260" s="703">
        <v>46044</v>
      </c>
      <c r="W260" s="702"/>
      <c r="X260" s="702"/>
      <c r="Y260" s="702"/>
      <c r="Z260" s="702"/>
      <c r="AA260" s="702"/>
      <c r="AB260" s="702"/>
      <c r="AC260" s="702"/>
      <c r="AD260" s="702"/>
      <c r="AE260" s="46"/>
      <c r="AL260" s="24"/>
      <c r="AM260" s="24"/>
      <c r="AS260" s="24"/>
    </row>
    <row r="261" spans="1:119" ht="14.45">
      <c r="A261" s="702" t="s">
        <v>55</v>
      </c>
      <c r="B261" s="702" t="s">
        <v>258</v>
      </c>
      <c r="C261" s="476" t="str">
        <f>IF(ISBLANK(B261),"",_xlfn.XLOOKUP(B261,Recruiter!A:A,Recruiter!B:B))</f>
        <v>Bhoomika</v>
      </c>
      <c r="D261" s="476" t="str">
        <f>IF(ISBLANK(A261),"",_xlfn.XLOOKUP(A261,'Requirement Overview'!C:C,'Requirement Overview'!E:E))</f>
        <v>Talme</v>
      </c>
      <c r="E261" s="702" t="str">
        <f>IF(ISBLANK(A261),"",_xlfn.XLOOKUP(A261,'Requirement Overview'!C:C,'Requirement Overview'!H:H))</f>
        <v>Non - IT</v>
      </c>
      <c r="F261" s="702" t="str">
        <f>IF(ISBLANK(A261),"",_xlfn.XLOOKUP(A261,'Requirement Overview'!C:C,'Requirement Overview'!I:I))</f>
        <v>Inside Sales Executive</v>
      </c>
      <c r="G261" s="702" t="str">
        <f>IF(ISBLANK(A261),"",_xlfn.XLOOKUP(A261,'Requirement Overview'!C:C,'Requirement Overview'!G:G))</f>
        <v>Peritas</v>
      </c>
      <c r="H261" s="470" t="s">
        <v>1337</v>
      </c>
      <c r="I261" s="702"/>
      <c r="J261" s="476"/>
      <c r="K261" s="470">
        <v>6303461301</v>
      </c>
      <c r="L261" s="702"/>
      <c r="M261" s="702"/>
      <c r="N261" s="496"/>
      <c r="O261" s="702"/>
      <c r="P261" s="702"/>
      <c r="Q261" s="702"/>
      <c r="R261" s="702"/>
      <c r="S261" s="702" t="s">
        <v>240</v>
      </c>
      <c r="T261" s="702" t="s">
        <v>103</v>
      </c>
      <c r="U261" s="703">
        <v>46044</v>
      </c>
      <c r="V261" s="703">
        <v>46044</v>
      </c>
      <c r="W261" s="702"/>
      <c r="X261" s="702"/>
      <c r="Y261" s="702"/>
      <c r="Z261" s="702"/>
      <c r="AA261" s="702"/>
      <c r="AB261" s="702"/>
      <c r="AC261" s="702"/>
      <c r="AD261" s="702"/>
      <c r="AE261" s="46"/>
      <c r="AL261" s="24"/>
      <c r="AM261" s="24"/>
      <c r="AS261" s="24"/>
    </row>
    <row r="262" spans="1:119" ht="14.45">
      <c r="A262" s="702" t="s">
        <v>55</v>
      </c>
      <c r="B262" s="702" t="s">
        <v>258</v>
      </c>
      <c r="C262" s="476" t="str">
        <f>IF(ISBLANK(B262),"",_xlfn.XLOOKUP(B262,Recruiter!A:A,Recruiter!B:B))</f>
        <v>Bhoomika</v>
      </c>
      <c r="D262" s="476" t="str">
        <f>IF(ISBLANK(A262),"",_xlfn.XLOOKUP(A262,'Requirement Overview'!C:C,'Requirement Overview'!E:E))</f>
        <v>Talme</v>
      </c>
      <c r="E262" s="702" t="str">
        <f>IF(ISBLANK(A262),"",_xlfn.XLOOKUP(A262,'Requirement Overview'!C:C,'Requirement Overview'!H:H))</f>
        <v>Non - IT</v>
      </c>
      <c r="F262" s="702" t="str">
        <f>IF(ISBLANK(A262),"",_xlfn.XLOOKUP(A262,'Requirement Overview'!C:C,'Requirement Overview'!I:I))</f>
        <v>Inside Sales Executive</v>
      </c>
      <c r="G262" s="702" t="str">
        <f>IF(ISBLANK(A262),"",_xlfn.XLOOKUP(A262,'Requirement Overview'!C:C,'Requirement Overview'!G:G))</f>
        <v>Peritas</v>
      </c>
      <c r="H262" s="470" t="s">
        <v>1338</v>
      </c>
      <c r="I262" s="702"/>
      <c r="J262" s="476"/>
      <c r="K262" s="470">
        <v>9110376608</v>
      </c>
      <c r="L262" s="702"/>
      <c r="M262" s="702"/>
      <c r="N262" s="496"/>
      <c r="O262" s="702"/>
      <c r="P262" s="702"/>
      <c r="Q262" s="702"/>
      <c r="R262" s="702"/>
      <c r="S262" s="702" t="s">
        <v>240</v>
      </c>
      <c r="T262" s="702" t="s">
        <v>103</v>
      </c>
      <c r="U262" s="703">
        <v>46044</v>
      </c>
      <c r="V262" s="703">
        <v>46044</v>
      </c>
      <c r="W262" s="702"/>
      <c r="X262" s="702"/>
      <c r="Y262" s="702"/>
      <c r="Z262" s="702"/>
      <c r="AA262" s="702"/>
      <c r="AB262" s="702"/>
      <c r="AC262" s="702"/>
      <c r="AD262" s="702"/>
      <c r="AE262" s="46"/>
      <c r="AL262" s="24"/>
      <c r="AM262" s="24"/>
      <c r="AS262" s="24"/>
    </row>
    <row r="263" spans="1:119" ht="14.45">
      <c r="A263" s="702" t="s">
        <v>55</v>
      </c>
      <c r="B263" s="702" t="s">
        <v>258</v>
      </c>
      <c r="C263" s="476" t="str">
        <f>IF(ISBLANK(B263),"",_xlfn.XLOOKUP(B263,Recruiter!A:A,Recruiter!B:B))</f>
        <v>Bhoomika</v>
      </c>
      <c r="D263" s="476" t="str">
        <f>IF(ISBLANK(A263),"",_xlfn.XLOOKUP(A263,'Requirement Overview'!C:C,'Requirement Overview'!E:E))</f>
        <v>Talme</v>
      </c>
      <c r="E263" s="702" t="str">
        <f>IF(ISBLANK(A263),"",_xlfn.XLOOKUP(A263,'Requirement Overview'!C:C,'Requirement Overview'!H:H))</f>
        <v>Non - IT</v>
      </c>
      <c r="F263" s="702" t="str">
        <f>IF(ISBLANK(A263),"",_xlfn.XLOOKUP(A263,'Requirement Overview'!C:C,'Requirement Overview'!I:I))</f>
        <v>Inside Sales Executive</v>
      </c>
      <c r="G263" s="702" t="str">
        <f>IF(ISBLANK(A263),"",_xlfn.XLOOKUP(A263,'Requirement Overview'!C:C,'Requirement Overview'!G:G))</f>
        <v>Peritas</v>
      </c>
      <c r="H263" s="470" t="s">
        <v>1339</v>
      </c>
      <c r="I263" s="702"/>
      <c r="J263" s="476"/>
      <c r="K263" s="470">
        <v>9427566678</v>
      </c>
      <c r="L263" s="702"/>
      <c r="M263" s="702"/>
      <c r="N263" s="496"/>
      <c r="O263" s="702"/>
      <c r="P263" s="702"/>
      <c r="Q263" s="702"/>
      <c r="R263" s="702"/>
      <c r="S263" s="702" t="s">
        <v>240</v>
      </c>
      <c r="T263" s="702" t="s">
        <v>103</v>
      </c>
      <c r="U263" s="703">
        <v>46044</v>
      </c>
      <c r="V263" s="703">
        <v>46044</v>
      </c>
      <c r="W263" s="702"/>
      <c r="X263" s="702"/>
      <c r="Y263" s="702"/>
      <c r="Z263" s="702"/>
      <c r="AA263" s="702"/>
      <c r="AB263" s="702"/>
      <c r="AC263" s="702"/>
      <c r="AD263" s="702"/>
      <c r="AE263" s="46"/>
      <c r="AL263" s="24"/>
      <c r="AM263" s="24"/>
      <c r="AS263" s="24"/>
    </row>
    <row r="264" spans="1:119" ht="14.45">
      <c r="A264" s="702" t="s">
        <v>55</v>
      </c>
      <c r="B264" s="702" t="s">
        <v>258</v>
      </c>
      <c r="C264" s="476" t="str">
        <f>IF(ISBLANK(B264),"",_xlfn.XLOOKUP(B264,Recruiter!A:A,Recruiter!B:B))</f>
        <v>Bhoomika</v>
      </c>
      <c r="D264" s="476" t="str">
        <f>IF(ISBLANK(A264),"",_xlfn.XLOOKUP(A264,'Requirement Overview'!C:C,'Requirement Overview'!E:E))</f>
        <v>Talme</v>
      </c>
      <c r="E264" s="702" t="str">
        <f>IF(ISBLANK(A264),"",_xlfn.XLOOKUP(A264,'Requirement Overview'!C:C,'Requirement Overview'!H:H))</f>
        <v>Non - IT</v>
      </c>
      <c r="F264" s="702" t="str">
        <f>IF(ISBLANK(A264),"",_xlfn.XLOOKUP(A264,'Requirement Overview'!C:C,'Requirement Overview'!I:I))</f>
        <v>Inside Sales Executive</v>
      </c>
      <c r="G264" s="702" t="str">
        <f>IF(ISBLANK(A264),"",_xlfn.XLOOKUP(A264,'Requirement Overview'!C:C,'Requirement Overview'!G:G))</f>
        <v>Peritas</v>
      </c>
      <c r="H264" s="470" t="s">
        <v>1340</v>
      </c>
      <c r="I264" s="702"/>
      <c r="J264" s="476"/>
      <c r="K264" s="702">
        <v>9742750868</v>
      </c>
      <c r="L264" s="702"/>
      <c r="M264" s="702"/>
      <c r="N264" s="496"/>
      <c r="O264" s="702"/>
      <c r="P264" s="702"/>
      <c r="Q264" s="702"/>
      <c r="R264" s="702"/>
      <c r="S264" s="702" t="s">
        <v>240</v>
      </c>
      <c r="T264" s="702" t="s">
        <v>103</v>
      </c>
      <c r="U264" s="703">
        <v>46044</v>
      </c>
      <c r="V264" s="703">
        <v>46044</v>
      </c>
      <c r="W264" s="702"/>
      <c r="X264" s="702"/>
      <c r="Y264" s="702"/>
      <c r="Z264" s="702"/>
      <c r="AA264" s="702"/>
      <c r="AB264" s="702"/>
      <c r="AC264" s="702"/>
      <c r="AD264" s="702"/>
      <c r="AE264" s="46"/>
      <c r="AL264" s="24"/>
      <c r="AM264" s="24"/>
      <c r="AS264" s="24"/>
    </row>
    <row r="265" spans="1:119" ht="14.45">
      <c r="A265" s="702" t="s">
        <v>55</v>
      </c>
      <c r="B265" s="702" t="s">
        <v>258</v>
      </c>
      <c r="C265" s="476" t="str">
        <f>IF(ISBLANK(B265),"",_xlfn.XLOOKUP(B265,Recruiter!A:A,Recruiter!B:B))</f>
        <v>Bhoomika</v>
      </c>
      <c r="D265" s="476" t="str">
        <f>IF(ISBLANK(A265),"",_xlfn.XLOOKUP(A265,'Requirement Overview'!C:C,'Requirement Overview'!E:E))</f>
        <v>Talme</v>
      </c>
      <c r="E265" s="702" t="str">
        <f>IF(ISBLANK(A265),"",_xlfn.XLOOKUP(A265,'Requirement Overview'!C:C,'Requirement Overview'!H:H))</f>
        <v>Non - IT</v>
      </c>
      <c r="F265" s="702" t="str">
        <f>IF(ISBLANK(A265),"",_xlfn.XLOOKUP(A265,'Requirement Overview'!C:C,'Requirement Overview'!I:I))</f>
        <v>Inside Sales Executive</v>
      </c>
      <c r="G265" s="702" t="str">
        <f>IF(ISBLANK(A265),"",_xlfn.XLOOKUP(A265,'Requirement Overview'!C:C,'Requirement Overview'!G:G))</f>
        <v>Peritas</v>
      </c>
      <c r="H265" s="470" t="s">
        <v>1341</v>
      </c>
      <c r="I265" s="702"/>
      <c r="J265" s="476"/>
      <c r="K265" s="702">
        <v>7349644736</v>
      </c>
      <c r="L265" s="702"/>
      <c r="M265" s="702"/>
      <c r="N265" s="496"/>
      <c r="O265" s="702"/>
      <c r="P265" s="702"/>
      <c r="Q265" s="702"/>
      <c r="R265" s="702"/>
      <c r="S265" s="702" t="s">
        <v>240</v>
      </c>
      <c r="T265" s="702" t="s">
        <v>103</v>
      </c>
      <c r="U265" s="703">
        <v>46044</v>
      </c>
      <c r="V265" s="703">
        <v>46044</v>
      </c>
      <c r="W265" s="702"/>
      <c r="X265" s="702"/>
      <c r="Y265" s="702"/>
      <c r="Z265" s="702"/>
      <c r="AA265" s="702"/>
      <c r="AB265" s="702"/>
      <c r="AC265" s="702"/>
      <c r="AD265" s="702"/>
      <c r="AE265" s="108"/>
      <c r="AF265" s="51"/>
      <c r="AG265" s="51"/>
      <c r="AH265" s="51"/>
      <c r="AI265" s="51"/>
      <c r="AJ265" s="51"/>
      <c r="AK265" s="51"/>
      <c r="AL265" s="51"/>
      <c r="AM265" s="51"/>
      <c r="AN265" s="51"/>
      <c r="AO265" s="51"/>
      <c r="AS265" s="24"/>
    </row>
    <row r="266" spans="1:119" ht="14.45">
      <c r="A266" s="702" t="s">
        <v>55</v>
      </c>
      <c r="B266" s="702" t="s">
        <v>258</v>
      </c>
      <c r="C266" s="476" t="str">
        <f>IF(ISBLANK(B266),"",_xlfn.XLOOKUP(B266,Recruiter!A:A,Recruiter!B:B))</f>
        <v>Bhoomika</v>
      </c>
      <c r="D266" s="476" t="str">
        <f>IF(ISBLANK(A266),"",_xlfn.XLOOKUP(A266,'Requirement Overview'!C:C,'Requirement Overview'!E:E))</f>
        <v>Talme</v>
      </c>
      <c r="E266" s="702" t="str">
        <f>IF(ISBLANK(A266),"",_xlfn.XLOOKUP(A266,'Requirement Overview'!C:C,'Requirement Overview'!H:H))</f>
        <v>Non - IT</v>
      </c>
      <c r="F266" s="702" t="str">
        <f>IF(ISBLANK(A266),"",_xlfn.XLOOKUP(A266,'Requirement Overview'!C:C,'Requirement Overview'!I:I))</f>
        <v>Inside Sales Executive</v>
      </c>
      <c r="G266" s="702" t="str">
        <f>IF(ISBLANK(A266),"",_xlfn.XLOOKUP(A266,'Requirement Overview'!C:C,'Requirement Overview'!G:G))</f>
        <v>Peritas</v>
      </c>
      <c r="H266" s="470" t="s">
        <v>1342</v>
      </c>
      <c r="I266" s="702"/>
      <c r="J266" s="476"/>
      <c r="K266" s="702">
        <v>8778442454</v>
      </c>
      <c r="L266" s="702"/>
      <c r="M266" s="702"/>
      <c r="N266" s="496"/>
      <c r="O266" s="702"/>
      <c r="P266" s="702"/>
      <c r="Q266" s="702"/>
      <c r="R266" s="702"/>
      <c r="S266" s="702" t="s">
        <v>240</v>
      </c>
      <c r="T266" s="702" t="s">
        <v>103</v>
      </c>
      <c r="U266" s="703">
        <v>46045</v>
      </c>
      <c r="V266" s="703">
        <v>46045</v>
      </c>
      <c r="W266" s="702"/>
      <c r="X266" s="702"/>
      <c r="Y266" s="702"/>
      <c r="Z266" s="702"/>
      <c r="AA266" s="702"/>
      <c r="AB266" s="702"/>
      <c r="AC266" s="702"/>
      <c r="AD266" s="702"/>
      <c r="AE266" s="61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S266" s="24"/>
      <c r="AT266" s="46"/>
    </row>
    <row r="267" spans="1:119" ht="15.6">
      <c r="A267" s="5" t="s">
        <v>110</v>
      </c>
      <c r="B267" s="5" t="s">
        <v>236</v>
      </c>
      <c r="C267" s="5" t="s">
        <v>510</v>
      </c>
      <c r="D267" s="5" t="s">
        <v>25</v>
      </c>
      <c r="E267" s="5" t="s">
        <v>27</v>
      </c>
      <c r="F267" s="5" t="s">
        <v>111</v>
      </c>
      <c r="G267" s="591" t="s">
        <v>108</v>
      </c>
      <c r="H267" s="429" t="s">
        <v>1343</v>
      </c>
      <c r="I267" s="592" t="s">
        <v>1344</v>
      </c>
      <c r="J267" s="583" t="s">
        <v>1345</v>
      </c>
      <c r="K267" s="429">
        <v>9844763905</v>
      </c>
      <c r="L267" s="584" t="s">
        <v>695</v>
      </c>
      <c r="M267" s="593" t="s">
        <v>708</v>
      </c>
      <c r="N267" s="432" t="s">
        <v>1346</v>
      </c>
      <c r="O267" s="5" t="s">
        <v>374</v>
      </c>
      <c r="P267" s="5" t="s">
        <v>1347</v>
      </c>
      <c r="Q267" s="5" t="s">
        <v>1347</v>
      </c>
      <c r="R267" s="5" t="s">
        <v>1348</v>
      </c>
      <c r="S267" s="5" t="s">
        <v>375</v>
      </c>
      <c r="T267" s="5" t="s">
        <v>103</v>
      </c>
      <c r="U267" s="118">
        <v>46045</v>
      </c>
      <c r="V267" s="118">
        <v>46045</v>
      </c>
      <c r="W267" s="594"/>
      <c r="X267" s="594"/>
      <c r="Y267" s="594"/>
      <c r="Z267" s="594"/>
      <c r="AA267" s="594"/>
      <c r="AB267" s="594"/>
      <c r="AC267" s="594"/>
      <c r="AD267" s="594"/>
      <c r="AE267" s="54"/>
      <c r="AF267" s="54"/>
      <c r="AG267" s="54"/>
      <c r="AH267" s="54"/>
      <c r="AI267" s="54"/>
      <c r="AJ267" s="54"/>
      <c r="AK267" s="54"/>
      <c r="AL267" s="54"/>
      <c r="AM267" s="54"/>
      <c r="AN267" s="54"/>
      <c r="AO267" s="54"/>
      <c r="AS267" s="24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</row>
    <row r="268" spans="1:119" ht="14.45">
      <c r="A268" s="3" t="s">
        <v>68</v>
      </c>
      <c r="B268" s="3" t="s">
        <v>236</v>
      </c>
      <c r="C268" s="3" t="s">
        <v>510</v>
      </c>
      <c r="D268" s="3" t="s">
        <v>25</v>
      </c>
      <c r="E268" s="3" t="s">
        <v>57</v>
      </c>
      <c r="F268" s="3" t="s">
        <v>69</v>
      </c>
      <c r="G268" s="4" t="s">
        <v>62</v>
      </c>
      <c r="H268" s="186" t="s">
        <v>1349</v>
      </c>
      <c r="I268" s="172" t="s">
        <v>625</v>
      </c>
      <c r="J268" s="4" t="s">
        <v>1350</v>
      </c>
      <c r="K268" s="235">
        <v>8277659130</v>
      </c>
      <c r="L268" s="61" t="s">
        <v>707</v>
      </c>
      <c r="M268" s="3" t="s">
        <v>1351</v>
      </c>
      <c r="N268" s="91" t="s">
        <v>1352</v>
      </c>
      <c r="O268" s="3" t="s">
        <v>980</v>
      </c>
      <c r="P268" s="45" t="s">
        <v>268</v>
      </c>
      <c r="Q268" s="3" t="s">
        <v>837</v>
      </c>
      <c r="R268" s="3" t="s">
        <v>822</v>
      </c>
      <c r="S268" s="3" t="s">
        <v>470</v>
      </c>
      <c r="T268" s="3" t="s">
        <v>103</v>
      </c>
      <c r="U268" s="29">
        <v>46045</v>
      </c>
      <c r="V268" s="29">
        <v>46045</v>
      </c>
      <c r="W268" s="54"/>
      <c r="X268" s="54"/>
      <c r="Y268" s="54"/>
      <c r="Z268" s="54"/>
      <c r="AA268" s="54"/>
      <c r="AB268" s="54"/>
      <c r="AC268" s="54"/>
      <c r="AD268" s="54"/>
      <c r="AE268" s="54"/>
      <c r="AF268" s="54"/>
      <c r="AG268" s="54"/>
      <c r="AH268" s="54"/>
      <c r="AI268" s="54"/>
      <c r="AJ268" s="54"/>
      <c r="AK268" s="54"/>
      <c r="AL268" s="54"/>
      <c r="AM268" s="54"/>
      <c r="AN268" s="54"/>
      <c r="AO268" s="54"/>
      <c r="AS268" s="24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</row>
    <row r="269" spans="1:119" ht="14.45">
      <c r="A269" s="3" t="s">
        <v>68</v>
      </c>
      <c r="B269" s="3" t="s">
        <v>236</v>
      </c>
      <c r="C269" s="3" t="s">
        <v>510</v>
      </c>
      <c r="D269" s="3" t="s">
        <v>25</v>
      </c>
      <c r="E269" s="45" t="s">
        <v>57</v>
      </c>
      <c r="F269" s="45" t="s">
        <v>69</v>
      </c>
      <c r="G269" s="147" t="s">
        <v>62</v>
      </c>
      <c r="H269" s="186" t="s">
        <v>1353</v>
      </c>
      <c r="I269" s="172" t="s">
        <v>750</v>
      </c>
      <c r="J269" s="4" t="s">
        <v>1354</v>
      </c>
      <c r="K269" s="235">
        <v>8546823904</v>
      </c>
      <c r="L269" s="61" t="s">
        <v>641</v>
      </c>
      <c r="M269" s="3" t="s">
        <v>1355</v>
      </c>
      <c r="N269" s="91" t="s">
        <v>239</v>
      </c>
      <c r="O269" s="3" t="s">
        <v>239</v>
      </c>
      <c r="P269" s="3" t="s">
        <v>837</v>
      </c>
      <c r="Q269" s="45" t="s">
        <v>268</v>
      </c>
      <c r="R269" s="3" t="s">
        <v>1356</v>
      </c>
      <c r="S269" s="3" t="s">
        <v>470</v>
      </c>
      <c r="T269" s="3" t="s">
        <v>103</v>
      </c>
      <c r="U269" s="29">
        <v>46045</v>
      </c>
      <c r="V269" s="29">
        <v>46045</v>
      </c>
      <c r="W269" s="54"/>
      <c r="X269" s="54"/>
      <c r="Y269" s="54"/>
      <c r="Z269" s="54"/>
      <c r="AA269" s="54"/>
      <c r="AB269" s="54"/>
      <c r="AC269" s="54"/>
      <c r="AD269" s="54"/>
      <c r="AE269" s="54"/>
      <c r="AF269" s="54"/>
      <c r="AG269" s="54"/>
      <c r="AH269" s="54"/>
      <c r="AI269" s="54"/>
      <c r="AJ269" s="54"/>
      <c r="AK269" s="54"/>
      <c r="AL269" s="54"/>
      <c r="AM269" s="54"/>
      <c r="AN269" s="54"/>
      <c r="AO269" s="54"/>
      <c r="AS269" s="24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</row>
    <row r="270" spans="1:119" ht="14.45">
      <c r="A270" s="50" t="s">
        <v>55</v>
      </c>
      <c r="B270" s="50" t="s">
        <v>236</v>
      </c>
      <c r="C270" s="82" t="s">
        <v>510</v>
      </c>
      <c r="D270" s="82" t="s">
        <v>25</v>
      </c>
      <c r="E270" s="82" t="s">
        <v>57</v>
      </c>
      <c r="F270" s="50" t="s">
        <v>58</v>
      </c>
      <c r="G270" s="148" t="s">
        <v>56</v>
      </c>
      <c r="H270" s="533" t="s">
        <v>1357</v>
      </c>
      <c r="I270" s="534" t="s">
        <v>519</v>
      </c>
      <c r="J270" s="148" t="s">
        <v>1358</v>
      </c>
      <c r="K270" s="531">
        <v>8074114576</v>
      </c>
      <c r="L270" s="63" t="s">
        <v>707</v>
      </c>
      <c r="M270" s="50" t="s">
        <v>978</v>
      </c>
      <c r="N270" s="110" t="s">
        <v>1359</v>
      </c>
      <c r="O270" s="50" t="s">
        <v>301</v>
      </c>
      <c r="P270" s="82" t="s">
        <v>268</v>
      </c>
      <c r="Q270" s="50" t="s">
        <v>837</v>
      </c>
      <c r="R270" s="50" t="s">
        <v>822</v>
      </c>
      <c r="S270" s="50" t="s">
        <v>375</v>
      </c>
      <c r="T270" s="50" t="s">
        <v>103</v>
      </c>
      <c r="U270" s="89">
        <v>46045</v>
      </c>
      <c r="V270" s="89">
        <v>46045</v>
      </c>
      <c r="W270" s="535"/>
      <c r="X270" s="535"/>
      <c r="Y270" s="535"/>
      <c r="Z270" s="535"/>
      <c r="AA270" s="535"/>
      <c r="AB270" s="535"/>
      <c r="AC270" s="535"/>
      <c r="AD270" s="535"/>
      <c r="AE270" s="54"/>
      <c r="AF270" s="54"/>
      <c r="AG270" s="54"/>
      <c r="AH270" s="54"/>
      <c r="AI270" s="54"/>
      <c r="AJ270" s="54"/>
      <c r="AK270" s="54"/>
      <c r="AL270" s="54"/>
      <c r="AM270" s="54"/>
      <c r="AN270" s="54"/>
      <c r="AO270" s="54"/>
      <c r="AS270" s="24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</row>
    <row r="271" spans="1:119" ht="14.45">
      <c r="A271" s="702" t="s">
        <v>55</v>
      </c>
      <c r="B271" s="702" t="s">
        <v>258</v>
      </c>
      <c r="C271" s="470" t="s">
        <v>259</v>
      </c>
      <c r="D271" s="470" t="s">
        <v>25</v>
      </c>
      <c r="E271" s="470" t="s">
        <v>57</v>
      </c>
      <c r="F271" s="702" t="s">
        <v>58</v>
      </c>
      <c r="G271" s="702" t="s">
        <v>56</v>
      </c>
      <c r="H271" s="470" t="s">
        <v>1360</v>
      </c>
      <c r="I271" s="702" t="s">
        <v>497</v>
      </c>
      <c r="J271" s="478" t="s">
        <v>1361</v>
      </c>
      <c r="K271" s="470">
        <v>9398774371</v>
      </c>
      <c r="L271" s="702" t="s">
        <v>305</v>
      </c>
      <c r="M271" s="702" t="s">
        <v>1362</v>
      </c>
      <c r="N271" s="496" t="s">
        <v>1363</v>
      </c>
      <c r="O271" s="702" t="s">
        <v>327</v>
      </c>
      <c r="P271" s="702" t="s">
        <v>268</v>
      </c>
      <c r="Q271" s="702" t="s">
        <v>268</v>
      </c>
      <c r="R271" s="702" t="s">
        <v>1364</v>
      </c>
      <c r="S271" s="702" t="s">
        <v>270</v>
      </c>
      <c r="T271" s="702" t="s">
        <v>271</v>
      </c>
      <c r="U271" s="703">
        <v>46045</v>
      </c>
      <c r="V271" s="703">
        <v>46045</v>
      </c>
      <c r="W271" s="702"/>
      <c r="X271" s="702"/>
      <c r="Y271" s="702"/>
      <c r="Z271" s="702"/>
      <c r="AA271" s="702"/>
      <c r="AB271" s="702"/>
      <c r="AC271" s="702"/>
      <c r="AD271" s="702"/>
      <c r="AE271" s="184"/>
      <c r="AF271" s="47"/>
      <c r="AG271" s="47"/>
      <c r="AH271" s="47"/>
      <c r="AI271" s="47"/>
      <c r="AJ271" s="47"/>
      <c r="AK271" s="47"/>
      <c r="AL271" s="47"/>
      <c r="AM271" s="47"/>
      <c r="AN271" s="47"/>
      <c r="AO271" s="47"/>
      <c r="AS271" s="24"/>
    </row>
    <row r="272" spans="1:119" ht="14.45">
      <c r="A272" s="702" t="s">
        <v>110</v>
      </c>
      <c r="B272" s="702" t="s">
        <v>258</v>
      </c>
      <c r="C272" s="470" t="s">
        <v>259</v>
      </c>
      <c r="D272" s="470" t="s">
        <v>25</v>
      </c>
      <c r="E272" s="470" t="s">
        <v>57</v>
      </c>
      <c r="F272" s="702" t="s">
        <v>111</v>
      </c>
      <c r="G272" s="470" t="s">
        <v>108</v>
      </c>
      <c r="H272" s="702" t="s">
        <v>1365</v>
      </c>
      <c r="I272" s="702" t="s">
        <v>519</v>
      </c>
      <c r="J272" s="478" t="s">
        <v>1366</v>
      </c>
      <c r="K272" s="702">
        <v>9092954409</v>
      </c>
      <c r="L272" s="702" t="s">
        <v>404</v>
      </c>
      <c r="M272" s="702" t="s">
        <v>487</v>
      </c>
      <c r="N272" s="496" t="s">
        <v>1367</v>
      </c>
      <c r="O272" s="702" t="s">
        <v>1368</v>
      </c>
      <c r="P272" s="702" t="s">
        <v>1128</v>
      </c>
      <c r="Q272" s="702" t="s">
        <v>294</v>
      </c>
      <c r="R272" s="702" t="s">
        <v>716</v>
      </c>
      <c r="S272" s="702" t="s">
        <v>270</v>
      </c>
      <c r="T272" s="702" t="s">
        <v>271</v>
      </c>
      <c r="U272" s="703">
        <v>46045</v>
      </c>
      <c r="V272" s="703">
        <v>46045</v>
      </c>
      <c r="W272" s="702"/>
      <c r="X272" s="702"/>
      <c r="Y272" s="702"/>
      <c r="Z272" s="702"/>
      <c r="AA272" s="702"/>
      <c r="AB272" s="702"/>
      <c r="AC272" s="702"/>
      <c r="AD272" s="702"/>
      <c r="AE272" s="46"/>
      <c r="AL272" s="24"/>
      <c r="AM272" s="24"/>
      <c r="AS272" s="24"/>
    </row>
    <row r="273" spans="1:45" s="51" customFormat="1" ht="14.45">
      <c r="A273" s="702" t="s">
        <v>68</v>
      </c>
      <c r="B273" s="702" t="s">
        <v>258</v>
      </c>
      <c r="C273" s="470" t="s">
        <v>259</v>
      </c>
      <c r="D273" s="470" t="s">
        <v>25</v>
      </c>
      <c r="E273" s="470" t="s">
        <v>57</v>
      </c>
      <c r="F273" s="702" t="s">
        <v>69</v>
      </c>
      <c r="G273" s="702" t="s">
        <v>62</v>
      </c>
      <c r="H273" s="470" t="s">
        <v>1369</v>
      </c>
      <c r="I273" s="702" t="s">
        <v>316</v>
      </c>
      <c r="J273" s="478" t="s">
        <v>1370</v>
      </c>
      <c r="K273" s="702">
        <v>8073616339</v>
      </c>
      <c r="L273" s="702" t="s">
        <v>1034</v>
      </c>
      <c r="M273" s="702" t="s">
        <v>1371</v>
      </c>
      <c r="N273" s="496" t="s">
        <v>1372</v>
      </c>
      <c r="O273" s="702" t="s">
        <v>1373</v>
      </c>
      <c r="P273" s="702" t="s">
        <v>1374</v>
      </c>
      <c r="Q273" s="702" t="s">
        <v>294</v>
      </c>
      <c r="R273" s="702" t="s">
        <v>327</v>
      </c>
      <c r="S273" s="702" t="s">
        <v>270</v>
      </c>
      <c r="T273" s="702" t="s">
        <v>103</v>
      </c>
      <c r="U273" s="703">
        <v>46045</v>
      </c>
      <c r="V273" s="703">
        <v>46045</v>
      </c>
      <c r="W273" s="702"/>
      <c r="X273" s="702"/>
      <c r="Y273" s="702"/>
      <c r="Z273" s="702"/>
      <c r="AA273" s="702"/>
      <c r="AB273" s="702"/>
      <c r="AC273" s="702"/>
      <c r="AD273" s="702"/>
      <c r="AE273" s="108"/>
      <c r="AP273" s="24"/>
      <c r="AQ273" s="24"/>
      <c r="AR273" s="24"/>
      <c r="AS273" s="24"/>
    </row>
    <row r="274" spans="1:45" ht="14.45">
      <c r="A274" s="47" t="s">
        <v>35</v>
      </c>
      <c r="B274" s="47" t="s">
        <v>520</v>
      </c>
      <c r="C274" s="80" t="str">
        <f>IF(ISBLANK(B274),"",_xlfn.XLOOKUP(B274,Recruiter!A:A,Recruiter!B:B))</f>
        <v>Narthana</v>
      </c>
      <c r="D274" s="80" t="str">
        <f>IF(ISBLANK(A274),"",_xlfn.XLOOKUP(A274,'Requirement Overview'!C:C,'Requirement Overview'!E:E))</f>
        <v>Talme</v>
      </c>
      <c r="E274" s="586" t="str">
        <f>IF(ISBLANK(A274),"",_xlfn.XLOOKUP(A274,'Requirement Overview'!C:C,'Requirement Overview'!H:H))</f>
        <v>IT</v>
      </c>
      <c r="F274" s="586" t="str">
        <f>IF(ISBLANK(A274),"",_xlfn.XLOOKUP(A274,'Requirement Overview'!C:C,'Requirement Overview'!I:I))</f>
        <v>Windows system adminstrator</v>
      </c>
      <c r="G274" s="587" t="str">
        <f>IF(ISBLANK(A274),"",_xlfn.XLOOKUP(A274,'Requirement Overview'!C:C,'Requirement Overview'!G:G))</f>
        <v>EMIDS</v>
      </c>
      <c r="H274" s="595" t="s">
        <v>1375</v>
      </c>
      <c r="I274" s="596" t="s">
        <v>1376</v>
      </c>
      <c r="J274" s="597" t="s">
        <v>1377</v>
      </c>
      <c r="K274" s="595">
        <v>9110818359</v>
      </c>
      <c r="L274" s="596" t="s">
        <v>421</v>
      </c>
      <c r="M274" s="595" t="s">
        <v>395</v>
      </c>
      <c r="N274" s="313" t="s">
        <v>400</v>
      </c>
      <c r="O274" s="47" t="s">
        <v>1378</v>
      </c>
      <c r="P274" s="595" t="s">
        <v>268</v>
      </c>
      <c r="Q274" s="595" t="s">
        <v>1379</v>
      </c>
      <c r="R274" s="47" t="s">
        <v>373</v>
      </c>
      <c r="S274" s="47" t="s">
        <v>1380</v>
      </c>
      <c r="T274" s="47" t="s">
        <v>103</v>
      </c>
      <c r="U274" s="118">
        <v>46045</v>
      </c>
      <c r="V274" s="118">
        <v>46045</v>
      </c>
      <c r="W274" s="47" t="s">
        <v>1381</v>
      </c>
      <c r="X274" s="118">
        <v>46070</v>
      </c>
      <c r="Y274" s="47"/>
      <c r="Z274" s="47"/>
      <c r="AA274" s="47"/>
      <c r="AB274" s="47"/>
      <c r="AC274" s="47"/>
      <c r="AD274" s="47"/>
    </row>
    <row r="275" spans="1:45" ht="14.45">
      <c r="A275" s="24" t="s">
        <v>35</v>
      </c>
      <c r="B275" s="24" t="s">
        <v>520</v>
      </c>
      <c r="C275" s="19" t="str">
        <f>IF(ISBLANK(B275),"",_xlfn.XLOOKUP(B275,Recruiter!A:A,Recruiter!B:B))</f>
        <v>Narthana</v>
      </c>
      <c r="D275" s="19" t="str">
        <f>IF(ISBLANK(A275),"",_xlfn.XLOOKUP(A275,'Requirement Overview'!C:C,'Requirement Overview'!E:E))</f>
        <v>Talme</v>
      </c>
      <c r="E275" s="459" t="str">
        <f>IF(ISBLANK(A275),"",_xlfn.XLOOKUP(A275,'Requirement Overview'!C:C,'Requirement Overview'!H:H))</f>
        <v>IT</v>
      </c>
      <c r="F275" s="459" t="str">
        <f>IF(ISBLANK(A275),"",_xlfn.XLOOKUP(A275,'Requirement Overview'!C:C,'Requirement Overview'!I:I))</f>
        <v>Windows system adminstrator</v>
      </c>
      <c r="G275" s="460" t="str">
        <f>IF(ISBLANK(A275),"",_xlfn.XLOOKUP(A275,'Requirement Overview'!C:C,'Requirement Overview'!G:G))</f>
        <v>EMIDS</v>
      </c>
      <c r="H275" s="52" t="s">
        <v>1382</v>
      </c>
      <c r="I275" s="333" t="s">
        <v>1383</v>
      </c>
      <c r="J275" s="272" t="s">
        <v>1384</v>
      </c>
      <c r="K275" s="52">
        <v>9036245818</v>
      </c>
      <c r="L275" s="333" t="s">
        <v>290</v>
      </c>
      <c r="M275" s="52" t="s">
        <v>414</v>
      </c>
      <c r="N275" s="92" t="s">
        <v>1385</v>
      </c>
      <c r="O275" s="24" t="s">
        <v>373</v>
      </c>
      <c r="P275" s="52" t="s">
        <v>268</v>
      </c>
      <c r="Q275" s="52" t="s">
        <v>1379</v>
      </c>
      <c r="R275" s="24" t="s">
        <v>439</v>
      </c>
      <c r="S275" s="24" t="s">
        <v>601</v>
      </c>
      <c r="T275" s="24" t="s">
        <v>103</v>
      </c>
      <c r="U275" s="29">
        <v>46045</v>
      </c>
      <c r="V275" s="29">
        <v>46045</v>
      </c>
      <c r="W275" s="24" t="s">
        <v>1386</v>
      </c>
      <c r="X275" s="29"/>
    </row>
    <row r="276" spans="1:45" ht="14.45">
      <c r="A276" s="24" t="s">
        <v>35</v>
      </c>
      <c r="B276" s="24" t="s">
        <v>520</v>
      </c>
      <c r="C276" s="19" t="str">
        <f>IF(ISBLANK(B276),"",_xlfn.XLOOKUP(B276,Recruiter!A:A,Recruiter!B:B))</f>
        <v>Narthana</v>
      </c>
      <c r="D276" s="19" t="str">
        <f>IF(ISBLANK(A276),"",_xlfn.XLOOKUP(A276,'Requirement Overview'!C:C,'Requirement Overview'!E:E))</f>
        <v>Talme</v>
      </c>
      <c r="E276" s="459" t="str">
        <f>IF(ISBLANK(A276),"",_xlfn.XLOOKUP(A276,'Requirement Overview'!C:C,'Requirement Overview'!H:H))</f>
        <v>IT</v>
      </c>
      <c r="F276" s="459" t="str">
        <f>IF(ISBLANK(A276),"",_xlfn.XLOOKUP(A276,'Requirement Overview'!C:C,'Requirement Overview'!I:I))</f>
        <v>Windows system adminstrator</v>
      </c>
      <c r="G276" s="460" t="str">
        <f>IF(ISBLANK(A276),"",_xlfn.XLOOKUP(A276,'Requirement Overview'!C:C,'Requirement Overview'!G:G))</f>
        <v>EMIDS</v>
      </c>
      <c r="H276" s="52" t="s">
        <v>1387</v>
      </c>
      <c r="I276" s="333" t="s">
        <v>1388</v>
      </c>
      <c r="J276" s="272" t="s">
        <v>1389</v>
      </c>
      <c r="K276" s="52">
        <v>8142922732</v>
      </c>
      <c r="L276" s="333" t="s">
        <v>404</v>
      </c>
      <c r="M276" s="52" t="s">
        <v>379</v>
      </c>
      <c r="N276" s="92" t="s">
        <v>1390</v>
      </c>
      <c r="O276" s="24" t="s">
        <v>381</v>
      </c>
      <c r="P276" s="52" t="s">
        <v>1391</v>
      </c>
      <c r="Q276" s="52" t="s">
        <v>879</v>
      </c>
      <c r="R276" s="24" t="s">
        <v>382</v>
      </c>
      <c r="S276" s="24" t="s">
        <v>1380</v>
      </c>
      <c r="T276" s="24" t="s">
        <v>103</v>
      </c>
      <c r="U276" s="29">
        <v>46045</v>
      </c>
      <c r="V276" s="29">
        <v>46045</v>
      </c>
      <c r="W276" s="24" t="s">
        <v>1381</v>
      </c>
      <c r="X276" s="29">
        <v>46071</v>
      </c>
    </row>
    <row r="277" spans="1:45" ht="14.45">
      <c r="A277" s="24" t="s">
        <v>107</v>
      </c>
      <c r="B277" s="24" t="s">
        <v>520</v>
      </c>
      <c r="C277" s="19" t="str">
        <f>IF(ISBLANK(B277),"",_xlfn.XLOOKUP(B277,Recruiter!A:A,Recruiter!B:B))</f>
        <v>Narthana</v>
      </c>
      <c r="D277" s="19" t="str">
        <f>IF(ISBLANK(A277),"",_xlfn.XLOOKUP(A277,'Requirement Overview'!C:C,'Requirement Overview'!E:E))</f>
        <v>Talme</v>
      </c>
      <c r="E277" s="459" t="str">
        <f>IF(ISBLANK(A277),"",_xlfn.XLOOKUP(A277,'Requirement Overview'!C:C,'Requirement Overview'!H:H))</f>
        <v>IT</v>
      </c>
      <c r="F277" s="459" t="str">
        <f>IF(ISBLANK(A277),"",_xlfn.XLOOKUP(A277,'Requirement Overview'!C:C,'Requirement Overview'!I:I))</f>
        <v>.Net Backend Developer</v>
      </c>
      <c r="G277" s="460" t="str">
        <f>IF(ISBLANK(A277),"",_xlfn.XLOOKUP(A277,'Requirement Overview'!C:C,'Requirement Overview'!G:G))</f>
        <v>Semnox Solutions</v>
      </c>
      <c r="H277" s="113" t="s">
        <v>1392</v>
      </c>
      <c r="I277" s="46" t="s">
        <v>1393</v>
      </c>
      <c r="J277" s="272" t="s">
        <v>1394</v>
      </c>
      <c r="K277" s="113">
        <v>7674987032</v>
      </c>
      <c r="L277" s="180" t="s">
        <v>404</v>
      </c>
      <c r="M277" s="113" t="s">
        <v>1395</v>
      </c>
      <c r="N277" s="92" t="s">
        <v>1396</v>
      </c>
      <c r="O277" s="113" t="s">
        <v>1397</v>
      </c>
      <c r="P277" s="113" t="s">
        <v>1042</v>
      </c>
      <c r="Q277" s="113" t="s">
        <v>1183</v>
      </c>
      <c r="R277" s="113" t="s">
        <v>540</v>
      </c>
      <c r="S277" s="24" t="s">
        <v>470</v>
      </c>
      <c r="T277" s="24" t="s">
        <v>103</v>
      </c>
      <c r="U277" s="29">
        <v>46045</v>
      </c>
      <c r="V277" s="29">
        <v>46045</v>
      </c>
    </row>
    <row r="278" spans="1:45" ht="14.45">
      <c r="A278" s="24" t="s">
        <v>107</v>
      </c>
      <c r="B278" s="24" t="s">
        <v>520</v>
      </c>
      <c r="C278" s="19" t="str">
        <f>IF(ISBLANK(B278),"",_xlfn.XLOOKUP(B278,Recruiter!A:A,Recruiter!B:B))</f>
        <v>Narthana</v>
      </c>
      <c r="D278" s="19" t="str">
        <f>IF(ISBLANK(A278),"",_xlfn.XLOOKUP(A278,'Requirement Overview'!C:C,'Requirement Overview'!E:E))</f>
        <v>Talme</v>
      </c>
      <c r="E278" s="459" t="str">
        <f>IF(ISBLANK(A278),"",_xlfn.XLOOKUP(A278,'Requirement Overview'!C:C,'Requirement Overview'!H:H))</f>
        <v>IT</v>
      </c>
      <c r="F278" s="459" t="str">
        <f>IF(ISBLANK(A278),"",_xlfn.XLOOKUP(A278,'Requirement Overview'!C:C,'Requirement Overview'!I:I))</f>
        <v>.Net Backend Developer</v>
      </c>
      <c r="G278" s="460" t="str">
        <f>IF(ISBLANK(A278),"",_xlfn.XLOOKUP(A278,'Requirement Overview'!C:C,'Requirement Overview'!G:G))</f>
        <v>Semnox Solutions</v>
      </c>
      <c r="H278" s="113" t="s">
        <v>1398</v>
      </c>
      <c r="I278" s="46" t="s">
        <v>683</v>
      </c>
      <c r="J278" s="272" t="s">
        <v>1399</v>
      </c>
      <c r="K278" s="304">
        <v>9731350835</v>
      </c>
      <c r="L278" s="180" t="s">
        <v>311</v>
      </c>
      <c r="M278" s="113" t="s">
        <v>1400</v>
      </c>
      <c r="N278" s="92" t="s">
        <v>1401</v>
      </c>
      <c r="O278" s="113" t="s">
        <v>654</v>
      </c>
      <c r="P278" s="113" t="s">
        <v>1297</v>
      </c>
      <c r="Q278" s="113" t="s">
        <v>1183</v>
      </c>
      <c r="R278" s="113" t="s">
        <v>386</v>
      </c>
      <c r="S278" s="24" t="s">
        <v>470</v>
      </c>
      <c r="T278" s="24" t="s">
        <v>103</v>
      </c>
      <c r="U278" s="29">
        <v>46045</v>
      </c>
      <c r="V278" s="29">
        <v>46045</v>
      </c>
    </row>
    <row r="279" spans="1:45" ht="14.45">
      <c r="A279" s="24" t="s">
        <v>107</v>
      </c>
      <c r="B279" s="24" t="s">
        <v>520</v>
      </c>
      <c r="C279" s="19" t="str">
        <f>IF(ISBLANK(B279),"",_xlfn.XLOOKUP(B279,Recruiter!A:A,Recruiter!B:B))</f>
        <v>Narthana</v>
      </c>
      <c r="D279" s="19" t="str">
        <f>IF(ISBLANK(A279),"",_xlfn.XLOOKUP(A279,'Requirement Overview'!C:C,'Requirement Overview'!E:E))</f>
        <v>Talme</v>
      </c>
      <c r="E279" s="459" t="str">
        <f>IF(ISBLANK(A279),"",_xlfn.XLOOKUP(A279,'Requirement Overview'!C:C,'Requirement Overview'!H:H))</f>
        <v>IT</v>
      </c>
      <c r="F279" s="459" t="str">
        <f>IF(ISBLANK(A279),"",_xlfn.XLOOKUP(A279,'Requirement Overview'!C:C,'Requirement Overview'!I:I))</f>
        <v>.Net Backend Developer</v>
      </c>
      <c r="G279" s="460" t="str">
        <f>IF(ISBLANK(A279),"",_xlfn.XLOOKUP(A279,'Requirement Overview'!C:C,'Requirement Overview'!G:G))</f>
        <v>Semnox Solutions</v>
      </c>
      <c r="H279" s="113" t="s">
        <v>1402</v>
      </c>
      <c r="I279" s="46" t="s">
        <v>1403</v>
      </c>
      <c r="J279" s="272" t="s">
        <v>1404</v>
      </c>
      <c r="K279" s="113">
        <v>7019865533</v>
      </c>
      <c r="L279" s="180" t="s">
        <v>404</v>
      </c>
      <c r="M279" s="113" t="s">
        <v>279</v>
      </c>
      <c r="N279" s="92" t="s">
        <v>400</v>
      </c>
      <c r="O279" s="113" t="s">
        <v>1405</v>
      </c>
      <c r="P279" s="113" t="s">
        <v>1297</v>
      </c>
      <c r="Q279" s="113" t="s">
        <v>1183</v>
      </c>
      <c r="R279" s="113" t="s">
        <v>386</v>
      </c>
      <c r="S279" s="24" t="s">
        <v>470</v>
      </c>
      <c r="T279" s="24" t="s">
        <v>103</v>
      </c>
      <c r="U279" s="29">
        <v>46045</v>
      </c>
      <c r="V279" s="29">
        <v>46045</v>
      </c>
    </row>
    <row r="280" spans="1:45" s="47" customFormat="1" ht="14.45">
      <c r="A280" s="24" t="s">
        <v>92</v>
      </c>
      <c r="B280" s="47" t="s">
        <v>340</v>
      </c>
      <c r="C280" s="19" t="str">
        <f>IF(ISBLANK(B280),"",_xlfn.XLOOKUP(B280,Recruiter!A:A,Recruiter!B:B))</f>
        <v>Harshitha</v>
      </c>
      <c r="D280" s="19" t="str">
        <f>IF(ISBLANK(A280),"",_xlfn.XLOOKUP(A280,'Requirement Overview'!C:C,'Requirement Overview'!E:E))</f>
        <v>Talme</v>
      </c>
      <c r="E280" s="459" t="str">
        <f>IF(ISBLANK(A280),"",_xlfn.XLOOKUP(A280,'Requirement Overview'!C:C,'Requirement Overview'!H:H))</f>
        <v>IT</v>
      </c>
      <c r="F280" s="459" t="str">
        <f>IF(ISBLANK(A280),"",_xlfn.XLOOKUP(A280,'Requirement Overview'!C:C,'Requirement Overview'!I:I))</f>
        <v>Lead Data Engineer</v>
      </c>
      <c r="G280" s="460" t="str">
        <f>IF(ISBLANK(A280),"",_xlfn.XLOOKUP(A280,'Requirement Overview'!C:C,'Requirement Overview'!G:G))</f>
        <v>Thoughtfocus</v>
      </c>
      <c r="H280" s="187" t="s">
        <v>1406</v>
      </c>
      <c r="I280" s="173" t="s">
        <v>519</v>
      </c>
      <c r="J280" s="205" t="s">
        <v>1407</v>
      </c>
      <c r="K280" s="236">
        <v>9572712542</v>
      </c>
      <c r="L280" s="184"/>
      <c r="M280" s="64" t="s">
        <v>379</v>
      </c>
      <c r="N280" s="91" t="s">
        <v>1408</v>
      </c>
      <c r="O280" s="64" t="s">
        <v>455</v>
      </c>
      <c r="P280" s="64" t="s">
        <v>268</v>
      </c>
      <c r="Q280" s="64" t="s">
        <v>268</v>
      </c>
      <c r="R280" s="64" t="s">
        <v>469</v>
      </c>
      <c r="S280" s="47" t="s">
        <v>470</v>
      </c>
      <c r="T280" s="47" t="s">
        <v>103</v>
      </c>
      <c r="U280" s="29">
        <v>46045</v>
      </c>
      <c r="V280" s="29">
        <v>46045</v>
      </c>
      <c r="AP280" s="24"/>
      <c r="AQ280" s="24"/>
      <c r="AR280" s="24"/>
      <c r="AS280" s="24"/>
    </row>
    <row r="281" spans="1:45" ht="14.45">
      <c r="A281" s="24" t="s">
        <v>92</v>
      </c>
      <c r="B281" s="24" t="s">
        <v>340</v>
      </c>
      <c r="C281" s="19" t="str">
        <f>IF(ISBLANK(B281),"",_xlfn.XLOOKUP(B281,Recruiter!A:A,Recruiter!B:B))</f>
        <v>Harshitha</v>
      </c>
      <c r="D281" s="19" t="str">
        <f>IF(ISBLANK(A281),"",_xlfn.XLOOKUP(A281,'Requirement Overview'!C:C,'Requirement Overview'!E:E))</f>
        <v>Talme</v>
      </c>
      <c r="E281" s="459" t="str">
        <f>IF(ISBLANK(A281),"",_xlfn.XLOOKUP(A281,'Requirement Overview'!C:C,'Requirement Overview'!H:H))</f>
        <v>IT</v>
      </c>
      <c r="F281" s="459" t="str">
        <f>IF(ISBLANK(A281),"",_xlfn.XLOOKUP(A281,'Requirement Overview'!C:C,'Requirement Overview'!I:I))</f>
        <v>Lead Data Engineer</v>
      </c>
      <c r="G281" s="460" t="str">
        <f>IF(ISBLANK(A281),"",_xlfn.XLOOKUP(A281,'Requirement Overview'!C:C,'Requirement Overview'!G:G))</f>
        <v>Thoughtfocus</v>
      </c>
      <c r="H281" s="187" t="s">
        <v>1409</v>
      </c>
      <c r="I281" s="173" t="s">
        <v>1410</v>
      </c>
      <c r="J281" s="205" t="s">
        <v>1411</v>
      </c>
      <c r="K281" s="236">
        <v>7903362293</v>
      </c>
      <c r="L281" s="46"/>
      <c r="M281" s="64" t="s">
        <v>390</v>
      </c>
      <c r="N281" s="91" t="s">
        <v>1412</v>
      </c>
      <c r="O281" s="64" t="s">
        <v>633</v>
      </c>
      <c r="P281" s="64" t="s">
        <v>268</v>
      </c>
      <c r="Q281" s="64" t="s">
        <v>268</v>
      </c>
      <c r="R281" s="64" t="s">
        <v>628</v>
      </c>
      <c r="S281" s="24" t="s">
        <v>470</v>
      </c>
      <c r="T281" s="24" t="s">
        <v>103</v>
      </c>
      <c r="U281" s="29">
        <v>46045</v>
      </c>
      <c r="V281" s="29">
        <v>46045</v>
      </c>
    </row>
    <row r="282" spans="1:45" ht="14.45">
      <c r="A282" s="24" t="s">
        <v>92</v>
      </c>
      <c r="B282" s="24" t="s">
        <v>340</v>
      </c>
      <c r="C282" s="19" t="str">
        <f>IF(ISBLANK(B282),"",_xlfn.XLOOKUP(B282,Recruiter!A:A,Recruiter!B:B))</f>
        <v>Harshitha</v>
      </c>
      <c r="D282" s="19" t="str">
        <f>IF(ISBLANK(A282),"",_xlfn.XLOOKUP(A282,'Requirement Overview'!C:C,'Requirement Overview'!E:E))</f>
        <v>Talme</v>
      </c>
      <c r="E282" s="459" t="str">
        <f>IF(ISBLANK(A282),"",_xlfn.XLOOKUP(A282,'Requirement Overview'!C:C,'Requirement Overview'!H:H))</f>
        <v>IT</v>
      </c>
      <c r="F282" s="459" t="str">
        <f>IF(ISBLANK(A282),"",_xlfn.XLOOKUP(A282,'Requirement Overview'!C:C,'Requirement Overview'!I:I))</f>
        <v>Lead Data Engineer</v>
      </c>
      <c r="G282" s="460" t="str">
        <f>IF(ISBLANK(A282),"",_xlfn.XLOOKUP(A282,'Requirement Overview'!C:C,'Requirement Overview'!G:G))</f>
        <v>Thoughtfocus</v>
      </c>
      <c r="H282" s="187" t="s">
        <v>1413</v>
      </c>
      <c r="I282" s="173" t="s">
        <v>519</v>
      </c>
      <c r="J282" s="205" t="s">
        <v>1414</v>
      </c>
      <c r="K282" s="236">
        <v>9035495665</v>
      </c>
      <c r="L282" s="46"/>
      <c r="M282" s="64" t="s">
        <v>365</v>
      </c>
      <c r="N282" s="91" t="s">
        <v>1415</v>
      </c>
      <c r="O282" s="64" t="s">
        <v>1416</v>
      </c>
      <c r="P282" s="64" t="s">
        <v>268</v>
      </c>
      <c r="Q282" s="64" t="s">
        <v>268</v>
      </c>
      <c r="R282" s="64" t="s">
        <v>469</v>
      </c>
      <c r="S282" s="24" t="s">
        <v>470</v>
      </c>
      <c r="T282" s="24" t="s">
        <v>103</v>
      </c>
      <c r="U282" s="29">
        <v>46045</v>
      </c>
      <c r="V282" s="29">
        <v>46045</v>
      </c>
    </row>
    <row r="283" spans="1:45" ht="14.45">
      <c r="A283" s="24" t="s">
        <v>92</v>
      </c>
      <c r="B283" s="24" t="s">
        <v>1417</v>
      </c>
      <c r="C283" s="19" t="str">
        <f>IF(ISBLANK(B283),"",_xlfn.XLOOKUP(B283,Recruiter!A:A,Recruiter!B:B))</f>
        <v>Harish</v>
      </c>
      <c r="D283" s="19" t="str">
        <f>IF(ISBLANK(A283),"",_xlfn.XLOOKUP(A283,'Requirement Overview'!C:C,'Requirement Overview'!E:E))</f>
        <v>Talme</v>
      </c>
      <c r="E283" s="459" t="str">
        <f>IF(ISBLANK(A283),"",_xlfn.XLOOKUP(A283,'Requirement Overview'!C:C,'Requirement Overview'!H:H))</f>
        <v>IT</v>
      </c>
      <c r="F283" s="459" t="str">
        <f>IF(ISBLANK(A283),"",_xlfn.XLOOKUP(A283,'Requirement Overview'!C:C,'Requirement Overview'!I:I))</f>
        <v>Lead Data Engineer</v>
      </c>
      <c r="G283" s="460" t="str">
        <f>IF(ISBLANK(A283),"",_xlfn.XLOOKUP(A283,'Requirement Overview'!C:C,'Requirement Overview'!G:G))</f>
        <v>Thoughtfocus</v>
      </c>
      <c r="H283" s="24" t="s">
        <v>1418</v>
      </c>
      <c r="I283" s="173" t="s">
        <v>519</v>
      </c>
      <c r="J283" s="4" t="s">
        <v>1419</v>
      </c>
      <c r="K283" s="24">
        <v>9449477994</v>
      </c>
      <c r="L283" s="46"/>
      <c r="M283" s="3" t="s">
        <v>343</v>
      </c>
      <c r="N283" s="91" t="s">
        <v>1420</v>
      </c>
      <c r="O283" s="3" t="s">
        <v>345</v>
      </c>
      <c r="P283" s="64" t="s">
        <v>268</v>
      </c>
      <c r="Q283" s="64" t="s">
        <v>268</v>
      </c>
      <c r="R283" s="3" t="s">
        <v>1421</v>
      </c>
      <c r="S283" s="24" t="s">
        <v>375</v>
      </c>
      <c r="T283" s="24" t="s">
        <v>103</v>
      </c>
      <c r="U283" s="29">
        <v>46045</v>
      </c>
      <c r="V283" s="29">
        <v>46045</v>
      </c>
    </row>
    <row r="284" spans="1:45" ht="14.45">
      <c r="A284" s="24" t="s">
        <v>92</v>
      </c>
      <c r="B284" s="24" t="s">
        <v>1417</v>
      </c>
      <c r="C284" s="19" t="str">
        <f>IF(ISBLANK(B284),"",_xlfn.XLOOKUP(B284,Recruiter!A:A,Recruiter!B:B))</f>
        <v>Harish</v>
      </c>
      <c r="D284" s="19" t="str">
        <f>IF(ISBLANK(A284),"",_xlfn.XLOOKUP(A284,'Requirement Overview'!C:C,'Requirement Overview'!E:E))</f>
        <v>Talme</v>
      </c>
      <c r="E284" s="459" t="str">
        <f>IF(ISBLANK(A284),"",_xlfn.XLOOKUP(A284,'Requirement Overview'!C:C,'Requirement Overview'!H:H))</f>
        <v>IT</v>
      </c>
      <c r="F284" s="459" t="str">
        <f>IF(ISBLANK(A284),"",_xlfn.XLOOKUP(A284,'Requirement Overview'!C:C,'Requirement Overview'!I:I))</f>
        <v>Lead Data Engineer</v>
      </c>
      <c r="G284" s="460" t="str">
        <f>IF(ISBLANK(A284),"",_xlfn.XLOOKUP(A284,'Requirement Overview'!C:C,'Requirement Overview'!G:G))</f>
        <v>Thoughtfocus</v>
      </c>
      <c r="H284" s="24" t="s">
        <v>1422</v>
      </c>
      <c r="I284" s="61" t="s">
        <v>1423</v>
      </c>
      <c r="J284" s="4" t="s">
        <v>1424</v>
      </c>
      <c r="K284" s="24">
        <v>9480750606</v>
      </c>
      <c r="L284" s="46"/>
      <c r="M284" s="65" t="s">
        <v>1425</v>
      </c>
      <c r="N284" s="91" t="s">
        <v>1426</v>
      </c>
      <c r="O284" s="3" t="s">
        <v>1427</v>
      </c>
      <c r="P284" s="64" t="s">
        <v>268</v>
      </c>
      <c r="Q284" s="64" t="s">
        <v>268</v>
      </c>
      <c r="R284" s="64" t="s">
        <v>469</v>
      </c>
      <c r="S284" s="24" t="s">
        <v>375</v>
      </c>
      <c r="T284" s="24" t="s">
        <v>103</v>
      </c>
      <c r="U284" s="29">
        <v>46045</v>
      </c>
      <c r="V284" s="29">
        <v>46045</v>
      </c>
    </row>
    <row r="285" spans="1:45" ht="14.45">
      <c r="A285" s="24" t="s">
        <v>92</v>
      </c>
      <c r="B285" s="24" t="s">
        <v>1417</v>
      </c>
      <c r="C285" s="19" t="str">
        <f>IF(ISBLANK(B285),"",_xlfn.XLOOKUP(B285,Recruiter!A:A,Recruiter!B:B))</f>
        <v>Harish</v>
      </c>
      <c r="D285" s="19" t="str">
        <f>IF(ISBLANK(A285),"",_xlfn.XLOOKUP(A285,'Requirement Overview'!C:C,'Requirement Overview'!E:E))</f>
        <v>Talme</v>
      </c>
      <c r="E285" s="459" t="str">
        <f>IF(ISBLANK(A285),"",_xlfn.XLOOKUP(A285,'Requirement Overview'!C:C,'Requirement Overview'!H:H))</f>
        <v>IT</v>
      </c>
      <c r="F285" s="24" t="str">
        <f>IF(ISBLANK(A285),"",_xlfn.XLOOKUP(A285,'Requirement Overview'!C:C,'Requirement Overview'!I:I))</f>
        <v>Lead Data Engineer</v>
      </c>
      <c r="G285" s="460" t="str">
        <f>IF(ISBLANK(A285),"",_xlfn.XLOOKUP(A285,'Requirement Overview'!C:C,'Requirement Overview'!G:G))</f>
        <v>Thoughtfocus</v>
      </c>
      <c r="H285" s="24" t="s">
        <v>1428</v>
      </c>
      <c r="I285" s="46" t="s">
        <v>262</v>
      </c>
      <c r="J285" s="4" t="s">
        <v>1429</v>
      </c>
      <c r="K285" s="24">
        <v>9066403771</v>
      </c>
      <c r="L285" s="46"/>
      <c r="M285" s="24" t="s">
        <v>487</v>
      </c>
      <c r="N285" s="91" t="s">
        <v>1430</v>
      </c>
      <c r="O285" s="3" t="s">
        <v>359</v>
      </c>
      <c r="P285" s="64" t="s">
        <v>268</v>
      </c>
      <c r="Q285" s="64" t="s">
        <v>268</v>
      </c>
      <c r="R285" s="24" t="s">
        <v>1431</v>
      </c>
      <c r="S285" s="24" t="s">
        <v>270</v>
      </c>
      <c r="T285" s="24" t="s">
        <v>103</v>
      </c>
      <c r="U285" s="29">
        <v>46045</v>
      </c>
      <c r="V285" s="29">
        <v>46045</v>
      </c>
    </row>
    <row r="286" spans="1:45" ht="14.45">
      <c r="A286" s="24" t="s">
        <v>107</v>
      </c>
      <c r="B286" s="24" t="s">
        <v>1417</v>
      </c>
      <c r="C286" s="19" t="str">
        <f>IF(ISBLANK(B286),"",_xlfn.XLOOKUP(B286,Recruiter!A:A,Recruiter!B:B))</f>
        <v>Harish</v>
      </c>
      <c r="D286" s="19" t="str">
        <f>IF(ISBLANK(A286),"",_xlfn.XLOOKUP(A286,'Requirement Overview'!C:C,'Requirement Overview'!E:E))</f>
        <v>Talme</v>
      </c>
      <c r="E286" s="24" t="str">
        <f>IF(ISBLANK(A286),"",_xlfn.XLOOKUP(A286,'Requirement Overview'!C:C,'Requirement Overview'!H:H))</f>
        <v>IT</v>
      </c>
      <c r="F286" s="24" t="str">
        <f>IF(ISBLANK(A286),"",_xlfn.XLOOKUP(A286,'Requirement Overview'!C:C,'Requirement Overview'!I:I))</f>
        <v>.Net Backend Developer</v>
      </c>
      <c r="G286" s="58" t="str">
        <f>IF(ISBLANK(A286),"",_xlfn.XLOOKUP(A286,'Requirement Overview'!C:C,'Requirement Overview'!G:G))</f>
        <v>Semnox Solutions</v>
      </c>
      <c r="H286" s="24" t="s">
        <v>1432</v>
      </c>
      <c r="I286" s="61" t="s">
        <v>674</v>
      </c>
      <c r="J286" s="4" t="s">
        <v>1433</v>
      </c>
      <c r="K286" s="24">
        <v>8973261436</v>
      </c>
      <c r="L286" s="61" t="s">
        <v>305</v>
      </c>
      <c r="M286" s="3" t="s">
        <v>390</v>
      </c>
      <c r="N286" s="91" t="s">
        <v>1434</v>
      </c>
      <c r="O286" s="3" t="s">
        <v>540</v>
      </c>
      <c r="P286" s="3" t="s">
        <v>1183</v>
      </c>
      <c r="Q286" s="3" t="s">
        <v>1183</v>
      </c>
      <c r="R286" s="54" t="s">
        <v>1435</v>
      </c>
      <c r="S286" s="24" t="s">
        <v>375</v>
      </c>
      <c r="T286" s="24" t="s">
        <v>103</v>
      </c>
      <c r="U286" s="29">
        <v>46045</v>
      </c>
      <c r="V286" s="29">
        <v>46045</v>
      </c>
    </row>
    <row r="287" spans="1:45" ht="14.45">
      <c r="A287" s="24" t="s">
        <v>107</v>
      </c>
      <c r="B287" s="24" t="s">
        <v>1417</v>
      </c>
      <c r="C287" s="19" t="str">
        <f>IF(ISBLANK(B287),"",_xlfn.XLOOKUP(B287,Recruiter!A:A,Recruiter!B:B))</f>
        <v>Harish</v>
      </c>
      <c r="D287" s="19" t="str">
        <f>IF(ISBLANK(A287),"",_xlfn.XLOOKUP(A287,'Requirement Overview'!C:C,'Requirement Overview'!E:E))</f>
        <v>Talme</v>
      </c>
      <c r="E287" s="24" t="str">
        <f>IF(ISBLANK(A287),"",_xlfn.XLOOKUP(A287,'Requirement Overview'!C:C,'Requirement Overview'!H:H))</f>
        <v>IT</v>
      </c>
      <c r="F287" s="24" t="str">
        <f>IF(ISBLANK(A287),"",_xlfn.XLOOKUP(A287,'Requirement Overview'!C:C,'Requirement Overview'!I:I))</f>
        <v>.Net Backend Developer</v>
      </c>
      <c r="G287" s="58" t="str">
        <f>IF(ISBLANK(A287),"",_xlfn.XLOOKUP(A287,'Requirement Overview'!C:C,'Requirement Overview'!G:G))</f>
        <v>Semnox Solutions</v>
      </c>
      <c r="H287" s="24" t="s">
        <v>1436</v>
      </c>
      <c r="I287" s="61" t="s">
        <v>674</v>
      </c>
      <c r="J287" s="4" t="s">
        <v>1437</v>
      </c>
      <c r="K287" s="24">
        <v>9901723443</v>
      </c>
      <c r="L287" s="61" t="s">
        <v>378</v>
      </c>
      <c r="M287" s="3" t="s">
        <v>395</v>
      </c>
      <c r="N287" s="91" t="s">
        <v>1438</v>
      </c>
      <c r="O287" s="3" t="s">
        <v>903</v>
      </c>
      <c r="P287" s="3" t="s">
        <v>1183</v>
      </c>
      <c r="Q287" s="3" t="s">
        <v>1183</v>
      </c>
      <c r="R287" s="54" t="s">
        <v>386</v>
      </c>
      <c r="S287" s="24" t="s">
        <v>375</v>
      </c>
      <c r="T287" s="24" t="s">
        <v>103</v>
      </c>
      <c r="U287" s="29">
        <v>46045</v>
      </c>
      <c r="V287" s="29">
        <v>46045</v>
      </c>
    </row>
    <row r="288" spans="1:45" ht="14.45">
      <c r="A288" s="24" t="s">
        <v>107</v>
      </c>
      <c r="B288" s="24" t="s">
        <v>1417</v>
      </c>
      <c r="C288" s="19" t="str">
        <f>IF(ISBLANK(B288),"",_xlfn.XLOOKUP(B288,Recruiter!A:A,Recruiter!B:B))</f>
        <v>Harish</v>
      </c>
      <c r="D288" s="19" t="str">
        <f>IF(ISBLANK(A288),"",_xlfn.XLOOKUP(A288,'Requirement Overview'!C:C,'Requirement Overview'!E:E))</f>
        <v>Talme</v>
      </c>
      <c r="E288" s="24" t="str">
        <f>IF(ISBLANK(A288),"",_xlfn.XLOOKUP(A288,'Requirement Overview'!C:C,'Requirement Overview'!H:H))</f>
        <v>IT</v>
      </c>
      <c r="F288" s="24" t="str">
        <f>IF(ISBLANK(A288),"",_xlfn.XLOOKUP(A288,'Requirement Overview'!C:C,'Requirement Overview'!I:I))</f>
        <v>.Net Backend Developer</v>
      </c>
      <c r="G288" s="58" t="str">
        <f>IF(ISBLANK(A288),"",_xlfn.XLOOKUP(A288,'Requirement Overview'!C:C,'Requirement Overview'!G:G))</f>
        <v>Semnox Solutions</v>
      </c>
      <c r="H288" s="24" t="s">
        <v>1439</v>
      </c>
      <c r="I288" s="61" t="s">
        <v>262</v>
      </c>
      <c r="J288" s="4" t="s">
        <v>1440</v>
      </c>
      <c r="K288" s="24">
        <v>9972311546</v>
      </c>
      <c r="L288" s="61" t="s">
        <v>290</v>
      </c>
      <c r="M288" s="3" t="s">
        <v>279</v>
      </c>
      <c r="N288" s="91" t="s">
        <v>1441</v>
      </c>
      <c r="O288" s="3" t="s">
        <v>374</v>
      </c>
      <c r="P288" s="3" t="s">
        <v>1183</v>
      </c>
      <c r="Q288" s="3" t="s">
        <v>1183</v>
      </c>
      <c r="R288" s="54" t="s">
        <v>1435</v>
      </c>
      <c r="S288" s="24" t="s">
        <v>375</v>
      </c>
      <c r="T288" s="24" t="s">
        <v>103</v>
      </c>
      <c r="U288" s="29">
        <v>46045</v>
      </c>
      <c r="V288" s="29">
        <v>46045</v>
      </c>
    </row>
    <row r="289" spans="1:119" ht="14.45">
      <c r="A289" s="24" t="s">
        <v>107</v>
      </c>
      <c r="B289" s="24" t="s">
        <v>1417</v>
      </c>
      <c r="C289" s="19" t="str">
        <f>IF(ISBLANK(B289),"",_xlfn.XLOOKUP(B289,Recruiter!A:A,Recruiter!B:B))</f>
        <v>Harish</v>
      </c>
      <c r="D289" s="19" t="str">
        <f>IF(ISBLANK(A289),"",_xlfn.XLOOKUP(A289,'Requirement Overview'!C:C,'Requirement Overview'!E:E))</f>
        <v>Talme</v>
      </c>
      <c r="E289" s="24" t="str">
        <f>IF(ISBLANK(A289),"",_xlfn.XLOOKUP(A289,'Requirement Overview'!C:C,'Requirement Overview'!H:H))</f>
        <v>IT</v>
      </c>
      <c r="F289" s="24" t="str">
        <f>IF(ISBLANK(A289),"",_xlfn.XLOOKUP(A289,'Requirement Overview'!C:C,'Requirement Overview'!I:I))</f>
        <v>.Net Backend Developer</v>
      </c>
      <c r="G289" s="58" t="str">
        <f>IF(ISBLANK(A289),"",_xlfn.XLOOKUP(A289,'Requirement Overview'!C:C,'Requirement Overview'!G:G))</f>
        <v>Semnox Solutions</v>
      </c>
      <c r="H289" s="24" t="s">
        <v>1442</v>
      </c>
      <c r="I289" s="61" t="s">
        <v>1443</v>
      </c>
      <c r="J289" s="4" t="s">
        <v>1444</v>
      </c>
      <c r="K289" s="24">
        <v>8971152062</v>
      </c>
      <c r="L289" s="61" t="s">
        <v>305</v>
      </c>
      <c r="M289" s="3" t="s">
        <v>1445</v>
      </c>
      <c r="N289" s="91" t="s">
        <v>1441</v>
      </c>
      <c r="O289" s="3" t="s">
        <v>374</v>
      </c>
      <c r="P289" s="3" t="s">
        <v>1183</v>
      </c>
      <c r="Q289" s="3" t="s">
        <v>1183</v>
      </c>
      <c r="R289" s="54" t="s">
        <v>1435</v>
      </c>
      <c r="S289" s="24" t="s">
        <v>375</v>
      </c>
      <c r="T289" s="24" t="s">
        <v>103</v>
      </c>
      <c r="U289" s="29">
        <v>46045</v>
      </c>
      <c r="V289" s="29">
        <v>46045</v>
      </c>
      <c r="AL289" s="24"/>
      <c r="AM289" s="24"/>
      <c r="AS289" s="24"/>
    </row>
    <row r="290" spans="1:119" ht="14.45">
      <c r="A290" s="24" t="s">
        <v>107</v>
      </c>
      <c r="B290" s="24" t="s">
        <v>1417</v>
      </c>
      <c r="C290" s="19" t="str">
        <f>IF(ISBLANK(B290),"",_xlfn.XLOOKUP(B290,Recruiter!A:A,Recruiter!B:B))</f>
        <v>Harish</v>
      </c>
      <c r="D290" s="19" t="str">
        <f>IF(ISBLANK(A290),"",_xlfn.XLOOKUP(A290,'Requirement Overview'!C:C,'Requirement Overview'!E:E))</f>
        <v>Talme</v>
      </c>
      <c r="E290" s="24" t="str">
        <f>IF(ISBLANK(A290),"",_xlfn.XLOOKUP(A290,'Requirement Overview'!C:C,'Requirement Overview'!H:H))</f>
        <v>IT</v>
      </c>
      <c r="F290" s="24" t="str">
        <f>IF(ISBLANK(A290),"",_xlfn.XLOOKUP(A290,'Requirement Overview'!C:C,'Requirement Overview'!I:I))</f>
        <v>.Net Backend Developer</v>
      </c>
      <c r="G290" s="58" t="str">
        <f>IF(ISBLANK(A290),"",_xlfn.XLOOKUP(A290,'Requirement Overview'!C:C,'Requirement Overview'!G:G))</f>
        <v>Semnox Solutions</v>
      </c>
      <c r="H290" s="24" t="s">
        <v>1446</v>
      </c>
      <c r="I290" s="61" t="s">
        <v>262</v>
      </c>
      <c r="J290" s="4" t="s">
        <v>1447</v>
      </c>
      <c r="K290" s="24">
        <v>9535979478</v>
      </c>
      <c r="L290" s="61" t="s">
        <v>311</v>
      </c>
      <c r="M290" s="3" t="s">
        <v>947</v>
      </c>
      <c r="N290" s="91" t="s">
        <v>1448</v>
      </c>
      <c r="O290" s="3" t="s">
        <v>381</v>
      </c>
      <c r="P290" s="3" t="s">
        <v>1183</v>
      </c>
      <c r="Q290" s="3" t="s">
        <v>1183</v>
      </c>
      <c r="R290" s="54" t="s">
        <v>386</v>
      </c>
      <c r="S290" s="24" t="s">
        <v>375</v>
      </c>
      <c r="T290" s="24" t="s">
        <v>103</v>
      </c>
      <c r="U290" s="29">
        <v>46045</v>
      </c>
      <c r="V290" s="29">
        <v>46045</v>
      </c>
      <c r="AL290" s="24"/>
      <c r="AM290" s="24"/>
      <c r="AS290" s="24"/>
    </row>
    <row r="291" spans="1:119" ht="14.45">
      <c r="A291" s="24" t="s">
        <v>93</v>
      </c>
      <c r="B291" s="24" t="s">
        <v>1417</v>
      </c>
      <c r="C291" s="19" t="str">
        <f>IF(ISBLANK(B291),"",_xlfn.XLOOKUP(B291,Recruiter!A:A,Recruiter!B:B))</f>
        <v>Harish</v>
      </c>
      <c r="D291" s="19" t="str">
        <f>IF(ISBLANK(A291),"",_xlfn.XLOOKUP(A291,'Requirement Overview'!C:C,'Requirement Overview'!E:E))</f>
        <v>Talme</v>
      </c>
      <c r="E291" s="24" t="str">
        <f>IF(ISBLANK(A291),"",_xlfn.XLOOKUP(A291,'Requirement Overview'!C:C,'Requirement Overview'!H:H))</f>
        <v>IT</v>
      </c>
      <c r="F291" s="24" t="str">
        <f>IF(ISBLANK(A291),"",_xlfn.XLOOKUP(A291,'Requirement Overview'!C:C,'Requirement Overview'!I:I))</f>
        <v>Angular JS developer</v>
      </c>
      <c r="G291" s="58" t="str">
        <f>IF(ISBLANK(A291),"",_xlfn.XLOOKUP(A291,'Requirement Overview'!C:C,'Requirement Overview'!G:G))</f>
        <v>EMIDS</v>
      </c>
      <c r="H291" s="24" t="s">
        <v>1449</v>
      </c>
      <c r="I291" s="61" t="s">
        <v>1038</v>
      </c>
      <c r="J291" s="203" t="s">
        <v>1450</v>
      </c>
      <c r="K291" s="24">
        <v>9705631269</v>
      </c>
      <c r="L291" s="61" t="s">
        <v>378</v>
      </c>
      <c r="M291" s="3" t="s">
        <v>437</v>
      </c>
      <c r="N291" s="91" t="s">
        <v>1451</v>
      </c>
      <c r="O291" s="3"/>
      <c r="P291" s="3" t="s">
        <v>879</v>
      </c>
      <c r="Q291" s="2" t="s">
        <v>1042</v>
      </c>
      <c r="S291" s="24" t="s">
        <v>375</v>
      </c>
      <c r="T291" s="24" t="s">
        <v>103</v>
      </c>
      <c r="U291" s="29">
        <v>46045</v>
      </c>
      <c r="V291" s="29">
        <v>46045</v>
      </c>
      <c r="AL291" s="24"/>
      <c r="AM291" s="24"/>
      <c r="AS291" s="24"/>
    </row>
    <row r="292" spans="1:119" ht="14.45">
      <c r="A292" s="24" t="s">
        <v>93</v>
      </c>
      <c r="B292" s="24" t="s">
        <v>1417</v>
      </c>
      <c r="C292" s="19" t="str">
        <f>IF(ISBLANK(B292),"",_xlfn.XLOOKUP(B292,Recruiter!A:A,Recruiter!B:B))</f>
        <v>Harish</v>
      </c>
      <c r="D292" s="19" t="str">
        <f>IF(ISBLANK(A292),"",_xlfn.XLOOKUP(A292,'Requirement Overview'!C:C,'Requirement Overview'!E:E))</f>
        <v>Talme</v>
      </c>
      <c r="E292" s="24" t="str">
        <f>IF(ISBLANK(A292),"",_xlfn.XLOOKUP(A292,'Requirement Overview'!C:C,'Requirement Overview'!H:H))</f>
        <v>IT</v>
      </c>
      <c r="F292" s="24" t="str">
        <f>IF(ISBLANK(A292),"",_xlfn.XLOOKUP(A292,'Requirement Overview'!C:C,'Requirement Overview'!I:I))</f>
        <v>Angular JS developer</v>
      </c>
      <c r="G292" s="58" t="str">
        <f>IF(ISBLANK(A292),"",_xlfn.XLOOKUP(A292,'Requirement Overview'!C:C,'Requirement Overview'!G:G))</f>
        <v>EMIDS</v>
      </c>
      <c r="H292" s="24" t="s">
        <v>1452</v>
      </c>
      <c r="I292" s="61" t="s">
        <v>262</v>
      </c>
      <c r="J292" s="203" t="s">
        <v>1453</v>
      </c>
      <c r="K292" s="24">
        <v>8292471853</v>
      </c>
      <c r="L292" s="61" t="s">
        <v>305</v>
      </c>
      <c r="M292" s="3" t="s">
        <v>1454</v>
      </c>
      <c r="N292" s="91" t="s">
        <v>1455</v>
      </c>
      <c r="O292" s="3"/>
      <c r="P292" s="3" t="s">
        <v>1456</v>
      </c>
      <c r="Q292" s="2" t="s">
        <v>1042</v>
      </c>
      <c r="S292" s="24" t="s">
        <v>375</v>
      </c>
      <c r="T292" s="24" t="s">
        <v>103</v>
      </c>
      <c r="U292" s="29">
        <v>46045</v>
      </c>
      <c r="V292" s="29">
        <v>46045</v>
      </c>
      <c r="AL292" s="24"/>
      <c r="AM292" s="24"/>
      <c r="AS292" s="24"/>
    </row>
    <row r="293" spans="1:119" ht="14.45">
      <c r="A293" s="24" t="s">
        <v>93</v>
      </c>
      <c r="B293" s="24" t="s">
        <v>1417</v>
      </c>
      <c r="C293" s="19" t="str">
        <f>IF(ISBLANK(B293),"",_xlfn.XLOOKUP(B293,Recruiter!A:A,Recruiter!B:B))</f>
        <v>Harish</v>
      </c>
      <c r="D293" s="19" t="str">
        <f>IF(ISBLANK(A293),"",_xlfn.XLOOKUP(A293,'Requirement Overview'!C:C,'Requirement Overview'!E:E))</f>
        <v>Talme</v>
      </c>
      <c r="E293" s="24" t="str">
        <f>IF(ISBLANK(A293),"",_xlfn.XLOOKUP(A293,'Requirement Overview'!C:C,'Requirement Overview'!H:H))</f>
        <v>IT</v>
      </c>
      <c r="F293" s="24" t="str">
        <f>IF(ISBLANK(A293),"",_xlfn.XLOOKUP(A293,'Requirement Overview'!C:C,'Requirement Overview'!I:I))</f>
        <v>Angular JS developer</v>
      </c>
      <c r="G293" s="58" t="str">
        <f>IF(ISBLANK(A293),"",_xlfn.XLOOKUP(A293,'Requirement Overview'!C:C,'Requirement Overview'!G:G))</f>
        <v>EMIDS</v>
      </c>
      <c r="H293" s="24" t="s">
        <v>1457</v>
      </c>
      <c r="I293" s="61" t="s">
        <v>1458</v>
      </c>
      <c r="J293" s="203" t="s">
        <v>1459</v>
      </c>
      <c r="K293" s="24">
        <v>9080051086</v>
      </c>
      <c r="L293" s="61" t="s">
        <v>311</v>
      </c>
      <c r="M293" s="3" t="s">
        <v>1001</v>
      </c>
      <c r="N293" s="91" t="s">
        <v>1137</v>
      </c>
      <c r="O293" s="3"/>
      <c r="P293" s="3" t="s">
        <v>1128</v>
      </c>
      <c r="Q293" s="2" t="s">
        <v>1042</v>
      </c>
      <c r="S293" s="24" t="s">
        <v>375</v>
      </c>
      <c r="T293" s="24" t="s">
        <v>103</v>
      </c>
      <c r="U293" s="29">
        <v>46045</v>
      </c>
      <c r="V293" s="29">
        <v>46045</v>
      </c>
      <c r="AL293" s="24"/>
      <c r="AM293" s="24"/>
      <c r="AS293" s="24"/>
    </row>
    <row r="294" spans="1:119" ht="14.45">
      <c r="A294" s="24" t="s">
        <v>93</v>
      </c>
      <c r="B294" s="24" t="s">
        <v>1417</v>
      </c>
      <c r="C294" s="19" t="str">
        <f>IF(ISBLANK(B294),"",_xlfn.XLOOKUP(B294,Recruiter!A:A,Recruiter!B:B))</f>
        <v>Harish</v>
      </c>
      <c r="D294" s="19" t="str">
        <f>IF(ISBLANK(A294),"",_xlfn.XLOOKUP(A294,'Requirement Overview'!C:C,'Requirement Overview'!E:E))</f>
        <v>Talme</v>
      </c>
      <c r="E294" s="24" t="str">
        <f>IF(ISBLANK(A294),"",_xlfn.XLOOKUP(A294,'Requirement Overview'!C:C,'Requirement Overview'!H:H))</f>
        <v>IT</v>
      </c>
      <c r="F294" s="24" t="str">
        <f>IF(ISBLANK(A294),"",_xlfn.XLOOKUP(A294,'Requirement Overview'!C:C,'Requirement Overview'!I:I))</f>
        <v>Angular JS developer</v>
      </c>
      <c r="G294" s="58" t="str">
        <f>IF(ISBLANK(A294),"",_xlfn.XLOOKUP(A294,'Requirement Overview'!C:C,'Requirement Overview'!G:G))</f>
        <v>EMIDS</v>
      </c>
      <c r="H294" s="24" t="s">
        <v>1460</v>
      </c>
      <c r="I294" s="61" t="s">
        <v>674</v>
      </c>
      <c r="J294" s="203" t="s">
        <v>1461</v>
      </c>
      <c r="K294" s="24">
        <v>8778090614</v>
      </c>
      <c r="L294" s="61" t="s">
        <v>311</v>
      </c>
      <c r="M294" s="3" t="s">
        <v>1454</v>
      </c>
      <c r="N294" s="91" t="s">
        <v>1462</v>
      </c>
      <c r="O294" s="3"/>
      <c r="P294" s="3" t="s">
        <v>1237</v>
      </c>
      <c r="Q294" s="2" t="s">
        <v>1042</v>
      </c>
      <c r="S294" s="24" t="s">
        <v>375</v>
      </c>
      <c r="T294" s="24" t="s">
        <v>103</v>
      </c>
      <c r="U294" s="29">
        <v>46045</v>
      </c>
      <c r="V294" s="29">
        <v>46045</v>
      </c>
      <c r="AL294" s="24"/>
      <c r="AM294" s="24"/>
      <c r="AS294" s="24"/>
    </row>
    <row r="295" spans="1:119" ht="14.45">
      <c r="A295" s="24" t="s">
        <v>93</v>
      </c>
      <c r="B295" s="24" t="s">
        <v>1417</v>
      </c>
      <c r="C295" s="19" t="str">
        <f>IF(ISBLANK(B295),"",_xlfn.XLOOKUP(B295,Recruiter!A:A,Recruiter!B:B))</f>
        <v>Harish</v>
      </c>
      <c r="D295" s="19" t="str">
        <f>IF(ISBLANK(A295),"",_xlfn.XLOOKUP(A295,'Requirement Overview'!C:C,'Requirement Overview'!E:E))</f>
        <v>Talme</v>
      </c>
      <c r="E295" s="24" t="str">
        <f>IF(ISBLANK(A295),"",_xlfn.XLOOKUP(A295,'Requirement Overview'!C:C,'Requirement Overview'!H:H))</f>
        <v>IT</v>
      </c>
      <c r="F295" s="24" t="str">
        <f>IF(ISBLANK(A295),"",_xlfn.XLOOKUP(A295,'Requirement Overview'!C:C,'Requirement Overview'!I:I))</f>
        <v>Angular JS developer</v>
      </c>
      <c r="G295" s="58" t="str">
        <f>IF(ISBLANK(A295),"",_xlfn.XLOOKUP(A295,'Requirement Overview'!C:C,'Requirement Overview'!G:G))</f>
        <v>EMIDS</v>
      </c>
      <c r="H295" s="24" t="s">
        <v>1463</v>
      </c>
      <c r="I295" s="61" t="s">
        <v>262</v>
      </c>
      <c r="J295" s="203" t="s">
        <v>1464</v>
      </c>
      <c r="K295" s="24">
        <v>9066229144</v>
      </c>
      <c r="L295" s="61" t="s">
        <v>305</v>
      </c>
      <c r="M295" s="3" t="s">
        <v>1445</v>
      </c>
      <c r="N295" s="91" t="s">
        <v>1465</v>
      </c>
      <c r="O295" s="3"/>
      <c r="P295" s="3" t="s">
        <v>1042</v>
      </c>
      <c r="Q295" s="2" t="s">
        <v>1042</v>
      </c>
      <c r="S295" s="24" t="s">
        <v>375</v>
      </c>
      <c r="T295" s="24" t="s">
        <v>103</v>
      </c>
      <c r="U295" s="29">
        <v>46045</v>
      </c>
      <c r="V295" s="29">
        <v>46045</v>
      </c>
      <c r="AL295" s="24"/>
      <c r="AM295" s="24"/>
      <c r="AS295" s="24"/>
    </row>
    <row r="296" spans="1:119" ht="14.45">
      <c r="A296" s="24" t="s">
        <v>107</v>
      </c>
      <c r="B296" s="24" t="s">
        <v>236</v>
      </c>
      <c r="C296" s="19" t="str">
        <f>IF(ISBLANK(B296),"",_xlfn.XLOOKUP(B296,Recruiter!A:A,Recruiter!B:B))</f>
        <v>Pooja</v>
      </c>
      <c r="D296" s="19" t="str">
        <f>IF(ISBLANK(A296),"",_xlfn.XLOOKUP(A296,'Requirement Overview'!C:C,'Requirement Overview'!E:E))</f>
        <v>Talme</v>
      </c>
      <c r="E296" s="24" t="str">
        <f>IF(ISBLANK(A296),"",_xlfn.XLOOKUP(A296,'Requirement Overview'!C:C,'Requirement Overview'!H:H))</f>
        <v>IT</v>
      </c>
      <c r="F296" s="24" t="str">
        <f>IF(ISBLANK(A296),"",_xlfn.XLOOKUP(A296,'Requirement Overview'!C:C,'Requirement Overview'!I:I))</f>
        <v>.Net Backend Developer</v>
      </c>
      <c r="G296" s="58" t="str">
        <f>IF(ISBLANK(A296),"",_xlfn.XLOOKUP(A296,'Requirement Overview'!C:C,'Requirement Overview'!G:G))</f>
        <v>Semnox Solutions</v>
      </c>
      <c r="H296" s="188" t="s">
        <v>1466</v>
      </c>
      <c r="I296" s="61" t="s">
        <v>892</v>
      </c>
      <c r="J296" s="210" t="s">
        <v>1467</v>
      </c>
      <c r="K296" s="235">
        <v>7403317365</v>
      </c>
      <c r="L296" s="61" t="s">
        <v>1468</v>
      </c>
      <c r="M296" s="3" t="s">
        <v>923</v>
      </c>
      <c r="N296" s="91" t="s">
        <v>1469</v>
      </c>
      <c r="O296" s="3" t="s">
        <v>1470</v>
      </c>
      <c r="P296" s="3" t="s">
        <v>1347</v>
      </c>
      <c r="Q296" s="3" t="s">
        <v>1471</v>
      </c>
      <c r="R296" s="24" t="s">
        <v>1472</v>
      </c>
      <c r="S296" s="66" t="s">
        <v>601</v>
      </c>
      <c r="T296" t="s">
        <v>103</v>
      </c>
      <c r="U296" s="29">
        <v>46045</v>
      </c>
      <c r="V296" s="29">
        <v>46045</v>
      </c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S296" s="24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</row>
    <row r="297" spans="1:119" ht="14.45">
      <c r="A297" s="24" t="s">
        <v>115</v>
      </c>
      <c r="B297" s="24" t="s">
        <v>1417</v>
      </c>
      <c r="C297" s="19" t="str">
        <f>IF(ISBLANK(B297),"",_xlfn.XLOOKUP(B297,Recruiter!A:A,Recruiter!B:B))</f>
        <v>Harish</v>
      </c>
      <c r="D297" s="19" t="str">
        <f>IF(ISBLANK(A297),"",_xlfn.XLOOKUP(A297,'Requirement Overview'!C:C,'Requirement Overview'!E:E))</f>
        <v>Talme</v>
      </c>
      <c r="E297" s="24" t="str">
        <f>IF(ISBLANK(A297),"",_xlfn.XLOOKUP(A297,'Requirement Overview'!C:C,'Requirement Overview'!H:H))</f>
        <v>IT</v>
      </c>
      <c r="F297" s="24" t="str">
        <f>IF(ISBLANK(A297),"",_xlfn.XLOOKUP(A297,'Requirement Overview'!C:C,'Requirement Overview'!I:I))</f>
        <v>Developer - Angular &amp; Node Js</v>
      </c>
      <c r="G297" s="58" t="str">
        <f>IF(ISBLANK(A297),"",_xlfn.XLOOKUP(A297,'Requirement Overview'!C:C,'Requirement Overview'!G:G))</f>
        <v>Viditha</v>
      </c>
      <c r="H297" s="189" t="s">
        <v>1473</v>
      </c>
      <c r="I297" s="174" t="s">
        <v>262</v>
      </c>
      <c r="J297" s="211" t="s">
        <v>1474</v>
      </c>
      <c r="K297" s="189">
        <v>8431849625</v>
      </c>
      <c r="L297" s="174" t="s">
        <v>1475</v>
      </c>
      <c r="M297" s="74" t="s">
        <v>1284</v>
      </c>
      <c r="N297" s="91" t="s">
        <v>1476</v>
      </c>
      <c r="O297" s="74" t="s">
        <v>434</v>
      </c>
      <c r="P297" s="74" t="s">
        <v>1183</v>
      </c>
      <c r="Q297" s="3" t="s">
        <v>1471</v>
      </c>
      <c r="R297" s="75" t="s">
        <v>1477</v>
      </c>
      <c r="S297" s="24" t="s">
        <v>601</v>
      </c>
      <c r="T297" s="24" t="s">
        <v>103</v>
      </c>
      <c r="U297" s="29">
        <v>46049</v>
      </c>
      <c r="V297" s="29">
        <v>46049</v>
      </c>
      <c r="AL297" s="24"/>
      <c r="AM297" s="24"/>
      <c r="AS297" s="24"/>
    </row>
    <row r="298" spans="1:119" ht="14.45">
      <c r="A298" s="24" t="s">
        <v>115</v>
      </c>
      <c r="B298" s="24" t="s">
        <v>1417</v>
      </c>
      <c r="C298" s="19" t="str">
        <f>IF(ISBLANK(B298),"",_xlfn.XLOOKUP(B298,Recruiter!A:A,Recruiter!B:B))</f>
        <v>Harish</v>
      </c>
      <c r="D298" s="19" t="str">
        <f>IF(ISBLANK(A298),"",_xlfn.XLOOKUP(A298,'Requirement Overview'!C:C,'Requirement Overview'!E:E))</f>
        <v>Talme</v>
      </c>
      <c r="E298" s="24" t="str">
        <f>IF(ISBLANK(A298),"",_xlfn.XLOOKUP(A298,'Requirement Overview'!C:C,'Requirement Overview'!H:H))</f>
        <v>IT</v>
      </c>
      <c r="F298" s="24" t="str">
        <f>IF(ISBLANK(A298),"",_xlfn.XLOOKUP(A298,'Requirement Overview'!C:C,'Requirement Overview'!I:I))</f>
        <v>Developer - Angular &amp; Node Js</v>
      </c>
      <c r="G298" s="58" t="str">
        <f>IF(ISBLANK(A298),"",_xlfn.XLOOKUP(A298,'Requirement Overview'!C:C,'Requirement Overview'!G:G))</f>
        <v>Viditha</v>
      </c>
      <c r="H298" s="189" t="s">
        <v>1478</v>
      </c>
      <c r="I298" s="174" t="s">
        <v>262</v>
      </c>
      <c r="J298" s="211" t="s">
        <v>1479</v>
      </c>
      <c r="K298" s="189">
        <v>9880820430</v>
      </c>
      <c r="L298" s="174" t="s">
        <v>1480</v>
      </c>
      <c r="M298" s="74" t="s">
        <v>1481</v>
      </c>
      <c r="N298" s="91" t="s">
        <v>1482</v>
      </c>
      <c r="O298" s="74" t="s">
        <v>730</v>
      </c>
      <c r="P298" s="74" t="s">
        <v>1183</v>
      </c>
      <c r="Q298" s="3" t="s">
        <v>1471</v>
      </c>
      <c r="R298" s="74" t="s">
        <v>1431</v>
      </c>
      <c r="S298" s="24" t="s">
        <v>601</v>
      </c>
      <c r="T298" s="24" t="s">
        <v>103</v>
      </c>
      <c r="U298" s="29">
        <v>46049</v>
      </c>
      <c r="V298" s="29">
        <v>46049</v>
      </c>
      <c r="AL298" s="24"/>
      <c r="AM298" s="24"/>
      <c r="AS298" s="24"/>
    </row>
    <row r="299" spans="1:119" ht="14.45">
      <c r="A299" s="24" t="s">
        <v>115</v>
      </c>
      <c r="B299" s="24" t="s">
        <v>1417</v>
      </c>
      <c r="C299" s="19" t="str">
        <f>IF(ISBLANK(B299),"",_xlfn.XLOOKUP(B299,Recruiter!A:A,Recruiter!B:B))</f>
        <v>Harish</v>
      </c>
      <c r="D299" s="19" t="str">
        <f>IF(ISBLANK(A299),"",_xlfn.XLOOKUP(A299,'Requirement Overview'!C:C,'Requirement Overview'!E:E))</f>
        <v>Talme</v>
      </c>
      <c r="E299" s="24" t="str">
        <f>IF(ISBLANK(A299),"",_xlfn.XLOOKUP(A299,'Requirement Overview'!C:C,'Requirement Overview'!H:H))</f>
        <v>IT</v>
      </c>
      <c r="F299" s="24" t="str">
        <f>IF(ISBLANK(A299),"",_xlfn.XLOOKUP(A299,'Requirement Overview'!C:C,'Requirement Overview'!I:I))</f>
        <v>Developer - Angular &amp; Node Js</v>
      </c>
      <c r="G299" s="58" t="str">
        <f>IF(ISBLANK(A299),"",_xlfn.XLOOKUP(A299,'Requirement Overview'!C:C,'Requirement Overview'!G:G))</f>
        <v>Viditha</v>
      </c>
      <c r="H299" s="24" t="s">
        <v>1483</v>
      </c>
      <c r="I299" s="174" t="s">
        <v>262</v>
      </c>
      <c r="J299" s="211" t="s">
        <v>1484</v>
      </c>
      <c r="K299" s="24">
        <v>9133722715</v>
      </c>
      <c r="L299" s="174" t="s">
        <v>311</v>
      </c>
      <c r="M299" s="74" t="s">
        <v>1284</v>
      </c>
      <c r="N299" s="91" t="s">
        <v>1485</v>
      </c>
      <c r="O299" s="3" t="s">
        <v>1486</v>
      </c>
      <c r="P299" s="3" t="s">
        <v>1042</v>
      </c>
      <c r="Q299" s="3" t="s">
        <v>1471</v>
      </c>
      <c r="R299" s="54" t="s">
        <v>1487</v>
      </c>
      <c r="S299" s="24" t="s">
        <v>601</v>
      </c>
      <c r="T299" s="24" t="s">
        <v>103</v>
      </c>
      <c r="U299" s="29">
        <v>46049</v>
      </c>
      <c r="V299" s="29">
        <v>46049</v>
      </c>
      <c r="AL299" s="24"/>
      <c r="AM299" s="24"/>
      <c r="AS299" s="24"/>
    </row>
    <row r="300" spans="1:119" ht="14.45">
      <c r="A300" s="24" t="s">
        <v>115</v>
      </c>
      <c r="B300" s="24" t="s">
        <v>1417</v>
      </c>
      <c r="C300" s="19" t="str">
        <f>IF(ISBLANK(B300),"",_xlfn.XLOOKUP(B300,Recruiter!A:A,Recruiter!B:B))</f>
        <v>Harish</v>
      </c>
      <c r="D300" s="19" t="str">
        <f>IF(ISBLANK(A300),"",_xlfn.XLOOKUP(A300,'Requirement Overview'!C:C,'Requirement Overview'!E:E))</f>
        <v>Talme</v>
      </c>
      <c r="E300" s="24" t="str">
        <f>IF(ISBLANK(A300),"",_xlfn.XLOOKUP(A300,'Requirement Overview'!C:C,'Requirement Overview'!H:H))</f>
        <v>IT</v>
      </c>
      <c r="F300" s="24" t="str">
        <f>IF(ISBLANK(A300),"",_xlfn.XLOOKUP(A300,'Requirement Overview'!C:C,'Requirement Overview'!I:I))</f>
        <v>Developer - Angular &amp; Node Js</v>
      </c>
      <c r="G300" s="58" t="str">
        <f>IF(ISBLANK(A300),"",_xlfn.XLOOKUP(A300,'Requirement Overview'!C:C,'Requirement Overview'!G:G))</f>
        <v>Viditha</v>
      </c>
      <c r="H300" s="24" t="s">
        <v>1488</v>
      </c>
      <c r="I300" s="61" t="s">
        <v>674</v>
      </c>
      <c r="J300" s="211" t="s">
        <v>1489</v>
      </c>
      <c r="K300" s="24">
        <v>8748033043</v>
      </c>
      <c r="L300" s="174" t="s">
        <v>311</v>
      </c>
      <c r="M300" s="74" t="s">
        <v>1490</v>
      </c>
      <c r="N300" s="91" t="s">
        <v>1491</v>
      </c>
      <c r="O300" s="3" t="s">
        <v>730</v>
      </c>
      <c r="P300" s="3" t="s">
        <v>1042</v>
      </c>
      <c r="Q300" s="3" t="s">
        <v>1471</v>
      </c>
      <c r="R300" s="54" t="s">
        <v>1477</v>
      </c>
      <c r="S300" s="24" t="s">
        <v>601</v>
      </c>
      <c r="T300" s="24" t="s">
        <v>103</v>
      </c>
      <c r="U300" s="29">
        <v>46049</v>
      </c>
      <c r="V300" s="29">
        <v>46049</v>
      </c>
      <c r="AL300" s="24"/>
      <c r="AM300" s="24"/>
      <c r="AS300" s="24"/>
    </row>
    <row r="301" spans="1:119" ht="14.45">
      <c r="A301" s="24" t="s">
        <v>115</v>
      </c>
      <c r="B301" s="24" t="s">
        <v>1417</v>
      </c>
      <c r="C301" s="19" t="str">
        <f>IF(ISBLANK(B301),"",_xlfn.XLOOKUP(B301,Recruiter!A:A,Recruiter!B:B))</f>
        <v>Harish</v>
      </c>
      <c r="D301" s="19" t="str">
        <f>IF(ISBLANK(A301),"",_xlfn.XLOOKUP(A301,'Requirement Overview'!C:C,'Requirement Overview'!E:E))</f>
        <v>Talme</v>
      </c>
      <c r="E301" s="24" t="str">
        <f>IF(ISBLANK(A301),"",_xlfn.XLOOKUP(A301,'Requirement Overview'!C:C,'Requirement Overview'!H:H))</f>
        <v>IT</v>
      </c>
      <c r="F301" s="24" t="str">
        <f>IF(ISBLANK(A301),"",_xlfn.XLOOKUP(A301,'Requirement Overview'!C:C,'Requirement Overview'!I:I))</f>
        <v>Developer - Angular &amp; Node Js</v>
      </c>
      <c r="G301" s="58" t="str">
        <f>IF(ISBLANK(A301),"",_xlfn.XLOOKUP(A301,'Requirement Overview'!C:C,'Requirement Overview'!G:G))</f>
        <v>Viditha</v>
      </c>
      <c r="H301" s="24" t="s">
        <v>1492</v>
      </c>
      <c r="I301" s="61" t="s">
        <v>262</v>
      </c>
      <c r="J301" s="211" t="s">
        <v>1493</v>
      </c>
      <c r="K301" s="24">
        <v>9482125826</v>
      </c>
      <c r="L301" s="174" t="s">
        <v>311</v>
      </c>
      <c r="M301" s="74" t="s">
        <v>1454</v>
      </c>
      <c r="N301" s="91" t="s">
        <v>1494</v>
      </c>
      <c r="O301" s="3" t="s">
        <v>367</v>
      </c>
      <c r="P301" s="3" t="s">
        <v>1042</v>
      </c>
      <c r="Q301" s="3" t="s">
        <v>1471</v>
      </c>
      <c r="R301" s="54" t="s">
        <v>1495</v>
      </c>
      <c r="S301" s="24" t="s">
        <v>601</v>
      </c>
      <c r="T301" s="24" t="s">
        <v>271</v>
      </c>
      <c r="U301" s="29">
        <v>46049</v>
      </c>
      <c r="V301" s="29">
        <v>46049</v>
      </c>
      <c r="AL301" s="24"/>
      <c r="AM301" s="24"/>
      <c r="AS301" s="24"/>
    </row>
    <row r="302" spans="1:119" ht="14.45">
      <c r="A302" s="24" t="s">
        <v>115</v>
      </c>
      <c r="B302" s="24" t="s">
        <v>1417</v>
      </c>
      <c r="C302" s="19" t="str">
        <f>IF(ISBLANK(B302),"",_xlfn.XLOOKUP(B302,Recruiter!A:A,Recruiter!B:B))</f>
        <v>Harish</v>
      </c>
      <c r="D302" s="19" t="str">
        <f>IF(ISBLANK(A302),"",_xlfn.XLOOKUP(A302,'Requirement Overview'!C:C,'Requirement Overview'!E:E))</f>
        <v>Talme</v>
      </c>
      <c r="E302" s="24" t="str">
        <f>IF(ISBLANK(A302),"",_xlfn.XLOOKUP(A302,'Requirement Overview'!C:C,'Requirement Overview'!H:H))</f>
        <v>IT</v>
      </c>
      <c r="F302" s="24" t="str">
        <f>IF(ISBLANK(A302),"",_xlfn.XLOOKUP(A302,'Requirement Overview'!C:C,'Requirement Overview'!I:I))</f>
        <v>Developer - Angular &amp; Node Js</v>
      </c>
      <c r="G302" s="58" t="str">
        <f>IF(ISBLANK(A302),"",_xlfn.XLOOKUP(A302,'Requirement Overview'!C:C,'Requirement Overview'!G:G))</f>
        <v>Viditha</v>
      </c>
      <c r="H302" s="24" t="s">
        <v>1496</v>
      </c>
      <c r="I302" s="61" t="s">
        <v>262</v>
      </c>
      <c r="J302" s="211" t="s">
        <v>1497</v>
      </c>
      <c r="K302" s="24">
        <v>7559935681</v>
      </c>
      <c r="L302" s="174" t="s">
        <v>421</v>
      </c>
      <c r="M302" s="74" t="s">
        <v>306</v>
      </c>
      <c r="N302" s="91" t="s">
        <v>1498</v>
      </c>
      <c r="O302" s="3" t="s">
        <v>730</v>
      </c>
      <c r="P302" s="3" t="s">
        <v>1499</v>
      </c>
      <c r="Q302" s="3" t="s">
        <v>1471</v>
      </c>
      <c r="R302" s="54" t="s">
        <v>1477</v>
      </c>
      <c r="S302" s="24" t="s">
        <v>601</v>
      </c>
      <c r="T302" s="24" t="s">
        <v>271</v>
      </c>
      <c r="U302" s="29">
        <v>46049</v>
      </c>
      <c r="V302" s="29">
        <v>46049</v>
      </c>
      <c r="AL302" s="24"/>
      <c r="AM302" s="24"/>
      <c r="AS302" s="24"/>
    </row>
    <row r="303" spans="1:119" ht="14.45">
      <c r="A303" s="24" t="s">
        <v>115</v>
      </c>
      <c r="B303" s="24" t="s">
        <v>1417</v>
      </c>
      <c r="C303" s="19" t="str">
        <f>IF(ISBLANK(B303),"",_xlfn.XLOOKUP(B303,Recruiter!A:A,Recruiter!B:B))</f>
        <v>Harish</v>
      </c>
      <c r="D303" s="19" t="str">
        <f>IF(ISBLANK(A303),"",_xlfn.XLOOKUP(A303,'Requirement Overview'!C:C,'Requirement Overview'!E:E))</f>
        <v>Talme</v>
      </c>
      <c r="E303" s="24" t="str">
        <f>IF(ISBLANK(A303),"",_xlfn.XLOOKUP(A303,'Requirement Overview'!C:C,'Requirement Overview'!H:H))</f>
        <v>IT</v>
      </c>
      <c r="F303" s="24" t="str">
        <f>IF(ISBLANK(A303),"",_xlfn.XLOOKUP(A303,'Requirement Overview'!C:C,'Requirement Overview'!I:I))</f>
        <v>Developer - Angular &amp; Node Js</v>
      </c>
      <c r="G303" s="58" t="str">
        <f>IF(ISBLANK(A303),"",_xlfn.XLOOKUP(A303,'Requirement Overview'!C:C,'Requirement Overview'!G:G))</f>
        <v>Viditha</v>
      </c>
      <c r="H303" s="24" t="s">
        <v>1500</v>
      </c>
      <c r="I303" s="61" t="s">
        <v>674</v>
      </c>
      <c r="J303" s="211" t="s">
        <v>1501</v>
      </c>
      <c r="K303" s="24">
        <v>9826108734</v>
      </c>
      <c r="L303" s="174" t="s">
        <v>311</v>
      </c>
      <c r="M303" s="74" t="s">
        <v>1454</v>
      </c>
      <c r="N303" s="91" t="s">
        <v>1502</v>
      </c>
      <c r="O303" s="3" t="s">
        <v>726</v>
      </c>
      <c r="P303" s="3" t="s">
        <v>1503</v>
      </c>
      <c r="Q303" s="3" t="s">
        <v>1471</v>
      </c>
      <c r="R303" s="54" t="s">
        <v>367</v>
      </c>
      <c r="S303" s="24" t="s">
        <v>601</v>
      </c>
      <c r="T303" s="24" t="s">
        <v>271</v>
      </c>
      <c r="U303" s="29">
        <v>46049</v>
      </c>
      <c r="V303" s="29">
        <v>46049</v>
      </c>
      <c r="X303" s="29"/>
      <c r="AL303" s="24"/>
      <c r="AM303" s="24"/>
      <c r="AS303" s="24"/>
    </row>
    <row r="304" spans="1:119" ht="14.45">
      <c r="A304" s="24" t="s">
        <v>115</v>
      </c>
      <c r="B304" s="24" t="s">
        <v>1417</v>
      </c>
      <c r="C304" s="19" t="str">
        <f>IF(ISBLANK(B304),"",_xlfn.XLOOKUP(B304,Recruiter!A:A,Recruiter!B:B))</f>
        <v>Harish</v>
      </c>
      <c r="D304" s="19" t="str">
        <f>IF(ISBLANK(A304),"",_xlfn.XLOOKUP(A304,'Requirement Overview'!C:C,'Requirement Overview'!E:E))</f>
        <v>Talme</v>
      </c>
      <c r="E304" s="24" t="str">
        <f>IF(ISBLANK(A304),"",_xlfn.XLOOKUP(A304,'Requirement Overview'!C:C,'Requirement Overview'!H:H))</f>
        <v>IT</v>
      </c>
      <c r="F304" s="24" t="str">
        <f>IF(ISBLANK(A304),"",_xlfn.XLOOKUP(A304,'Requirement Overview'!C:C,'Requirement Overview'!I:I))</f>
        <v>Developer - Angular &amp; Node Js</v>
      </c>
      <c r="G304" s="58" t="str">
        <f>IF(ISBLANK(A304),"",_xlfn.XLOOKUP(A304,'Requirement Overview'!C:C,'Requirement Overview'!G:G))</f>
        <v>Viditha</v>
      </c>
      <c r="H304" s="24" t="s">
        <v>1504</v>
      </c>
      <c r="I304" s="61" t="s">
        <v>262</v>
      </c>
      <c r="J304" s="211" t="s">
        <v>1505</v>
      </c>
      <c r="K304" s="24">
        <v>9686241618</v>
      </c>
      <c r="L304" s="61" t="s">
        <v>378</v>
      </c>
      <c r="M304" s="3" t="s">
        <v>1284</v>
      </c>
      <c r="N304" s="91" t="s">
        <v>1506</v>
      </c>
      <c r="O304" s="3" t="s">
        <v>1507</v>
      </c>
      <c r="P304" s="74" t="s">
        <v>1183</v>
      </c>
      <c r="Q304" s="3" t="s">
        <v>1471</v>
      </c>
      <c r="R304" s="54" t="s">
        <v>1431</v>
      </c>
      <c r="S304" s="24" t="s">
        <v>601</v>
      </c>
      <c r="T304" s="24" t="s">
        <v>271</v>
      </c>
      <c r="U304" s="29">
        <v>46049</v>
      </c>
      <c r="V304" s="29">
        <v>46049</v>
      </c>
      <c r="AL304" s="24"/>
      <c r="AM304" s="24"/>
      <c r="AS304" s="24"/>
    </row>
    <row r="305" spans="1:45" ht="14.45">
      <c r="A305" s="24" t="s">
        <v>115</v>
      </c>
      <c r="B305" s="24" t="s">
        <v>1417</v>
      </c>
      <c r="C305" s="19" t="str">
        <f>IF(ISBLANK(B305),"",_xlfn.XLOOKUP(B305,Recruiter!A:A,Recruiter!B:B))</f>
        <v>Harish</v>
      </c>
      <c r="D305" s="19" t="str">
        <f>IF(ISBLANK(A305),"",_xlfn.XLOOKUP(A305,'Requirement Overview'!C:C,'Requirement Overview'!E:E))</f>
        <v>Talme</v>
      </c>
      <c r="E305" s="24" t="str">
        <f>IF(ISBLANK(A305),"",_xlfn.XLOOKUP(A305,'Requirement Overview'!C:C,'Requirement Overview'!H:H))</f>
        <v>IT</v>
      </c>
      <c r="F305" s="24" t="str">
        <f>IF(ISBLANK(A305),"",_xlfn.XLOOKUP(A305,'Requirement Overview'!C:C,'Requirement Overview'!I:I))</f>
        <v>Developer - Angular &amp; Node Js</v>
      </c>
      <c r="G305" s="58" t="str">
        <f>IF(ISBLANK(A305),"",_xlfn.XLOOKUP(A305,'Requirement Overview'!C:C,'Requirement Overview'!G:G))</f>
        <v>Viditha</v>
      </c>
      <c r="H305" s="24" t="s">
        <v>1508</v>
      </c>
      <c r="I305" s="61" t="s">
        <v>262</v>
      </c>
      <c r="J305" s="211" t="s">
        <v>1509</v>
      </c>
      <c r="K305" s="24">
        <v>9972083379</v>
      </c>
      <c r="L305" s="61" t="s">
        <v>311</v>
      </c>
      <c r="M305" s="3" t="s">
        <v>1284</v>
      </c>
      <c r="N305" s="91" t="s">
        <v>1510</v>
      </c>
      <c r="O305" s="3" t="s">
        <v>295</v>
      </c>
      <c r="P305" s="74" t="s">
        <v>1183</v>
      </c>
      <c r="Q305" s="3" t="s">
        <v>1471</v>
      </c>
      <c r="R305" s="54" t="s">
        <v>367</v>
      </c>
      <c r="S305" s="24" t="s">
        <v>1511</v>
      </c>
      <c r="T305" s="24" t="s">
        <v>271</v>
      </c>
      <c r="U305" s="29">
        <v>46049</v>
      </c>
      <c r="V305" s="29">
        <v>46049</v>
      </c>
      <c r="X305" s="29">
        <v>46050</v>
      </c>
      <c r="Y305" s="24" t="s">
        <v>784</v>
      </c>
      <c r="Z305" s="24" t="s">
        <v>1512</v>
      </c>
      <c r="AB305" s="26">
        <v>46205</v>
      </c>
      <c r="AL305" s="24"/>
      <c r="AM305" s="24"/>
      <c r="AS305" s="24"/>
    </row>
    <row r="306" spans="1:45" ht="14.45">
      <c r="A306" s="24" t="s">
        <v>93</v>
      </c>
      <c r="B306" s="24" t="s">
        <v>340</v>
      </c>
      <c r="C306" s="19" t="str">
        <f>IF(ISBLANK(B306),"",_xlfn.XLOOKUP(B306,Recruiter!A:A,Recruiter!B:B))</f>
        <v>Harshitha</v>
      </c>
      <c r="D306" s="19" t="str">
        <f>IF(ISBLANK(A306),"",_xlfn.XLOOKUP(A306,'Requirement Overview'!C:C,'Requirement Overview'!E:E))</f>
        <v>Talme</v>
      </c>
      <c r="E306" s="24" t="str">
        <f>IF(ISBLANK(A306),"",_xlfn.XLOOKUP(A306,'Requirement Overview'!C:C,'Requirement Overview'!H:H))</f>
        <v>IT</v>
      </c>
      <c r="F306" s="24" t="str">
        <f>IF(ISBLANK(A306),"",_xlfn.XLOOKUP(A306,'Requirement Overview'!C:C,'Requirement Overview'!I:I))</f>
        <v>Angular JS developer</v>
      </c>
      <c r="G306" s="58" t="str">
        <f>IF(ISBLANK(A306),"",_xlfn.XLOOKUP(A306,'Requirement Overview'!C:C,'Requirement Overview'!G:G))</f>
        <v>EMIDS</v>
      </c>
      <c r="H306" s="187" t="s">
        <v>1513</v>
      </c>
      <c r="I306" s="170" t="s">
        <v>1038</v>
      </c>
      <c r="J306" s="212" t="s">
        <v>1514</v>
      </c>
      <c r="K306" s="233">
        <v>8328087903</v>
      </c>
      <c r="L306" s="46" t="s">
        <v>350</v>
      </c>
      <c r="M306" s="44" t="s">
        <v>399</v>
      </c>
      <c r="N306" s="91" t="s">
        <v>1515</v>
      </c>
      <c r="O306" s="24" t="s">
        <v>1516</v>
      </c>
      <c r="P306" s="24" t="s">
        <v>879</v>
      </c>
      <c r="Q306" s="24" t="s">
        <v>879</v>
      </c>
      <c r="R306" s="24" t="s">
        <v>715</v>
      </c>
      <c r="S306" s="24" t="s">
        <v>360</v>
      </c>
      <c r="T306" s="24" t="s">
        <v>103</v>
      </c>
      <c r="U306" s="29">
        <v>46049</v>
      </c>
      <c r="V306" s="29">
        <v>46049</v>
      </c>
      <c r="X306" s="29">
        <v>46050</v>
      </c>
      <c r="Y306" s="24" t="s">
        <v>362</v>
      </c>
      <c r="AL306" s="24"/>
      <c r="AM306" s="24"/>
      <c r="AS306" s="24"/>
    </row>
    <row r="307" spans="1:45" ht="14.45">
      <c r="A307" s="24" t="s">
        <v>35</v>
      </c>
      <c r="B307" s="24" t="s">
        <v>340</v>
      </c>
      <c r="C307" s="19" t="str">
        <f>IF(ISBLANK(B307),"",_xlfn.XLOOKUP(B307,Recruiter!A:A,Recruiter!B:B))</f>
        <v>Harshitha</v>
      </c>
      <c r="D307" s="19" t="str">
        <f>IF(ISBLANK(A307),"",_xlfn.XLOOKUP(A307,'Requirement Overview'!C:C,'Requirement Overview'!E:E))</f>
        <v>Talme</v>
      </c>
      <c r="E307" s="24" t="str">
        <f>IF(ISBLANK(A307),"",_xlfn.XLOOKUP(A307,'Requirement Overview'!C:C,'Requirement Overview'!H:H))</f>
        <v>IT</v>
      </c>
      <c r="F307" s="24" t="str">
        <f>IF(ISBLANK(A307),"",_xlfn.XLOOKUP(A307,'Requirement Overview'!C:C,'Requirement Overview'!I:I))</f>
        <v>Windows system adminstrator</v>
      </c>
      <c r="G307" s="58" t="str">
        <f>IF(ISBLANK(A307),"",_xlfn.XLOOKUP(A307,'Requirement Overview'!C:C,'Requirement Overview'!G:G))</f>
        <v>EMIDS</v>
      </c>
      <c r="H307" s="187" t="s">
        <v>1517</v>
      </c>
      <c r="I307" s="175" t="s">
        <v>519</v>
      </c>
      <c r="J307" s="205" t="s">
        <v>1518</v>
      </c>
      <c r="K307" s="234">
        <v>9381185630</v>
      </c>
      <c r="L307" s="175" t="s">
        <v>794</v>
      </c>
      <c r="M307" s="94" t="s">
        <v>395</v>
      </c>
      <c r="N307" s="91" t="s">
        <v>1519</v>
      </c>
      <c r="O307" s="24" t="s">
        <v>1520</v>
      </c>
      <c r="P307" s="94" t="s">
        <v>879</v>
      </c>
      <c r="Q307" s="94" t="s">
        <v>879</v>
      </c>
      <c r="R307" s="24" t="s">
        <v>1144</v>
      </c>
      <c r="S307" s="24" t="s">
        <v>360</v>
      </c>
      <c r="T307" s="24" t="s">
        <v>103</v>
      </c>
      <c r="U307" s="29">
        <v>46049</v>
      </c>
      <c r="V307" s="29">
        <v>46049</v>
      </c>
      <c r="X307" s="29">
        <v>46050</v>
      </c>
      <c r="Y307" s="24" t="s">
        <v>362</v>
      </c>
      <c r="AL307" s="24"/>
      <c r="AM307" s="24"/>
      <c r="AS307" s="24"/>
    </row>
    <row r="308" spans="1:45" ht="14.45">
      <c r="A308" s="24" t="s">
        <v>35</v>
      </c>
      <c r="B308" s="24" t="s">
        <v>340</v>
      </c>
      <c r="C308" s="19" t="str">
        <f>IF(ISBLANK(B308),"",_xlfn.XLOOKUP(B308,Recruiter!A:A,Recruiter!B:B))</f>
        <v>Harshitha</v>
      </c>
      <c r="D308" s="19" t="str">
        <f>IF(ISBLANK(A308),"",_xlfn.XLOOKUP(A308,'Requirement Overview'!C:C,'Requirement Overview'!E:E))</f>
        <v>Talme</v>
      </c>
      <c r="E308" s="24" t="str">
        <f>IF(ISBLANK(A308),"",_xlfn.XLOOKUP(A308,'Requirement Overview'!C:C,'Requirement Overview'!H:H))</f>
        <v>IT</v>
      </c>
      <c r="F308" s="24" t="str">
        <f>IF(ISBLANK(A308),"",_xlfn.XLOOKUP(A308,'Requirement Overview'!C:C,'Requirement Overview'!I:I))</f>
        <v>Windows system adminstrator</v>
      </c>
      <c r="G308" s="58" t="str">
        <f>IF(ISBLANK(A308),"",_xlfn.XLOOKUP(A308,'Requirement Overview'!C:C,'Requirement Overview'!G:G))</f>
        <v>EMIDS</v>
      </c>
      <c r="H308" s="187" t="s">
        <v>1521</v>
      </c>
      <c r="I308" s="175" t="s">
        <v>1522</v>
      </c>
      <c r="J308" s="205" t="s">
        <v>1523</v>
      </c>
      <c r="K308" s="234">
        <v>9972850562</v>
      </c>
      <c r="L308" s="175" t="s">
        <v>733</v>
      </c>
      <c r="M308" s="94" t="s">
        <v>788</v>
      </c>
      <c r="N308" s="91" t="s">
        <v>1524</v>
      </c>
      <c r="O308" s="24" t="s">
        <v>1525</v>
      </c>
      <c r="P308" s="94" t="s">
        <v>268</v>
      </c>
      <c r="Q308" s="94" t="s">
        <v>268</v>
      </c>
      <c r="R308" s="24" t="s">
        <v>1302</v>
      </c>
      <c r="S308" s="24" t="s">
        <v>1380</v>
      </c>
      <c r="T308" s="24" t="s">
        <v>103</v>
      </c>
      <c r="U308" s="29">
        <v>46049</v>
      </c>
      <c r="V308" s="29">
        <v>46049</v>
      </c>
      <c r="X308" s="29">
        <v>46052</v>
      </c>
      <c r="AL308" s="24"/>
      <c r="AM308" s="24"/>
      <c r="AS308" s="24"/>
    </row>
    <row r="309" spans="1:45" ht="14.45">
      <c r="A309" s="24" t="s">
        <v>35</v>
      </c>
      <c r="B309" s="24" t="s">
        <v>340</v>
      </c>
      <c r="C309" s="19" t="str">
        <f>IF(ISBLANK(B309),"",_xlfn.XLOOKUP(B309,Recruiter!A:A,Recruiter!B:B))</f>
        <v>Harshitha</v>
      </c>
      <c r="D309" s="19" t="str">
        <f>IF(ISBLANK(A309),"",_xlfn.XLOOKUP(A309,'Requirement Overview'!C:C,'Requirement Overview'!E:E))</f>
        <v>Talme</v>
      </c>
      <c r="E309" s="24" t="str">
        <f>IF(ISBLANK(A309),"",_xlfn.XLOOKUP(A309,'Requirement Overview'!C:C,'Requirement Overview'!H:H))</f>
        <v>IT</v>
      </c>
      <c r="F309" s="24" t="str">
        <f>IF(ISBLANK(A309),"",_xlfn.XLOOKUP(A309,'Requirement Overview'!C:C,'Requirement Overview'!I:I))</f>
        <v>Windows system adminstrator</v>
      </c>
      <c r="G309" s="58" t="str">
        <f>IF(ISBLANK(A309),"",_xlfn.XLOOKUP(A309,'Requirement Overview'!C:C,'Requirement Overview'!G:G))</f>
        <v>EMIDS</v>
      </c>
      <c r="H309" s="187" t="s">
        <v>1526</v>
      </c>
      <c r="I309" s="175" t="s">
        <v>519</v>
      </c>
      <c r="J309" s="205" t="s">
        <v>1527</v>
      </c>
      <c r="K309" s="234">
        <v>8790373800</v>
      </c>
      <c r="L309" s="175" t="s">
        <v>305</v>
      </c>
      <c r="M309" s="94" t="s">
        <v>1317</v>
      </c>
      <c r="N309" s="91" t="s">
        <v>1528</v>
      </c>
      <c r="O309" s="24" t="s">
        <v>423</v>
      </c>
      <c r="P309" s="94" t="s">
        <v>879</v>
      </c>
      <c r="Q309" s="94" t="s">
        <v>879</v>
      </c>
      <c r="R309" s="24" t="s">
        <v>540</v>
      </c>
      <c r="S309" s="24" t="s">
        <v>375</v>
      </c>
      <c r="T309" s="24" t="s">
        <v>103</v>
      </c>
      <c r="U309" s="29">
        <v>46049</v>
      </c>
      <c r="V309" s="29">
        <v>46049</v>
      </c>
      <c r="X309" s="29">
        <v>46050</v>
      </c>
      <c r="AL309" s="24"/>
      <c r="AM309" s="24"/>
      <c r="AS309" s="24"/>
    </row>
    <row r="310" spans="1:45" ht="14.45">
      <c r="A310" s="24" t="s">
        <v>35</v>
      </c>
      <c r="B310" s="24" t="s">
        <v>340</v>
      </c>
      <c r="C310" s="19" t="str">
        <f>IF(ISBLANK(B310),"",_xlfn.XLOOKUP(B310,Recruiter!A:A,Recruiter!B:B))</f>
        <v>Harshitha</v>
      </c>
      <c r="D310" s="19" t="str">
        <f>IF(ISBLANK(A310),"",_xlfn.XLOOKUP(A310,'Requirement Overview'!C:C,'Requirement Overview'!E:E))</f>
        <v>Talme</v>
      </c>
      <c r="E310" s="24" t="str">
        <f>IF(ISBLANK(A310),"",_xlfn.XLOOKUP(A310,'Requirement Overview'!C:C,'Requirement Overview'!H:H))</f>
        <v>IT</v>
      </c>
      <c r="F310" s="24" t="str">
        <f>IF(ISBLANK(A310),"",_xlfn.XLOOKUP(A310,'Requirement Overview'!C:C,'Requirement Overview'!I:I))</f>
        <v>Windows system adminstrator</v>
      </c>
      <c r="G310" s="58" t="str">
        <f>IF(ISBLANK(A310),"",_xlfn.XLOOKUP(A310,'Requirement Overview'!C:C,'Requirement Overview'!G:G))</f>
        <v>EMIDS</v>
      </c>
      <c r="H310" s="187" t="s">
        <v>1529</v>
      </c>
      <c r="I310" s="175" t="s">
        <v>519</v>
      </c>
      <c r="J310" s="205" t="s">
        <v>1530</v>
      </c>
      <c r="K310" s="234">
        <v>7008257162</v>
      </c>
      <c r="L310" s="175" t="s">
        <v>330</v>
      </c>
      <c r="M310" s="94" t="s">
        <v>351</v>
      </c>
      <c r="N310" s="91" t="s">
        <v>1531</v>
      </c>
      <c r="O310" s="24" t="s">
        <v>540</v>
      </c>
      <c r="P310" s="94" t="s">
        <v>268</v>
      </c>
      <c r="Q310" s="94" t="s">
        <v>268</v>
      </c>
      <c r="R310" s="24" t="s">
        <v>1191</v>
      </c>
      <c r="S310" s="24" t="s">
        <v>375</v>
      </c>
      <c r="T310" s="24" t="s">
        <v>103</v>
      </c>
      <c r="U310" s="29">
        <v>46049</v>
      </c>
      <c r="V310" s="29">
        <v>46049</v>
      </c>
      <c r="AL310" s="24"/>
      <c r="AM310" s="24"/>
      <c r="AS310" s="24"/>
    </row>
    <row r="311" spans="1:45" ht="14.45">
      <c r="A311" s="24" t="s">
        <v>35</v>
      </c>
      <c r="B311" s="24" t="s">
        <v>340</v>
      </c>
      <c r="C311" s="19" t="str">
        <f>IF(ISBLANK(B311),"",_xlfn.XLOOKUP(B311,Recruiter!A:A,Recruiter!B:B))</f>
        <v>Harshitha</v>
      </c>
      <c r="D311" s="19" t="str">
        <f>IF(ISBLANK(A311),"",_xlfn.XLOOKUP(A311,'Requirement Overview'!C:C,'Requirement Overview'!E:E))</f>
        <v>Talme</v>
      </c>
      <c r="E311" s="24" t="str">
        <f>IF(ISBLANK(A311),"",_xlfn.XLOOKUP(A311,'Requirement Overview'!C:C,'Requirement Overview'!H:H))</f>
        <v>IT</v>
      </c>
      <c r="F311" s="24" t="str">
        <f>IF(ISBLANK(A311),"",_xlfn.XLOOKUP(A311,'Requirement Overview'!C:C,'Requirement Overview'!I:I))</f>
        <v>Windows system adminstrator</v>
      </c>
      <c r="G311" s="58" t="str">
        <f>IF(ISBLANK(A311),"",_xlfn.XLOOKUP(A311,'Requirement Overview'!C:C,'Requirement Overview'!G:G))</f>
        <v>EMIDS</v>
      </c>
      <c r="H311" s="187" t="s">
        <v>1532</v>
      </c>
      <c r="I311" s="175" t="s">
        <v>1533</v>
      </c>
      <c r="J311" s="203" t="s">
        <v>1534</v>
      </c>
      <c r="K311" s="234">
        <v>8722328244</v>
      </c>
      <c r="L311" s="175" t="s">
        <v>350</v>
      </c>
      <c r="M311" s="94" t="s">
        <v>399</v>
      </c>
      <c r="N311" s="91" t="s">
        <v>1535</v>
      </c>
      <c r="O311" s="24" t="s">
        <v>541</v>
      </c>
      <c r="P311" s="94" t="s">
        <v>268</v>
      </c>
      <c r="Q311" s="94" t="s">
        <v>268</v>
      </c>
      <c r="R311" s="24" t="s">
        <v>1191</v>
      </c>
      <c r="S311" s="24" t="s">
        <v>1536</v>
      </c>
      <c r="T311" s="24" t="s">
        <v>103</v>
      </c>
      <c r="U311" s="29">
        <v>46049</v>
      </c>
      <c r="V311" s="29">
        <v>46049</v>
      </c>
      <c r="X311" s="29">
        <v>46050</v>
      </c>
      <c r="Y311" s="24" t="s">
        <v>784</v>
      </c>
      <c r="AB311" s="29">
        <v>46056</v>
      </c>
      <c r="AC311" s="24" t="s">
        <v>784</v>
      </c>
      <c r="AF311" s="29">
        <v>46057</v>
      </c>
      <c r="AG311" s="24" t="s">
        <v>784</v>
      </c>
      <c r="AL311" s="24"/>
      <c r="AM311" s="24"/>
      <c r="AS311" s="24"/>
    </row>
    <row r="312" spans="1:45" ht="14.45">
      <c r="A312" s="24" t="s">
        <v>35</v>
      </c>
      <c r="B312" s="24" t="s">
        <v>340</v>
      </c>
      <c r="C312" s="19" t="str">
        <f>IF(ISBLANK(B312),"",_xlfn.XLOOKUP(B312,Recruiter!A:A,Recruiter!B:B))</f>
        <v>Harshitha</v>
      </c>
      <c r="D312" s="19" t="str">
        <f>IF(ISBLANK(A312),"",_xlfn.XLOOKUP(A312,'Requirement Overview'!C:C,'Requirement Overview'!E:E))</f>
        <v>Talme</v>
      </c>
      <c r="E312" s="24" t="str">
        <f>IF(ISBLANK(A312),"",_xlfn.XLOOKUP(A312,'Requirement Overview'!C:C,'Requirement Overview'!H:H))</f>
        <v>IT</v>
      </c>
      <c r="F312" s="24" t="str">
        <f>IF(ISBLANK(A312),"",_xlfn.XLOOKUP(A312,'Requirement Overview'!C:C,'Requirement Overview'!I:I))</f>
        <v>Windows system adminstrator</v>
      </c>
      <c r="G312" s="58" t="str">
        <f>IF(ISBLANK(A312),"",_xlfn.XLOOKUP(A312,'Requirement Overview'!C:C,'Requirement Overview'!G:G))</f>
        <v>EMIDS</v>
      </c>
      <c r="H312" s="187" t="s">
        <v>1537</v>
      </c>
      <c r="I312" s="175" t="s">
        <v>519</v>
      </c>
      <c r="J312" s="205" t="s">
        <v>1538</v>
      </c>
      <c r="K312" s="234">
        <v>8555883902</v>
      </c>
      <c r="L312" s="175" t="s">
        <v>378</v>
      </c>
      <c r="M312" s="94" t="s">
        <v>1539</v>
      </c>
      <c r="N312" s="91" t="s">
        <v>1540</v>
      </c>
      <c r="O312" s="24" t="s">
        <v>1541</v>
      </c>
      <c r="P312" s="94" t="s">
        <v>268</v>
      </c>
      <c r="Q312" s="94" t="s">
        <v>268</v>
      </c>
      <c r="R312" s="24" t="s">
        <v>1191</v>
      </c>
      <c r="S312" s="24" t="s">
        <v>270</v>
      </c>
      <c r="T312" s="24" t="s">
        <v>103</v>
      </c>
      <c r="U312" s="29">
        <v>46049</v>
      </c>
      <c r="V312" s="29">
        <v>46049</v>
      </c>
      <c r="AL312" s="24"/>
      <c r="AM312" s="24"/>
      <c r="AS312" s="24"/>
    </row>
    <row r="313" spans="1:45" ht="14.45">
      <c r="A313" s="24" t="s">
        <v>33</v>
      </c>
      <c r="B313" s="24" t="s">
        <v>340</v>
      </c>
      <c r="C313" s="19" t="str">
        <f>IF(ISBLANK(B313),"",_xlfn.XLOOKUP(B313,Recruiter!A:A,Recruiter!B:B))</f>
        <v>Harshitha</v>
      </c>
      <c r="D313" s="19" t="str">
        <f>IF(ISBLANK(A313),"",_xlfn.XLOOKUP(A313,'Requirement Overview'!C:C,'Requirement Overview'!E:E))</f>
        <v>Talme</v>
      </c>
      <c r="E313" s="24" t="str">
        <f>IF(ISBLANK(A313),"",_xlfn.XLOOKUP(A313,'Requirement Overview'!C:C,'Requirement Overview'!H:H))</f>
        <v>IT</v>
      </c>
      <c r="F313" s="24" t="str">
        <f>IF(ISBLANK(A313),"",_xlfn.XLOOKUP(A313,'Requirement Overview'!C:C,'Requirement Overview'!I:I))</f>
        <v>Python Architect</v>
      </c>
      <c r="G313" s="58" t="str">
        <f>IF(ISBLANK(A313),"",_xlfn.XLOOKUP(A313,'Requirement Overview'!C:C,'Requirement Overview'!G:G))</f>
        <v>EMIDS</v>
      </c>
      <c r="H313" s="187" t="s">
        <v>1542</v>
      </c>
      <c r="I313" s="61" t="s">
        <v>519</v>
      </c>
      <c r="J313" s="212" t="s">
        <v>1543</v>
      </c>
      <c r="K313" s="233">
        <v>9886253639</v>
      </c>
      <c r="L313" s="61" t="s">
        <v>378</v>
      </c>
      <c r="M313" s="3" t="s">
        <v>343</v>
      </c>
      <c r="N313" s="91" t="s">
        <v>1544</v>
      </c>
      <c r="O313" s="3" t="s">
        <v>1545</v>
      </c>
      <c r="P313" s="3" t="s">
        <v>268</v>
      </c>
      <c r="Q313" s="3" t="s">
        <v>268</v>
      </c>
      <c r="R313" s="3" t="s">
        <v>1546</v>
      </c>
      <c r="S313" s="24" t="s">
        <v>1380</v>
      </c>
      <c r="T313" s="24" t="s">
        <v>103</v>
      </c>
      <c r="U313" s="29">
        <v>46049</v>
      </c>
      <c r="V313" s="29">
        <v>46049</v>
      </c>
      <c r="X313" s="29">
        <v>46052</v>
      </c>
      <c r="AL313" s="24"/>
      <c r="AM313" s="24"/>
      <c r="AS313" s="24"/>
    </row>
    <row r="314" spans="1:45" ht="14.45">
      <c r="A314" s="24" t="s">
        <v>33</v>
      </c>
      <c r="B314" s="24" t="s">
        <v>340</v>
      </c>
      <c r="C314" s="19" t="str">
        <f>IF(ISBLANK(B314),"",_xlfn.XLOOKUP(B314,Recruiter!A:A,Recruiter!B:B))</f>
        <v>Harshitha</v>
      </c>
      <c r="D314" s="19" t="str">
        <f>IF(ISBLANK(A314),"",_xlfn.XLOOKUP(A314,'Requirement Overview'!C:C,'Requirement Overview'!E:E))</f>
        <v>Talme</v>
      </c>
      <c r="E314" s="24" t="str">
        <f>IF(ISBLANK(A314),"",_xlfn.XLOOKUP(A314,'Requirement Overview'!C:C,'Requirement Overview'!H:H))</f>
        <v>IT</v>
      </c>
      <c r="F314" s="24" t="str">
        <f>IF(ISBLANK(A314),"",_xlfn.XLOOKUP(A314,'Requirement Overview'!C:C,'Requirement Overview'!I:I))</f>
        <v>Python Architect</v>
      </c>
      <c r="G314" s="58" t="str">
        <f>IF(ISBLANK(A314),"",_xlfn.XLOOKUP(A314,'Requirement Overview'!C:C,'Requirement Overview'!G:G))</f>
        <v>EMIDS</v>
      </c>
      <c r="H314" s="187" t="s">
        <v>1547</v>
      </c>
      <c r="I314" s="61" t="s">
        <v>519</v>
      </c>
      <c r="J314" s="212" t="s">
        <v>1548</v>
      </c>
      <c r="K314" s="233">
        <v>9880506766</v>
      </c>
      <c r="L314" s="61" t="s">
        <v>290</v>
      </c>
      <c r="M314" s="3" t="s">
        <v>343</v>
      </c>
      <c r="N314" s="91" t="s">
        <v>1549</v>
      </c>
      <c r="O314" s="3" t="s">
        <v>489</v>
      </c>
      <c r="P314" s="3" t="s">
        <v>268</v>
      </c>
      <c r="Q314" s="3" t="s">
        <v>268</v>
      </c>
      <c r="R314" s="3" t="s">
        <v>469</v>
      </c>
      <c r="S314" s="24" t="s">
        <v>270</v>
      </c>
      <c r="T314" s="24" t="s">
        <v>103</v>
      </c>
      <c r="U314" s="29">
        <v>46049</v>
      </c>
      <c r="V314" s="29">
        <v>46049</v>
      </c>
      <c r="AL314" s="24"/>
      <c r="AM314" s="24"/>
      <c r="AS314" s="24"/>
    </row>
    <row r="315" spans="1:45" ht="14.45">
      <c r="A315" s="24" t="s">
        <v>33</v>
      </c>
      <c r="B315" s="24" t="s">
        <v>340</v>
      </c>
      <c r="C315" s="19" t="str">
        <f>IF(ISBLANK(B315),"",_xlfn.XLOOKUP(B315,Recruiter!A:A,Recruiter!B:B))</f>
        <v>Harshitha</v>
      </c>
      <c r="D315" s="19" t="str">
        <f>IF(ISBLANK(A315),"",_xlfn.XLOOKUP(A315,'Requirement Overview'!C:C,'Requirement Overview'!E:E))</f>
        <v>Talme</v>
      </c>
      <c r="E315" s="24" t="str">
        <f>IF(ISBLANK(A315),"",_xlfn.XLOOKUP(A315,'Requirement Overview'!C:C,'Requirement Overview'!H:H))</f>
        <v>IT</v>
      </c>
      <c r="F315" s="24" t="str">
        <f>IF(ISBLANK(A315),"",_xlfn.XLOOKUP(A315,'Requirement Overview'!C:C,'Requirement Overview'!I:I))</f>
        <v>Python Architect</v>
      </c>
      <c r="G315" s="58" t="str">
        <f>IF(ISBLANK(A315),"",_xlfn.XLOOKUP(A315,'Requirement Overview'!C:C,'Requirement Overview'!G:G))</f>
        <v>EMIDS</v>
      </c>
      <c r="H315" s="187" t="s">
        <v>1550</v>
      </c>
      <c r="I315" s="61" t="s">
        <v>519</v>
      </c>
      <c r="J315" s="212" t="s">
        <v>1551</v>
      </c>
      <c r="K315" s="233">
        <v>9363507427</v>
      </c>
      <c r="L315" s="61" t="s">
        <v>794</v>
      </c>
      <c r="M315" s="3" t="s">
        <v>1552</v>
      </c>
      <c r="N315" s="91" t="s">
        <v>1553</v>
      </c>
      <c r="O315" s="3" t="s">
        <v>963</v>
      </c>
      <c r="P315" s="3" t="s">
        <v>1128</v>
      </c>
      <c r="Q315" s="3" t="s">
        <v>268</v>
      </c>
      <c r="R315" s="3" t="s">
        <v>1327</v>
      </c>
      <c r="S315" s="24" t="s">
        <v>375</v>
      </c>
      <c r="T315" s="24" t="s">
        <v>103</v>
      </c>
      <c r="U315" s="29">
        <v>46049</v>
      </c>
      <c r="V315" s="29">
        <v>46049</v>
      </c>
      <c r="AL315" s="24"/>
      <c r="AM315" s="24"/>
      <c r="AS315" s="24"/>
    </row>
    <row r="316" spans="1:45" ht="14.45">
      <c r="A316" s="24" t="s">
        <v>118</v>
      </c>
      <c r="B316" s="24" t="s">
        <v>340</v>
      </c>
      <c r="C316" s="19" t="str">
        <f>IF(ISBLANK(B316),"",_xlfn.XLOOKUP(B316,Recruiter!A:A,Recruiter!B:B))</f>
        <v>Harshitha</v>
      </c>
      <c r="D316" s="19" t="str">
        <f>IF(ISBLANK(A316),"",_xlfn.XLOOKUP(A316,'Requirement Overview'!C:C,'Requirement Overview'!E:E))</f>
        <v>Talme</v>
      </c>
      <c r="E316" s="24" t="str">
        <f>IF(ISBLANK(A316),"",_xlfn.XLOOKUP(A316,'Requirement Overview'!C:C,'Requirement Overview'!H:H))</f>
        <v>IT</v>
      </c>
      <c r="F316" s="24" t="str">
        <f>IF(ISBLANK(A316),"",_xlfn.XLOOKUP(A316,'Requirement Overview'!C:C,'Requirement Overview'!I:I))</f>
        <v>Java Lead Analyst</v>
      </c>
      <c r="G316" s="58" t="str">
        <f>IF(ISBLANK(A316),"",_xlfn.XLOOKUP(A316,'Requirement Overview'!C:C,'Requirement Overview'!G:G))</f>
        <v>Thoughtfocus</v>
      </c>
      <c r="H316" s="187" t="s">
        <v>1554</v>
      </c>
      <c r="I316" s="61" t="s">
        <v>519</v>
      </c>
      <c r="J316" s="205" t="s">
        <v>1555</v>
      </c>
      <c r="K316" s="236">
        <v>8007165238</v>
      </c>
      <c r="L316" s="61" t="s">
        <v>421</v>
      </c>
      <c r="M316" s="3" t="s">
        <v>395</v>
      </c>
      <c r="N316" s="91" t="s">
        <v>1556</v>
      </c>
      <c r="O316" s="3" t="s">
        <v>1525</v>
      </c>
      <c r="P316" s="3" t="s">
        <v>569</v>
      </c>
      <c r="Q316" s="3" t="s">
        <v>1557</v>
      </c>
      <c r="R316" s="3" t="s">
        <v>548</v>
      </c>
      <c r="S316" s="24" t="s">
        <v>270</v>
      </c>
      <c r="T316" s="24" t="s">
        <v>103</v>
      </c>
      <c r="U316" s="29">
        <v>46049</v>
      </c>
      <c r="V316" s="29">
        <v>46049</v>
      </c>
      <c r="AL316" s="24"/>
      <c r="AM316" s="24"/>
      <c r="AS316" s="24"/>
    </row>
    <row r="317" spans="1:45" ht="14.45">
      <c r="A317" s="24" t="s">
        <v>118</v>
      </c>
      <c r="B317" s="24" t="s">
        <v>340</v>
      </c>
      <c r="C317" s="19" t="str">
        <f>IF(ISBLANK(B317),"",_xlfn.XLOOKUP(B317,Recruiter!A:A,Recruiter!B:B))</f>
        <v>Harshitha</v>
      </c>
      <c r="D317" s="19" t="str">
        <f>IF(ISBLANK(A317),"",_xlfn.XLOOKUP(A317,'Requirement Overview'!C:C,'Requirement Overview'!E:E))</f>
        <v>Talme</v>
      </c>
      <c r="E317" s="24" t="str">
        <f>IF(ISBLANK(A317),"",_xlfn.XLOOKUP(A317,'Requirement Overview'!C:C,'Requirement Overview'!H:H))</f>
        <v>IT</v>
      </c>
      <c r="F317" s="24" t="str">
        <f>IF(ISBLANK(A317),"",_xlfn.XLOOKUP(A317,'Requirement Overview'!C:C,'Requirement Overview'!I:I))</f>
        <v>Java Lead Analyst</v>
      </c>
      <c r="G317" s="58" t="str">
        <f>IF(ISBLANK(A317),"",_xlfn.XLOOKUP(A317,'Requirement Overview'!C:C,'Requirement Overview'!G:G))</f>
        <v>Thoughtfocus</v>
      </c>
      <c r="H317" s="187" t="s">
        <v>1558</v>
      </c>
      <c r="I317" s="63" t="s">
        <v>519</v>
      </c>
      <c r="J317" s="213" t="s">
        <v>1559</v>
      </c>
      <c r="K317" s="236">
        <v>8884253854</v>
      </c>
      <c r="L317" s="63" t="s">
        <v>305</v>
      </c>
      <c r="M317" s="50" t="s">
        <v>390</v>
      </c>
      <c r="N317" s="110" t="s">
        <v>1560</v>
      </c>
      <c r="O317" s="50" t="s">
        <v>368</v>
      </c>
      <c r="P317" s="50" t="s">
        <v>268</v>
      </c>
      <c r="Q317" s="50" t="s">
        <v>1557</v>
      </c>
      <c r="R317" s="50" t="s">
        <v>540</v>
      </c>
      <c r="S317" s="51" t="s">
        <v>270</v>
      </c>
      <c r="T317" s="51" t="s">
        <v>103</v>
      </c>
      <c r="U317" s="89">
        <v>46049</v>
      </c>
      <c r="V317" s="89">
        <v>46049</v>
      </c>
      <c r="AL317" s="24"/>
      <c r="AM317" s="24"/>
      <c r="AS317" s="24"/>
    </row>
    <row r="318" spans="1:45" ht="14.45">
      <c r="A318" s="24" t="s">
        <v>110</v>
      </c>
      <c r="B318" s="24" t="s">
        <v>236</v>
      </c>
      <c r="C318" s="19" t="str">
        <f>IF(ISBLANK(B318),"",_xlfn.XLOOKUP(B318,Recruiter!A:A,Recruiter!B:B))</f>
        <v>Pooja</v>
      </c>
      <c r="D318" s="19" t="str">
        <f>IF(ISBLANK(A318),"",_xlfn.XLOOKUP(A318,'Requirement Overview'!C:C,'Requirement Overview'!E:E))</f>
        <v>Talme</v>
      </c>
      <c r="E318" s="24" t="str">
        <f>IF(ISBLANK(A318),"",_xlfn.XLOOKUP(A318,'Requirement Overview'!C:C,'Requirement Overview'!H:H))</f>
        <v>IT</v>
      </c>
      <c r="F318" s="24" t="str">
        <f>IF(ISBLANK(A318),"",_xlfn.XLOOKUP(A318,'Requirement Overview'!C:C,'Requirement Overview'!I:I))</f>
        <v>Technical Lead - Mobile Development</v>
      </c>
      <c r="G318" s="58" t="str">
        <f>IF(ISBLANK(A318),"",_xlfn.XLOOKUP(A318,'Requirement Overview'!C:C,'Requirement Overview'!G:G))</f>
        <v>Semnox Solutions</v>
      </c>
      <c r="H318" s="186" t="s">
        <v>1561</v>
      </c>
      <c r="I318" s="176" t="s">
        <v>519</v>
      </c>
      <c r="J318" s="210" t="s">
        <v>1562</v>
      </c>
      <c r="K318" s="24">
        <v>9600444405</v>
      </c>
      <c r="L318" s="61" t="s">
        <v>305</v>
      </c>
      <c r="M318" s="3" t="s">
        <v>442</v>
      </c>
      <c r="N318" s="107" t="s">
        <v>400</v>
      </c>
      <c r="O318" s="3" t="s">
        <v>1145</v>
      </c>
      <c r="P318" s="3" t="s">
        <v>1471</v>
      </c>
      <c r="Q318" s="45" t="s">
        <v>1471</v>
      </c>
      <c r="R318" s="3" t="s">
        <v>548</v>
      </c>
      <c r="S318" s="3" t="s">
        <v>470</v>
      </c>
      <c r="T318" s="3" t="s">
        <v>103</v>
      </c>
      <c r="U318" s="55">
        <v>46050</v>
      </c>
      <c r="V318" s="55">
        <v>46050</v>
      </c>
      <c r="W318" s="46"/>
      <c r="AL318" s="24"/>
      <c r="AM318" s="24"/>
      <c r="AS318" s="24"/>
    </row>
    <row r="319" spans="1:45" ht="14.45">
      <c r="A319" s="24" t="s">
        <v>115</v>
      </c>
      <c r="B319" s="24" t="s">
        <v>236</v>
      </c>
      <c r="C319" s="19" t="str">
        <f>IF(ISBLANK(B319),"",_xlfn.XLOOKUP(B319,Recruiter!A:A,Recruiter!B:B))</f>
        <v>Pooja</v>
      </c>
      <c r="D319" s="19" t="str">
        <f>IF(ISBLANK(A319),"",_xlfn.XLOOKUP(A319,'Requirement Overview'!C:C,'Requirement Overview'!E:E))</f>
        <v>Talme</v>
      </c>
      <c r="E319" s="24" t="str">
        <f>IF(ISBLANK(A319),"",_xlfn.XLOOKUP(A319,'Requirement Overview'!C:C,'Requirement Overview'!H:H))</f>
        <v>IT</v>
      </c>
      <c r="F319" s="24" t="str">
        <f>IF(ISBLANK(A319),"",_xlfn.XLOOKUP(A319,'Requirement Overview'!C:C,'Requirement Overview'!I:I))</f>
        <v>Developer - Angular &amp; Node Js</v>
      </c>
      <c r="G319" s="58" t="str">
        <f>IF(ISBLANK(A319),"",_xlfn.XLOOKUP(A319,'Requirement Overview'!C:C,'Requirement Overview'!G:G))</f>
        <v>Viditha</v>
      </c>
      <c r="H319" s="190" t="s">
        <v>1563</v>
      </c>
      <c r="I319" s="61" t="s">
        <v>750</v>
      </c>
      <c r="J319" s="210" t="s">
        <v>1564</v>
      </c>
      <c r="K319" s="24">
        <v>9902981137</v>
      </c>
      <c r="L319" s="61" t="s">
        <v>922</v>
      </c>
      <c r="M319" s="3" t="s">
        <v>647</v>
      </c>
      <c r="N319" s="107" t="s">
        <v>1565</v>
      </c>
      <c r="O319" s="3" t="s">
        <v>654</v>
      </c>
      <c r="P319" s="45" t="s">
        <v>1471</v>
      </c>
      <c r="Q319" s="3" t="s">
        <v>1347</v>
      </c>
      <c r="R319" s="3" t="s">
        <v>368</v>
      </c>
      <c r="S319" s="3" t="s">
        <v>270</v>
      </c>
      <c r="T319" s="3" t="s">
        <v>103</v>
      </c>
      <c r="U319" s="55">
        <v>46050</v>
      </c>
      <c r="V319" s="55">
        <v>46050</v>
      </c>
      <c r="W319" s="46"/>
      <c r="AL319" s="24"/>
      <c r="AM319" s="24"/>
      <c r="AS319" s="24"/>
    </row>
    <row r="320" spans="1:45" ht="14.45">
      <c r="A320" s="51" t="s">
        <v>115</v>
      </c>
      <c r="B320" s="51" t="s">
        <v>236</v>
      </c>
      <c r="C320" s="73" t="str">
        <f>IF(ISBLANK(B320),"",_xlfn.XLOOKUP(B320,Recruiter!A:A,Recruiter!B:B))</f>
        <v>Pooja</v>
      </c>
      <c r="D320" s="73" t="str">
        <f>IF(ISBLANK(A320),"",_xlfn.XLOOKUP(A320,'Requirement Overview'!C:C,'Requirement Overview'!E:E))</f>
        <v>Talme</v>
      </c>
      <c r="E320" s="51" t="str">
        <f>IF(ISBLANK(A320),"",_xlfn.XLOOKUP(A320,'Requirement Overview'!C:C,'Requirement Overview'!H:H))</f>
        <v>IT</v>
      </c>
      <c r="F320" s="51" t="str">
        <f>IF(ISBLANK(A320),"",_xlfn.XLOOKUP(A320,'Requirement Overview'!C:C,'Requirement Overview'!I:I))</f>
        <v>Developer - Angular &amp; Node Js</v>
      </c>
      <c r="G320" s="62" t="str">
        <f>IF(ISBLANK(A320),"",_xlfn.XLOOKUP(A320,'Requirement Overview'!C:C,'Requirement Overview'!G:G))</f>
        <v>Viditha</v>
      </c>
      <c r="H320" s="190" t="s">
        <v>1566</v>
      </c>
      <c r="I320" s="61" t="s">
        <v>519</v>
      </c>
      <c r="J320" s="210" t="s">
        <v>1567</v>
      </c>
      <c r="K320" s="235">
        <v>8296362429</v>
      </c>
      <c r="L320" s="61" t="s">
        <v>695</v>
      </c>
      <c r="M320" s="45" t="s">
        <v>1568</v>
      </c>
      <c r="N320" s="107" t="s">
        <v>1569</v>
      </c>
      <c r="O320" s="3" t="s">
        <v>654</v>
      </c>
      <c r="P320" s="45" t="s">
        <v>1471</v>
      </c>
      <c r="Q320" s="3" t="s">
        <v>1471</v>
      </c>
      <c r="R320" s="3" t="s">
        <v>678</v>
      </c>
      <c r="S320" s="3" t="s">
        <v>470</v>
      </c>
      <c r="T320" s="3" t="s">
        <v>103</v>
      </c>
      <c r="U320" s="55">
        <v>46050</v>
      </c>
      <c r="V320" s="55">
        <v>46050</v>
      </c>
      <c r="W320" s="108"/>
      <c r="X320" s="51"/>
      <c r="Y320" s="51"/>
      <c r="Z320" s="51"/>
      <c r="AA320" s="51"/>
      <c r="AB320" s="51"/>
      <c r="AC320" s="51"/>
      <c r="AD320" s="51"/>
      <c r="AE320" s="51"/>
      <c r="AF320" s="51"/>
      <c r="AG320" s="51"/>
      <c r="AH320" s="51"/>
      <c r="AI320" s="51"/>
      <c r="AJ320" s="51"/>
      <c r="AK320" s="51"/>
      <c r="AL320" s="51"/>
      <c r="AM320" s="51"/>
      <c r="AN320" s="51"/>
      <c r="AO320" s="51"/>
      <c r="AS320" s="24"/>
    </row>
    <row r="321" spans="1:46" ht="14.45">
      <c r="A321" s="51" t="s">
        <v>115</v>
      </c>
      <c r="B321" s="51" t="s">
        <v>236</v>
      </c>
      <c r="C321" s="73" t="str">
        <f>IF(ISBLANK(B321),"",_xlfn.XLOOKUP(B321,Recruiter!A:A,Recruiter!B:B))</f>
        <v>Pooja</v>
      </c>
      <c r="D321" s="73" t="str">
        <f>IF(ISBLANK(A321),"",_xlfn.XLOOKUP(A321,'Requirement Overview'!C:C,'Requirement Overview'!E:E))</f>
        <v>Talme</v>
      </c>
      <c r="E321" s="51" t="str">
        <f>IF(ISBLANK(A321),"",_xlfn.XLOOKUP(A321,'Requirement Overview'!C:C,'Requirement Overview'!H:H))</f>
        <v>IT</v>
      </c>
      <c r="F321" s="51" t="str">
        <f>IF(ISBLANK(A321),"",_xlfn.XLOOKUP(A321,'Requirement Overview'!C:C,'Requirement Overview'!I:I))</f>
        <v>Developer - Angular &amp; Node Js</v>
      </c>
      <c r="G321" s="62" t="str">
        <f>IF(ISBLANK(A321),"",_xlfn.XLOOKUP(A321,'Requirement Overview'!C:C,'Requirement Overview'!G:G))</f>
        <v>Viditha</v>
      </c>
      <c r="H321" s="190" t="s">
        <v>1570</v>
      </c>
      <c r="I321" s="171" t="s">
        <v>1571</v>
      </c>
      <c r="J321" s="210" t="s">
        <v>1572</v>
      </c>
      <c r="K321" s="235">
        <v>9483647355</v>
      </c>
      <c r="L321" s="61" t="s">
        <v>695</v>
      </c>
      <c r="M321" s="45" t="s">
        <v>1573</v>
      </c>
      <c r="N321" s="107" t="s">
        <v>1574</v>
      </c>
      <c r="O321" s="3" t="s">
        <v>367</v>
      </c>
      <c r="P321" s="45" t="s">
        <v>1471</v>
      </c>
      <c r="Q321" s="45" t="s">
        <v>1471</v>
      </c>
      <c r="R321" s="3" t="s">
        <v>244</v>
      </c>
      <c r="S321" s="3" t="s">
        <v>470</v>
      </c>
      <c r="T321" s="3" t="s">
        <v>103</v>
      </c>
      <c r="U321" s="55">
        <v>46050</v>
      </c>
      <c r="V321" s="55">
        <v>46050</v>
      </c>
      <c r="W321" s="108"/>
      <c r="X321" s="51"/>
      <c r="Y321" s="51"/>
      <c r="Z321" s="51"/>
      <c r="AA321" s="51"/>
      <c r="AB321" s="51"/>
      <c r="AC321" s="51"/>
      <c r="AD321" s="51"/>
      <c r="AE321" s="51"/>
      <c r="AF321" s="51"/>
      <c r="AG321" s="51"/>
      <c r="AH321" s="51"/>
      <c r="AI321" s="51"/>
      <c r="AJ321" s="51"/>
      <c r="AK321" s="51"/>
      <c r="AL321" s="51"/>
      <c r="AM321" s="51"/>
      <c r="AN321" s="51"/>
      <c r="AO321" s="51"/>
      <c r="AS321" s="24"/>
    </row>
    <row r="322" spans="1:46" ht="14.45">
      <c r="A322" s="51" t="s">
        <v>115</v>
      </c>
      <c r="B322" s="51" t="s">
        <v>236</v>
      </c>
      <c r="C322" s="73" t="str">
        <f>IF(ISBLANK(B322),"",_xlfn.XLOOKUP(B322,Recruiter!A:A,Recruiter!B:B))</f>
        <v>Pooja</v>
      </c>
      <c r="D322" s="73" t="str">
        <f>IF(ISBLANK(A322),"",_xlfn.XLOOKUP(A322,'Requirement Overview'!C:C,'Requirement Overview'!E:E))</f>
        <v>Talme</v>
      </c>
      <c r="E322" s="51" t="str">
        <f>IF(ISBLANK(A322),"",_xlfn.XLOOKUP(A322,'Requirement Overview'!C:C,'Requirement Overview'!H:H))</f>
        <v>IT</v>
      </c>
      <c r="F322" s="51" t="str">
        <f>IF(ISBLANK(A322),"",_xlfn.XLOOKUP(A322,'Requirement Overview'!C:C,'Requirement Overview'!I:I))</f>
        <v>Developer - Angular &amp; Node Js</v>
      </c>
      <c r="G322" s="62" t="str">
        <f>IF(ISBLANK(A322),"",_xlfn.XLOOKUP(A322,'Requirement Overview'!C:C,'Requirement Overview'!G:G))</f>
        <v>Viditha</v>
      </c>
      <c r="H322" s="190" t="s">
        <v>1575</v>
      </c>
      <c r="I322" s="176" t="s">
        <v>519</v>
      </c>
      <c r="J322" s="210" t="s">
        <v>1576</v>
      </c>
      <c r="K322" s="24">
        <v>9591909508</v>
      </c>
      <c r="L322" s="61" t="s">
        <v>695</v>
      </c>
      <c r="M322" s="3" t="s">
        <v>1577</v>
      </c>
      <c r="N322" s="107" t="s">
        <v>1578</v>
      </c>
      <c r="O322" s="3" t="s">
        <v>1579</v>
      </c>
      <c r="P322" s="45" t="s">
        <v>1471</v>
      </c>
      <c r="Q322" s="45" t="s">
        <v>1471</v>
      </c>
      <c r="R322" s="3" t="s">
        <v>678</v>
      </c>
      <c r="S322" s="3" t="s">
        <v>470</v>
      </c>
      <c r="T322" s="3" t="s">
        <v>103</v>
      </c>
      <c r="U322" s="55">
        <v>46050</v>
      </c>
      <c r="V322" s="55">
        <v>46050</v>
      </c>
      <c r="W322" s="108"/>
      <c r="X322" s="51"/>
      <c r="Y322" s="51"/>
      <c r="Z322" s="51"/>
      <c r="AA322" s="51"/>
      <c r="AB322" s="51"/>
      <c r="AC322" s="51"/>
      <c r="AD322" s="51"/>
      <c r="AE322" s="51"/>
      <c r="AF322" s="51"/>
      <c r="AG322" s="51"/>
      <c r="AH322" s="51"/>
      <c r="AI322" s="51"/>
      <c r="AJ322" s="87"/>
      <c r="AK322" s="87"/>
      <c r="AL322" s="88"/>
      <c r="AM322" s="88"/>
      <c r="AN322" s="87"/>
      <c r="AO322" s="87"/>
      <c r="AP322" s="83"/>
      <c r="AQ322" s="83"/>
      <c r="AR322" s="83"/>
      <c r="AS322" s="84"/>
      <c r="AT322" s="83"/>
    </row>
    <row r="323" spans="1:46" ht="14.45">
      <c r="A323" s="51" t="s">
        <v>115</v>
      </c>
      <c r="B323" s="51" t="s">
        <v>236</v>
      </c>
      <c r="C323" s="73" t="str">
        <f>IF(ISBLANK(B323),"",_xlfn.XLOOKUP(B323,Recruiter!A:A,Recruiter!B:B))</f>
        <v>Pooja</v>
      </c>
      <c r="D323" s="73" t="str">
        <f>IF(ISBLANK(A323),"",_xlfn.XLOOKUP(A323,'Requirement Overview'!C:C,'Requirement Overview'!E:E))</f>
        <v>Talme</v>
      </c>
      <c r="E323" s="51" t="str">
        <f>IF(ISBLANK(A323),"",_xlfn.XLOOKUP(A323,'Requirement Overview'!C:C,'Requirement Overview'!H:H))</f>
        <v>IT</v>
      </c>
      <c r="F323" s="51" t="str">
        <f>IF(ISBLANK(A323),"",_xlfn.XLOOKUP(A323,'Requirement Overview'!C:C,'Requirement Overview'!I:I))</f>
        <v>Developer - Angular &amp; Node Js</v>
      </c>
      <c r="G323" s="62" t="str">
        <f>IF(ISBLANK(A323),"",_xlfn.XLOOKUP(A323,'Requirement Overview'!C:C,'Requirement Overview'!G:G))</f>
        <v>Viditha</v>
      </c>
      <c r="H323" s="190" t="s">
        <v>1580</v>
      </c>
      <c r="I323" s="61" t="s">
        <v>625</v>
      </c>
      <c r="J323" s="210" t="s">
        <v>1581</v>
      </c>
      <c r="K323" s="235">
        <v>9008727830</v>
      </c>
      <c r="L323" s="61" t="s">
        <v>695</v>
      </c>
      <c r="M323" s="3" t="s">
        <v>1577</v>
      </c>
      <c r="N323" s="107" t="s">
        <v>1582</v>
      </c>
      <c r="O323" s="3" t="s">
        <v>1583</v>
      </c>
      <c r="P323" s="45" t="s">
        <v>1471</v>
      </c>
      <c r="Q323" s="45" t="s">
        <v>1471</v>
      </c>
      <c r="R323" s="3" t="s">
        <v>386</v>
      </c>
      <c r="S323" s="3" t="s">
        <v>470</v>
      </c>
      <c r="T323" s="3" t="s">
        <v>103</v>
      </c>
      <c r="U323" s="55">
        <v>46050</v>
      </c>
      <c r="V323" s="55">
        <v>46050</v>
      </c>
      <c r="W323" s="108"/>
      <c r="X323" s="51"/>
      <c r="Y323" s="51"/>
      <c r="Z323" s="51"/>
      <c r="AA323" s="51"/>
      <c r="AB323" s="51"/>
      <c r="AC323" s="51"/>
      <c r="AD323" s="51"/>
      <c r="AE323" s="51"/>
      <c r="AF323" s="51"/>
      <c r="AG323" s="51"/>
      <c r="AH323" s="51"/>
      <c r="AI323" s="51"/>
      <c r="AJ323" s="51"/>
      <c r="AK323" s="51"/>
      <c r="AL323" s="73"/>
      <c r="AM323" s="73"/>
      <c r="AN323" s="51"/>
      <c r="AO323" s="51"/>
    </row>
    <row r="324" spans="1:46" s="51" customFormat="1" ht="14.45">
      <c r="A324" s="51" t="s">
        <v>115</v>
      </c>
      <c r="B324" s="51" t="s">
        <v>236</v>
      </c>
      <c r="C324" s="73" t="str">
        <f>IF(ISBLANK(B324),"",_xlfn.XLOOKUP(B324,Recruiter!A:A,Recruiter!B:B))</f>
        <v>Pooja</v>
      </c>
      <c r="D324" s="73" t="str">
        <f>IF(ISBLANK(A324),"",_xlfn.XLOOKUP(A324,'Requirement Overview'!C:C,'Requirement Overview'!E:E))</f>
        <v>Talme</v>
      </c>
      <c r="E324" s="51" t="str">
        <f>IF(ISBLANK(A324),"",_xlfn.XLOOKUP(A324,'Requirement Overview'!C:C,'Requirement Overview'!H:H))</f>
        <v>IT</v>
      </c>
      <c r="F324" s="51" t="str">
        <f>IF(ISBLANK(A324),"",_xlfn.XLOOKUP(A324,'Requirement Overview'!C:C,'Requirement Overview'!I:I))</f>
        <v>Developer - Angular &amp; Node Js</v>
      </c>
      <c r="G324" s="62" t="str">
        <f>IF(ISBLANK(A324),"",_xlfn.XLOOKUP(A324,'Requirement Overview'!C:C,'Requirement Overview'!G:G))</f>
        <v>Viditha</v>
      </c>
      <c r="H324" s="190" t="s">
        <v>1584</v>
      </c>
      <c r="I324" s="171" t="s">
        <v>983</v>
      </c>
      <c r="J324" s="210" t="s">
        <v>1585</v>
      </c>
      <c r="K324" s="235">
        <v>9633926853</v>
      </c>
      <c r="L324" s="61" t="s">
        <v>695</v>
      </c>
      <c r="M324" s="3" t="s">
        <v>1586</v>
      </c>
      <c r="N324" s="107" t="s">
        <v>1587</v>
      </c>
      <c r="O324" s="3" t="s">
        <v>382</v>
      </c>
      <c r="P324" s="45" t="s">
        <v>1471</v>
      </c>
      <c r="Q324" s="45" t="s">
        <v>1471</v>
      </c>
      <c r="R324" s="3" t="s">
        <v>540</v>
      </c>
      <c r="S324" s="3" t="s">
        <v>470</v>
      </c>
      <c r="T324" s="3" t="s">
        <v>103</v>
      </c>
      <c r="U324" s="55">
        <v>46050</v>
      </c>
      <c r="V324" s="55">
        <v>46050</v>
      </c>
      <c r="W324" s="108"/>
      <c r="AJ324" s="87"/>
      <c r="AK324" s="87"/>
      <c r="AL324" s="88"/>
      <c r="AM324" s="88"/>
      <c r="AN324" s="87"/>
      <c r="AO324" s="87"/>
      <c r="AP324" s="83"/>
      <c r="AQ324" s="83"/>
      <c r="AR324" s="83"/>
      <c r="AS324" s="84"/>
      <c r="AT324" s="87"/>
    </row>
    <row r="325" spans="1:46" s="19" customFormat="1" ht="14.45">
      <c r="A325" s="19" t="s">
        <v>105</v>
      </c>
      <c r="B325" s="19" t="s">
        <v>520</v>
      </c>
      <c r="C325" s="19" t="str">
        <f>IF(ISBLANK(B325),"",_xlfn.XLOOKUP(B325,Recruiter!A:A,Recruiter!B:B))</f>
        <v>Narthana</v>
      </c>
      <c r="D325" s="19" t="str">
        <f>IF(ISBLANK(A325),"",_xlfn.XLOOKUP(A325,'Requirement Overview'!C:C,'Requirement Overview'!E:E))</f>
        <v>Talme</v>
      </c>
      <c r="E325" s="19" t="str">
        <f>IF(ISBLANK(A325),"",_xlfn.XLOOKUP(A325,'Requirement Overview'!C:C,'Requirement Overview'!H:H))</f>
        <v>IT</v>
      </c>
      <c r="F325" s="19" t="str">
        <f>IF(ISBLANK(A325),"",_xlfn.XLOOKUP(A325,'Requirement Overview'!C:C,'Requirement Overview'!I:I))</f>
        <v>IAM Engineer Professionals</v>
      </c>
      <c r="G325" s="59" t="str">
        <f>IF(ISBLANK(A325),"",_xlfn.XLOOKUP(A325,'Requirement Overview'!C:C,'Requirement Overview'!G:G))</f>
        <v>Thoughtfocus</v>
      </c>
      <c r="H325" s="92" t="s">
        <v>1588</v>
      </c>
      <c r="I325" s="305" t="s">
        <v>1589</v>
      </c>
      <c r="J325" s="306" t="s">
        <v>1590</v>
      </c>
      <c r="K325" s="92">
        <v>8939549532</v>
      </c>
      <c r="L325" s="305" t="s">
        <v>311</v>
      </c>
      <c r="M325" s="307" t="s">
        <v>1284</v>
      </c>
      <c r="N325" s="307" t="s">
        <v>948</v>
      </c>
      <c r="O325" s="307" t="s">
        <v>1591</v>
      </c>
      <c r="P325" s="307" t="s">
        <v>1128</v>
      </c>
      <c r="Q325" s="307" t="s">
        <v>1042</v>
      </c>
      <c r="R325" s="307" t="s">
        <v>589</v>
      </c>
      <c r="S325" s="77" t="s">
        <v>270</v>
      </c>
      <c r="T325" s="77" t="s">
        <v>103</v>
      </c>
      <c r="U325" s="308">
        <v>46049</v>
      </c>
      <c r="V325" s="308">
        <v>46049</v>
      </c>
      <c r="W325" s="109" t="s">
        <v>1304</v>
      </c>
    </row>
    <row r="326" spans="1:46" s="19" customFormat="1" ht="14.45">
      <c r="A326" s="19" t="s">
        <v>105</v>
      </c>
      <c r="B326" s="19" t="s">
        <v>520</v>
      </c>
      <c r="C326" s="19" t="str">
        <f>IF(ISBLANK(B326),"",_xlfn.XLOOKUP(B326,Recruiter!A:A,Recruiter!B:B))</f>
        <v>Narthana</v>
      </c>
      <c r="D326" s="19" t="str">
        <f>IF(ISBLANK(A326),"",_xlfn.XLOOKUP(A326,'Requirement Overview'!C:C,'Requirement Overview'!E:E))</f>
        <v>Talme</v>
      </c>
      <c r="E326" s="19" t="str">
        <f>IF(ISBLANK(A326),"",_xlfn.XLOOKUP(A326,'Requirement Overview'!C:C,'Requirement Overview'!H:H))</f>
        <v>IT</v>
      </c>
      <c r="F326" s="19" t="str">
        <f>IF(ISBLANK(A326),"",_xlfn.XLOOKUP(A326,'Requirement Overview'!C:C,'Requirement Overview'!I:I))</f>
        <v>IAM Engineer Professionals</v>
      </c>
      <c r="G326" s="59" t="str">
        <f>IF(ISBLANK(A326),"",_xlfn.XLOOKUP(A326,'Requirement Overview'!C:C,'Requirement Overview'!G:G))</f>
        <v>Thoughtfocus</v>
      </c>
      <c r="H326" s="92" t="s">
        <v>1592</v>
      </c>
      <c r="I326" s="305" t="s">
        <v>1593</v>
      </c>
      <c r="J326" s="306" t="s">
        <v>1594</v>
      </c>
      <c r="K326" s="92">
        <v>8686151433</v>
      </c>
      <c r="L326" s="305" t="s">
        <v>305</v>
      </c>
      <c r="M326" s="307" t="s">
        <v>1595</v>
      </c>
      <c r="N326" s="307" t="s">
        <v>653</v>
      </c>
      <c r="O326" s="307" t="s">
        <v>886</v>
      </c>
      <c r="P326" s="307" t="s">
        <v>879</v>
      </c>
      <c r="Q326" s="307" t="s">
        <v>879</v>
      </c>
      <c r="R326" s="307" t="s">
        <v>386</v>
      </c>
      <c r="S326" s="77" t="s">
        <v>270</v>
      </c>
      <c r="T326" s="77" t="s">
        <v>103</v>
      </c>
      <c r="U326" s="308">
        <v>46049</v>
      </c>
      <c r="V326" s="308">
        <v>46049</v>
      </c>
      <c r="W326" s="109" t="s">
        <v>1304</v>
      </c>
    </row>
    <row r="327" spans="1:46" s="19" customFormat="1" ht="14.45">
      <c r="A327" s="19" t="s">
        <v>47</v>
      </c>
      <c r="B327" s="19" t="s">
        <v>520</v>
      </c>
      <c r="C327" s="19" t="str">
        <f>IF(ISBLANK(B327),"",_xlfn.XLOOKUP(B327,Recruiter!A:A,Recruiter!B:B))</f>
        <v>Narthana</v>
      </c>
      <c r="D327" s="19" t="str">
        <f>IF(ISBLANK(A327),"",_xlfn.XLOOKUP(A327,'Requirement Overview'!C:C,'Requirement Overview'!E:E))</f>
        <v>Talme</v>
      </c>
      <c r="E327" s="19" t="str">
        <f>IF(ISBLANK(A327),"",_xlfn.XLOOKUP(A327,'Requirement Overview'!C:C,'Requirement Overview'!H:H))</f>
        <v>IT</v>
      </c>
      <c r="F327" s="19" t="str">
        <f>IF(ISBLANK(A327),"",_xlfn.XLOOKUP(A327,'Requirement Overview'!C:C,'Requirement Overview'!I:I))</f>
        <v>Senior IAM Operation Engineer</v>
      </c>
      <c r="G327" s="59" t="str">
        <f>IF(ISBLANK(A327),"",_xlfn.XLOOKUP(A327,'Requirement Overview'!C:C,'Requirement Overview'!G:G))</f>
        <v>Thoughtfocus</v>
      </c>
      <c r="H327" s="93" t="s">
        <v>1596</v>
      </c>
      <c r="I327" s="309" t="s">
        <v>262</v>
      </c>
      <c r="J327" s="310" t="s">
        <v>1597</v>
      </c>
      <c r="K327" s="311">
        <v>9818093201</v>
      </c>
      <c r="L327" s="312" t="s">
        <v>305</v>
      </c>
      <c r="M327" s="80" t="s">
        <v>1598</v>
      </c>
      <c r="N327" s="313" t="s">
        <v>415</v>
      </c>
      <c r="O327" s="80" t="s">
        <v>548</v>
      </c>
      <c r="P327" s="80" t="s">
        <v>806</v>
      </c>
      <c r="Q327" s="80" t="s">
        <v>1557</v>
      </c>
      <c r="R327" s="80" t="s">
        <v>450</v>
      </c>
      <c r="S327" s="80" t="s">
        <v>270</v>
      </c>
      <c r="T327" s="80" t="s">
        <v>103</v>
      </c>
      <c r="U327" s="314">
        <v>46049</v>
      </c>
      <c r="V327" s="314">
        <v>46049</v>
      </c>
      <c r="W327" s="109" t="s">
        <v>1304</v>
      </c>
    </row>
    <row r="328" spans="1:46" s="19" customFormat="1" ht="14.45">
      <c r="A328" s="19" t="s">
        <v>110</v>
      </c>
      <c r="B328" s="19" t="s">
        <v>520</v>
      </c>
      <c r="C328" s="19" t="str">
        <f>IF(ISBLANK(B328),"",_xlfn.XLOOKUP(B328,Recruiter!A:A,Recruiter!B:B))</f>
        <v>Narthana</v>
      </c>
      <c r="D328" s="19" t="str">
        <f>IF(ISBLANK(A328),"",_xlfn.XLOOKUP(A328,'Requirement Overview'!C:C,'Requirement Overview'!E:E))</f>
        <v>Talme</v>
      </c>
      <c r="E328" s="19" t="str">
        <f>IF(ISBLANK(A328),"",_xlfn.XLOOKUP(A328,'Requirement Overview'!C:C,'Requirement Overview'!H:H))</f>
        <v>IT</v>
      </c>
      <c r="F328" s="19" t="str">
        <f>IF(ISBLANK(A328),"",_xlfn.XLOOKUP(A328,'Requirement Overview'!C:C,'Requirement Overview'!I:I))</f>
        <v>Technical Lead - Mobile Development</v>
      </c>
      <c r="G328" s="59" t="str">
        <f>IF(ISBLANK(A328),"",_xlfn.XLOOKUP(A328,'Requirement Overview'!C:C,'Requirement Overview'!G:G))</f>
        <v>Semnox Solutions</v>
      </c>
      <c r="H328" s="315" t="s">
        <v>1599</v>
      </c>
      <c r="I328" s="316" t="s">
        <v>1600</v>
      </c>
      <c r="J328" s="317" t="s">
        <v>1601</v>
      </c>
      <c r="K328" s="315">
        <v>9738950886</v>
      </c>
      <c r="L328" s="316" t="s">
        <v>311</v>
      </c>
      <c r="M328" s="315" t="s">
        <v>1598</v>
      </c>
      <c r="N328" s="92" t="s">
        <v>1602</v>
      </c>
      <c r="O328" s="315" t="s">
        <v>429</v>
      </c>
      <c r="P328" s="315" t="s">
        <v>1183</v>
      </c>
      <c r="Q328" s="315" t="s">
        <v>1183</v>
      </c>
      <c r="R328" s="315" t="s">
        <v>589</v>
      </c>
      <c r="S328" s="19" t="s">
        <v>470</v>
      </c>
      <c r="T328" s="19" t="s">
        <v>103</v>
      </c>
      <c r="U328" s="31">
        <v>46049</v>
      </c>
      <c r="V328" s="31">
        <v>46049</v>
      </c>
    </row>
    <row r="329" spans="1:46" s="19" customFormat="1" ht="14.45">
      <c r="A329" s="19" t="s">
        <v>110</v>
      </c>
      <c r="B329" s="19" t="s">
        <v>520</v>
      </c>
      <c r="C329" s="19" t="str">
        <f>IF(ISBLANK(B329),"",_xlfn.XLOOKUP(B329,Recruiter!A:A,Recruiter!B:B))</f>
        <v>Narthana</v>
      </c>
      <c r="D329" s="19" t="str">
        <f>IF(ISBLANK(A329),"",_xlfn.XLOOKUP(A329,'Requirement Overview'!C:C,'Requirement Overview'!E:E))</f>
        <v>Talme</v>
      </c>
      <c r="E329" s="19" t="str">
        <f>IF(ISBLANK(A329),"",_xlfn.XLOOKUP(A329,'Requirement Overview'!C:C,'Requirement Overview'!H:H))</f>
        <v>IT</v>
      </c>
      <c r="F329" s="19" t="str">
        <f>IF(ISBLANK(A329),"",_xlfn.XLOOKUP(A329,'Requirement Overview'!C:C,'Requirement Overview'!I:I))</f>
        <v>Technical Lead - Mobile Development</v>
      </c>
      <c r="G329" s="59" t="str">
        <f>IF(ISBLANK(A329),"",_xlfn.XLOOKUP(A329,'Requirement Overview'!C:C,'Requirement Overview'!G:G))</f>
        <v>Semnox Solutions</v>
      </c>
      <c r="H329" s="315" t="s">
        <v>1603</v>
      </c>
      <c r="I329" s="316" t="s">
        <v>1604</v>
      </c>
      <c r="J329" s="317" t="s">
        <v>1605</v>
      </c>
      <c r="K329" s="315">
        <v>9600709300</v>
      </c>
      <c r="L329" s="316" t="s">
        <v>1606</v>
      </c>
      <c r="M329" s="315" t="s">
        <v>478</v>
      </c>
      <c r="N329" s="92" t="s">
        <v>1607</v>
      </c>
      <c r="O329" s="315" t="s">
        <v>1608</v>
      </c>
      <c r="P329" s="315" t="s">
        <v>1609</v>
      </c>
      <c r="Q329" s="315" t="s">
        <v>1183</v>
      </c>
      <c r="R329" s="315" t="s">
        <v>1145</v>
      </c>
      <c r="S329" s="19" t="s">
        <v>470</v>
      </c>
      <c r="T329" s="19" t="s">
        <v>103</v>
      </c>
      <c r="U329" s="31">
        <v>46049</v>
      </c>
      <c r="V329" s="31">
        <v>46049</v>
      </c>
    </row>
    <row r="330" spans="1:46" s="321" customFormat="1" ht="14.45">
      <c r="A330" s="19" t="s">
        <v>35</v>
      </c>
      <c r="B330" s="19" t="s">
        <v>520</v>
      </c>
      <c r="C330" s="19" t="str">
        <f>IF(ISBLANK(B330),"",_xlfn.XLOOKUP(B330,Recruiter!A:A,Recruiter!B:B))</f>
        <v>Narthana</v>
      </c>
      <c r="D330" s="19" t="str">
        <f>IF(ISBLANK(A330),"",_xlfn.XLOOKUP(A330,'Requirement Overview'!C:C,'Requirement Overview'!E:E))</f>
        <v>Talme</v>
      </c>
      <c r="E330" s="19" t="str">
        <f>IF(ISBLANK(A330),"",_xlfn.XLOOKUP(A330,'Requirement Overview'!C:C,'Requirement Overview'!H:H))</f>
        <v>IT</v>
      </c>
      <c r="F330" s="19" t="str">
        <f>IF(ISBLANK(A330),"",_xlfn.XLOOKUP(A330,'Requirement Overview'!C:C,'Requirement Overview'!I:I))</f>
        <v>Windows system adminstrator</v>
      </c>
      <c r="G330" s="59" t="str">
        <f>IF(ISBLANK(A330),"",_xlfn.XLOOKUP(A330,'Requirement Overview'!C:C,'Requirement Overview'!G:G))</f>
        <v>EMIDS</v>
      </c>
      <c r="H330" s="92" t="s">
        <v>1610</v>
      </c>
      <c r="I330" s="177" t="s">
        <v>1611</v>
      </c>
      <c r="J330" s="199" t="s">
        <v>1612</v>
      </c>
      <c r="K330" s="92">
        <v>7317563866</v>
      </c>
      <c r="L330" s="177" t="s">
        <v>290</v>
      </c>
      <c r="M330" s="92" t="s">
        <v>734</v>
      </c>
      <c r="N330" s="92" t="s">
        <v>1613</v>
      </c>
      <c r="O330" s="19" t="s">
        <v>730</v>
      </c>
      <c r="P330" s="92" t="s">
        <v>1055</v>
      </c>
      <c r="Q330" s="92" t="s">
        <v>806</v>
      </c>
      <c r="R330" s="19" t="s">
        <v>429</v>
      </c>
      <c r="S330" s="19" t="s">
        <v>470</v>
      </c>
      <c r="T330" s="19" t="s">
        <v>103</v>
      </c>
      <c r="U330" s="55">
        <v>46050</v>
      </c>
      <c r="V330" s="55">
        <v>46050</v>
      </c>
      <c r="W330" s="19"/>
      <c r="X330" s="19"/>
      <c r="Y330" s="19"/>
      <c r="Z330" s="19"/>
      <c r="AA330" s="19"/>
      <c r="AB330" s="19"/>
      <c r="AC330" s="19"/>
      <c r="AD330" s="19"/>
    </row>
    <row r="331" spans="1:46" s="321" customFormat="1" ht="14.45">
      <c r="A331" s="19" t="s">
        <v>35</v>
      </c>
      <c r="B331" s="19" t="s">
        <v>520</v>
      </c>
      <c r="C331" s="19" t="str">
        <f>IF(ISBLANK(B331),"",_xlfn.XLOOKUP(B331,Recruiter!A:A,Recruiter!B:B))</f>
        <v>Narthana</v>
      </c>
      <c r="D331" s="19" t="str">
        <f>IF(ISBLANK(A331),"",_xlfn.XLOOKUP(A331,'Requirement Overview'!C:C,'Requirement Overview'!E:E))</f>
        <v>Talme</v>
      </c>
      <c r="E331" s="19" t="str">
        <f>IF(ISBLANK(A331),"",_xlfn.XLOOKUP(A331,'Requirement Overview'!C:C,'Requirement Overview'!H:H))</f>
        <v>IT</v>
      </c>
      <c r="F331" s="19" t="str">
        <f>IF(ISBLANK(A331),"",_xlfn.XLOOKUP(A331,'Requirement Overview'!C:C,'Requirement Overview'!I:I))</f>
        <v>Windows system adminstrator</v>
      </c>
      <c r="G331" s="59" t="str">
        <f>IF(ISBLANK(A331),"",_xlfn.XLOOKUP(A331,'Requirement Overview'!C:C,'Requirement Overview'!G:G))</f>
        <v>EMIDS</v>
      </c>
      <c r="H331" s="92" t="s">
        <v>1614</v>
      </c>
      <c r="I331" s="177" t="s">
        <v>1611</v>
      </c>
      <c r="J331" s="199" t="s">
        <v>1615</v>
      </c>
      <c r="K331" s="92">
        <v>7989523825</v>
      </c>
      <c r="L331" s="177" t="s">
        <v>305</v>
      </c>
      <c r="M331" s="92" t="s">
        <v>414</v>
      </c>
      <c r="N331" s="92" t="s">
        <v>1616</v>
      </c>
      <c r="O331" s="19" t="s">
        <v>1138</v>
      </c>
      <c r="P331" s="92" t="s">
        <v>879</v>
      </c>
      <c r="Q331" s="92" t="s">
        <v>879</v>
      </c>
      <c r="R331" s="19" t="s">
        <v>439</v>
      </c>
      <c r="S331" s="19" t="s">
        <v>470</v>
      </c>
      <c r="T331" s="19" t="s">
        <v>103</v>
      </c>
      <c r="U331" s="55">
        <v>46050</v>
      </c>
      <c r="V331" s="55">
        <v>46050</v>
      </c>
      <c r="W331" s="19"/>
      <c r="X331" s="19"/>
      <c r="Y331" s="19"/>
      <c r="Z331" s="19"/>
      <c r="AA331" s="19"/>
      <c r="AB331" s="19"/>
      <c r="AC331" s="19"/>
      <c r="AD331" s="19"/>
    </row>
    <row r="332" spans="1:46" s="321" customFormat="1" ht="14.45">
      <c r="A332" s="19" t="s">
        <v>35</v>
      </c>
      <c r="B332" s="19" t="s">
        <v>520</v>
      </c>
      <c r="C332" s="19" t="str">
        <f>IF(ISBLANK(B332),"",_xlfn.XLOOKUP(B332,Recruiter!A:A,Recruiter!B:B))</f>
        <v>Narthana</v>
      </c>
      <c r="D332" s="19" t="str">
        <f>IF(ISBLANK(A332),"",_xlfn.XLOOKUP(A332,'Requirement Overview'!C:C,'Requirement Overview'!E:E))</f>
        <v>Talme</v>
      </c>
      <c r="E332" s="19" t="str">
        <f>IF(ISBLANK(A332),"",_xlfn.XLOOKUP(A332,'Requirement Overview'!C:C,'Requirement Overview'!H:H))</f>
        <v>IT</v>
      </c>
      <c r="F332" s="19" t="str">
        <f>IF(ISBLANK(A332),"",_xlfn.XLOOKUP(A332,'Requirement Overview'!C:C,'Requirement Overview'!I:I))</f>
        <v>Windows system adminstrator</v>
      </c>
      <c r="G332" s="59" t="str">
        <f>IF(ISBLANK(A332),"",_xlfn.XLOOKUP(A332,'Requirement Overview'!C:C,'Requirement Overview'!G:G))</f>
        <v>EMIDS</v>
      </c>
      <c r="H332" s="92" t="s">
        <v>1617</v>
      </c>
      <c r="I332" s="177" t="s">
        <v>1618</v>
      </c>
      <c r="J332" s="199" t="s">
        <v>1619</v>
      </c>
      <c r="K332" s="92">
        <v>9676390716</v>
      </c>
      <c r="L332" s="177" t="s">
        <v>305</v>
      </c>
      <c r="M332" s="92" t="s">
        <v>399</v>
      </c>
      <c r="N332" s="92" t="s">
        <v>1620</v>
      </c>
      <c r="O332" s="19" t="s">
        <v>386</v>
      </c>
      <c r="P332" s="92" t="s">
        <v>879</v>
      </c>
      <c r="Q332" s="92" t="s">
        <v>879</v>
      </c>
      <c r="R332" s="19" t="s">
        <v>540</v>
      </c>
      <c r="S332" s="19" t="s">
        <v>360</v>
      </c>
      <c r="T332" s="19" t="s">
        <v>103</v>
      </c>
      <c r="U332" s="55">
        <v>46050</v>
      </c>
      <c r="V332" s="55">
        <v>46050</v>
      </c>
      <c r="W332" s="24"/>
      <c r="X332" s="31">
        <v>46071</v>
      </c>
      <c r="Y332" s="19" t="s">
        <v>362</v>
      </c>
      <c r="Z332" s="19"/>
      <c r="AA332" s="19"/>
      <c r="AB332" s="19"/>
      <c r="AC332" s="19"/>
      <c r="AD332" s="19"/>
    </row>
    <row r="333" spans="1:46" s="19" customFormat="1" ht="14.45">
      <c r="A333" s="19" t="s">
        <v>115</v>
      </c>
      <c r="B333" s="19" t="s">
        <v>520</v>
      </c>
      <c r="C333" s="19" t="str">
        <f>IF(ISBLANK(B333),"",_xlfn.XLOOKUP(B333,Recruiter!A:A,Recruiter!B:B))</f>
        <v>Narthana</v>
      </c>
      <c r="D333" s="19" t="str">
        <f>IF(ISBLANK(A333),"",_xlfn.XLOOKUP(A333,'Requirement Overview'!C:C,'Requirement Overview'!E:E))</f>
        <v>Talme</v>
      </c>
      <c r="E333" s="19" t="str">
        <f>IF(ISBLANK(A333),"",_xlfn.XLOOKUP(A333,'Requirement Overview'!C:C,'Requirement Overview'!H:H))</f>
        <v>IT</v>
      </c>
      <c r="F333" s="19" t="str">
        <f>IF(ISBLANK(A333),"",_xlfn.XLOOKUP(A333,'Requirement Overview'!C:C,'Requirement Overview'!I:I))</f>
        <v>Developer - Angular &amp; Node Js</v>
      </c>
      <c r="G333" s="59" t="str">
        <f>IF(ISBLANK(A333),"",_xlfn.XLOOKUP(A333,'Requirement Overview'!C:C,'Requirement Overview'!G:G))</f>
        <v>Viditha</v>
      </c>
      <c r="H333" s="315" t="s">
        <v>1621</v>
      </c>
      <c r="I333" s="316" t="s">
        <v>262</v>
      </c>
      <c r="J333" s="317" t="s">
        <v>1622</v>
      </c>
      <c r="K333" s="315">
        <v>7395869102</v>
      </c>
      <c r="L333" s="316" t="s">
        <v>305</v>
      </c>
      <c r="M333" s="315" t="s">
        <v>1284</v>
      </c>
      <c r="N333" s="92" t="s">
        <v>1623</v>
      </c>
      <c r="O333" s="315" t="s">
        <v>730</v>
      </c>
      <c r="P333" s="315" t="s">
        <v>1624</v>
      </c>
      <c r="Q333" s="315" t="s">
        <v>1183</v>
      </c>
      <c r="R333" s="315" t="s">
        <v>429</v>
      </c>
      <c r="S333" s="19" t="s">
        <v>470</v>
      </c>
      <c r="T333" s="19" t="s">
        <v>103</v>
      </c>
      <c r="U333" s="55">
        <v>46050</v>
      </c>
      <c r="V333" s="55">
        <v>46050</v>
      </c>
    </row>
    <row r="334" spans="1:46" s="19" customFormat="1" ht="14.45">
      <c r="A334" s="19" t="s">
        <v>115</v>
      </c>
      <c r="B334" s="19" t="s">
        <v>520</v>
      </c>
      <c r="C334" s="19" t="str">
        <f>IF(ISBLANK(B334),"",_xlfn.XLOOKUP(B334,Recruiter!A:A,Recruiter!B:B))</f>
        <v>Narthana</v>
      </c>
      <c r="D334" s="19" t="str">
        <f>IF(ISBLANK(A334),"",_xlfn.XLOOKUP(A334,'Requirement Overview'!C:C,'Requirement Overview'!E:E))</f>
        <v>Talme</v>
      </c>
      <c r="E334" s="19" t="str">
        <f>IF(ISBLANK(A334),"",_xlfn.XLOOKUP(A334,'Requirement Overview'!C:C,'Requirement Overview'!H:H))</f>
        <v>IT</v>
      </c>
      <c r="F334" s="19" t="str">
        <f>IF(ISBLANK(A334),"",_xlfn.XLOOKUP(A334,'Requirement Overview'!C:C,'Requirement Overview'!I:I))</f>
        <v>Developer - Angular &amp; Node Js</v>
      </c>
      <c r="G334" s="59" t="str">
        <f>IF(ISBLANK(A334),"",_xlfn.XLOOKUP(A334,'Requirement Overview'!C:C,'Requirement Overview'!G:G))</f>
        <v>Viditha</v>
      </c>
      <c r="H334" s="315" t="s">
        <v>1625</v>
      </c>
      <c r="I334" s="316" t="s">
        <v>1626</v>
      </c>
      <c r="J334" s="317" t="s">
        <v>1627</v>
      </c>
      <c r="K334" s="315">
        <v>9526772140</v>
      </c>
      <c r="L334" s="316" t="s">
        <v>378</v>
      </c>
      <c r="M334" s="315" t="s">
        <v>1284</v>
      </c>
      <c r="N334" s="92" t="s">
        <v>1628</v>
      </c>
      <c r="O334" s="315" t="s">
        <v>1629</v>
      </c>
      <c r="P334" s="315" t="s">
        <v>1303</v>
      </c>
      <c r="Q334" s="315" t="s">
        <v>1183</v>
      </c>
      <c r="R334" s="315" t="s">
        <v>368</v>
      </c>
      <c r="S334" s="19" t="s">
        <v>470</v>
      </c>
      <c r="T334" s="19" t="s">
        <v>103</v>
      </c>
      <c r="U334" s="55">
        <v>46050</v>
      </c>
      <c r="V334" s="55">
        <v>46050</v>
      </c>
    </row>
    <row r="335" spans="1:46" s="19" customFormat="1" ht="14.45">
      <c r="A335" s="19" t="s">
        <v>115</v>
      </c>
      <c r="B335" s="19" t="s">
        <v>520</v>
      </c>
      <c r="C335" s="19" t="str">
        <f>IF(ISBLANK(B335),"",_xlfn.XLOOKUP(B335,Recruiter!A:A,Recruiter!B:B))</f>
        <v>Narthana</v>
      </c>
      <c r="D335" s="19" t="str">
        <f>IF(ISBLANK(A335),"",_xlfn.XLOOKUP(A335,'Requirement Overview'!C:C,'Requirement Overview'!E:E))</f>
        <v>Talme</v>
      </c>
      <c r="E335" s="19" t="str">
        <f>IF(ISBLANK(A335),"",_xlfn.XLOOKUP(A335,'Requirement Overview'!C:C,'Requirement Overview'!H:H))</f>
        <v>IT</v>
      </c>
      <c r="F335" s="19" t="str">
        <f>IF(ISBLANK(A335),"",_xlfn.XLOOKUP(A335,'Requirement Overview'!C:C,'Requirement Overview'!I:I))</f>
        <v>Developer - Angular &amp; Node Js</v>
      </c>
      <c r="G335" s="59" t="str">
        <f>IF(ISBLANK(A335),"",_xlfn.XLOOKUP(A335,'Requirement Overview'!C:C,'Requirement Overview'!G:G))</f>
        <v>Viditha</v>
      </c>
      <c r="H335" s="91" t="s">
        <v>1630</v>
      </c>
      <c r="I335" s="178" t="s">
        <v>262</v>
      </c>
      <c r="J335" s="200" t="s">
        <v>1631</v>
      </c>
      <c r="K335" s="91">
        <v>9785399876</v>
      </c>
      <c r="L335" s="178" t="s">
        <v>305</v>
      </c>
      <c r="M335" s="91" t="s">
        <v>306</v>
      </c>
      <c r="N335" s="91" t="s">
        <v>1632</v>
      </c>
      <c r="O335" s="91" t="s">
        <v>654</v>
      </c>
      <c r="P335" s="91" t="s">
        <v>806</v>
      </c>
      <c r="Q335" s="91" t="s">
        <v>1183</v>
      </c>
      <c r="R335" s="91" t="s">
        <v>429</v>
      </c>
      <c r="S335" s="19" t="s">
        <v>470</v>
      </c>
      <c r="T335" s="19" t="s">
        <v>103</v>
      </c>
      <c r="U335" s="55">
        <v>46050</v>
      </c>
      <c r="V335" s="55">
        <v>46050</v>
      </c>
      <c r="AJ335" s="84"/>
      <c r="AK335" s="84"/>
      <c r="AL335" s="84"/>
      <c r="AM335" s="84"/>
      <c r="AN335" s="84"/>
      <c r="AO335" s="84"/>
      <c r="AP335" s="84"/>
      <c r="AQ335" s="84"/>
      <c r="AR335" s="84"/>
      <c r="AS335" s="84"/>
      <c r="AT335" s="84"/>
    </row>
    <row r="336" spans="1:46" s="47" customFormat="1" ht="14.45">
      <c r="A336" s="24" t="s">
        <v>118</v>
      </c>
      <c r="B336" s="24" t="s">
        <v>340</v>
      </c>
      <c r="C336" s="19" t="str">
        <f>IF(ISBLANK(B336),"",_xlfn.XLOOKUP(B336,Recruiter!A:A,Recruiter!B:B))</f>
        <v>Harshitha</v>
      </c>
      <c r="D336" s="19" t="s">
        <v>25</v>
      </c>
      <c r="E336" s="51" t="s">
        <v>27</v>
      </c>
      <c r="F336" s="24" t="str">
        <f>IF(ISBLANK(A336),"",_xlfn.XLOOKUP(A336,'Requirement Overview'!C:C,'Requirement Overview'!I:I))</f>
        <v>Java Lead Analyst</v>
      </c>
      <c r="G336" s="58" t="str">
        <f>IF(ISBLANK(A336),"",_xlfn.XLOOKUP(A336,'Requirement Overview'!C:C,'Requirement Overview'!G:G))</f>
        <v>Thoughtfocus</v>
      </c>
      <c r="H336" s="91" t="s">
        <v>1633</v>
      </c>
      <c r="I336" s="61" t="s">
        <v>519</v>
      </c>
      <c r="J336" s="200" t="s">
        <v>1634</v>
      </c>
      <c r="K336" s="236">
        <v>8309384692</v>
      </c>
      <c r="L336" s="61" t="s">
        <v>290</v>
      </c>
      <c r="M336" s="3" t="s">
        <v>395</v>
      </c>
      <c r="N336" s="91" t="s">
        <v>1635</v>
      </c>
      <c r="O336" s="3" t="s">
        <v>1145</v>
      </c>
      <c r="P336" s="3" t="s">
        <v>268</v>
      </c>
      <c r="Q336" s="3" t="s">
        <v>1557</v>
      </c>
      <c r="R336" s="3" t="s">
        <v>1636</v>
      </c>
      <c r="S336" s="24" t="s">
        <v>270</v>
      </c>
      <c r="T336" s="24" t="s">
        <v>103</v>
      </c>
      <c r="U336" s="55">
        <v>46050</v>
      </c>
      <c r="V336" s="55">
        <v>46050</v>
      </c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83"/>
      <c r="AK336" s="83"/>
      <c r="AL336" s="84"/>
      <c r="AM336" s="84"/>
      <c r="AN336" s="83"/>
      <c r="AO336" s="83"/>
      <c r="AP336" s="83"/>
      <c r="AQ336" s="83"/>
      <c r="AR336" s="83"/>
      <c r="AS336" s="84"/>
      <c r="AT336" s="90"/>
    </row>
    <row r="337" spans="1:46" ht="14.45">
      <c r="A337" s="24" t="s">
        <v>118</v>
      </c>
      <c r="B337" s="24" t="s">
        <v>340</v>
      </c>
      <c r="C337" s="19" t="str">
        <f>IF(ISBLANK(B337),"",_xlfn.XLOOKUP(B337,Recruiter!A:A,Recruiter!B:B))</f>
        <v>Harshitha</v>
      </c>
      <c r="D337" s="19" t="str">
        <f>IF(ISBLANK(A337),"",_xlfn.XLOOKUP(A337,'Requirement Overview'!C:C,'Requirement Overview'!E:E))</f>
        <v>Talme</v>
      </c>
      <c r="E337" s="24" t="s">
        <v>27</v>
      </c>
      <c r="F337" s="24" t="str">
        <f>IF(ISBLANK(A337),"",_xlfn.XLOOKUP(A337,'Requirement Overview'!C:C,'Requirement Overview'!I:I))</f>
        <v>Java Lead Analyst</v>
      </c>
      <c r="G337" s="58" t="str">
        <f>IF(ISBLANK(A337),"",_xlfn.XLOOKUP(A337,'Requirement Overview'!C:C,'Requirement Overview'!G:G))</f>
        <v>Thoughtfocus</v>
      </c>
      <c r="H337" s="91" t="s">
        <v>1637</v>
      </c>
      <c r="I337" s="61" t="s">
        <v>519</v>
      </c>
      <c r="J337" s="200" t="s">
        <v>1638</v>
      </c>
      <c r="K337" s="236">
        <v>8123068950</v>
      </c>
      <c r="L337" s="61" t="s">
        <v>305</v>
      </c>
      <c r="M337" s="3" t="s">
        <v>1639</v>
      </c>
      <c r="N337" s="91" t="s">
        <v>1640</v>
      </c>
      <c r="O337" s="3" t="s">
        <v>368</v>
      </c>
      <c r="P337" s="3" t="s">
        <v>268</v>
      </c>
      <c r="Q337" s="3" t="s">
        <v>1557</v>
      </c>
      <c r="R337" s="3" t="s">
        <v>589</v>
      </c>
      <c r="S337" s="24" t="s">
        <v>270</v>
      </c>
      <c r="T337" s="24" t="s">
        <v>103</v>
      </c>
      <c r="U337" s="55">
        <v>46050</v>
      </c>
      <c r="V337" s="55">
        <v>46050</v>
      </c>
      <c r="AJ337" s="83"/>
      <c r="AK337" s="83"/>
      <c r="AL337" s="84"/>
      <c r="AM337" s="84"/>
      <c r="AN337" s="83"/>
      <c r="AO337" s="83"/>
      <c r="AP337" s="83"/>
      <c r="AQ337" s="83"/>
      <c r="AR337" s="83"/>
      <c r="AS337" s="84"/>
    </row>
    <row r="338" spans="1:46" ht="14.45">
      <c r="A338" s="24" t="s">
        <v>118</v>
      </c>
      <c r="B338" s="24" t="s">
        <v>340</v>
      </c>
      <c r="C338" s="19" t="str">
        <f>IF(ISBLANK(B338),"",_xlfn.XLOOKUP(B338,Recruiter!A:A,Recruiter!B:B))</f>
        <v>Harshitha</v>
      </c>
      <c r="D338" s="19" t="str">
        <f>IF(ISBLANK(A338),"",_xlfn.XLOOKUP(A338,'Requirement Overview'!C:C,'Requirement Overview'!E:E))</f>
        <v>Talme</v>
      </c>
      <c r="E338" s="24" t="str">
        <f>IF(ISBLANK(A338),"",_xlfn.XLOOKUP(A338,'Requirement Overview'!C:C,'Requirement Overview'!H:H))</f>
        <v>IT</v>
      </c>
      <c r="F338" s="24" t="str">
        <f>IF(ISBLANK(A338),"",_xlfn.XLOOKUP(A338,'Requirement Overview'!C:C,'Requirement Overview'!I:I))</f>
        <v>Java Lead Analyst</v>
      </c>
      <c r="G338" s="58" t="str">
        <f>IF(ISBLANK(A338),"",_xlfn.XLOOKUP(A338,'Requirement Overview'!C:C,'Requirement Overview'!G:G))</f>
        <v>Thoughtfocus</v>
      </c>
      <c r="H338" s="91" t="s">
        <v>1641</v>
      </c>
      <c r="I338" s="61" t="s">
        <v>519</v>
      </c>
      <c r="J338" s="200" t="s">
        <v>1642</v>
      </c>
      <c r="K338" s="236">
        <v>7828331359</v>
      </c>
      <c r="L338" s="61" t="s">
        <v>305</v>
      </c>
      <c r="M338" s="3" t="s">
        <v>365</v>
      </c>
      <c r="N338" s="91" t="s">
        <v>1643</v>
      </c>
      <c r="O338" s="3" t="s">
        <v>1644</v>
      </c>
      <c r="P338" s="3" t="s">
        <v>1645</v>
      </c>
      <c r="Q338" s="3" t="s">
        <v>1557</v>
      </c>
      <c r="R338" s="3" t="s">
        <v>1636</v>
      </c>
      <c r="S338" s="24" t="s">
        <v>270</v>
      </c>
      <c r="T338" s="24" t="s">
        <v>103</v>
      </c>
      <c r="U338" s="55">
        <v>46050</v>
      </c>
      <c r="V338" s="55">
        <v>46050</v>
      </c>
      <c r="AJ338" s="83"/>
      <c r="AK338" s="83"/>
      <c r="AL338" s="84"/>
      <c r="AM338" s="84"/>
      <c r="AN338" s="83"/>
      <c r="AO338" s="83"/>
      <c r="AP338" s="83"/>
      <c r="AQ338" s="83"/>
      <c r="AR338" s="83"/>
      <c r="AS338" s="84"/>
      <c r="AT338" s="83"/>
    </row>
    <row r="339" spans="1:46" ht="14.45">
      <c r="A339" s="51" t="s">
        <v>118</v>
      </c>
      <c r="B339" s="51" t="s">
        <v>340</v>
      </c>
      <c r="C339" s="73" t="str">
        <f>IF(ISBLANK(B339),"",_xlfn.XLOOKUP(B339,Recruiter!A:A,Recruiter!B:B))</f>
        <v>Harshitha</v>
      </c>
      <c r="D339" s="73" t="str">
        <f>IF(ISBLANK(A339),"",_xlfn.XLOOKUP(A339,'Requirement Overview'!C:C,'Requirement Overview'!E:E))</f>
        <v>Talme</v>
      </c>
      <c r="E339" s="51" t="str">
        <f>IF(ISBLANK(A339),"",_xlfn.XLOOKUP(A339,'Requirement Overview'!C:C,'Requirement Overview'!H:H))</f>
        <v>IT</v>
      </c>
      <c r="F339" s="51" t="str">
        <f>IF(ISBLANK(A339),"",_xlfn.XLOOKUP(A339,'Requirement Overview'!C:C,'Requirement Overview'!I:I))</f>
        <v>Java Lead Analyst</v>
      </c>
      <c r="G339" s="62" t="str">
        <f>IF(ISBLANK(A339),"",_xlfn.XLOOKUP(A339,'Requirement Overview'!C:C,'Requirement Overview'!G:G))</f>
        <v>Thoughtfocus</v>
      </c>
      <c r="H339" s="110" t="s">
        <v>1646</v>
      </c>
      <c r="I339" s="63" t="s">
        <v>1647</v>
      </c>
      <c r="J339" s="536" t="s">
        <v>1648</v>
      </c>
      <c r="K339" s="537" t="s">
        <v>1649</v>
      </c>
      <c r="L339" s="63" t="s">
        <v>305</v>
      </c>
      <c r="M339" s="50" t="s">
        <v>1650</v>
      </c>
      <c r="N339" s="110" t="s">
        <v>1651</v>
      </c>
      <c r="O339" s="50" t="s">
        <v>1652</v>
      </c>
      <c r="P339" s="50" t="s">
        <v>569</v>
      </c>
      <c r="Q339" s="50" t="s">
        <v>1557</v>
      </c>
      <c r="R339" s="50" t="s">
        <v>1653</v>
      </c>
      <c r="S339" s="51" t="s">
        <v>270</v>
      </c>
      <c r="T339" s="51" t="s">
        <v>103</v>
      </c>
      <c r="U339" s="106">
        <v>46050</v>
      </c>
      <c r="V339" s="106">
        <v>46050</v>
      </c>
      <c r="W339" s="51"/>
      <c r="X339" s="51"/>
      <c r="Y339" s="51"/>
      <c r="Z339" s="51"/>
      <c r="AA339" s="51"/>
      <c r="AB339" s="51"/>
      <c r="AC339" s="51"/>
      <c r="AD339" s="51"/>
      <c r="AJ339" s="83"/>
      <c r="AK339" s="83"/>
      <c r="AL339" s="84"/>
      <c r="AM339" s="84"/>
      <c r="AN339" s="83"/>
      <c r="AO339" s="83"/>
      <c r="AP339" s="83"/>
      <c r="AQ339" s="83"/>
      <c r="AR339" s="83"/>
      <c r="AS339" s="84"/>
    </row>
    <row r="340" spans="1:46" ht="15.6">
      <c r="A340" s="702" t="s">
        <v>107</v>
      </c>
      <c r="B340" s="702" t="s">
        <v>258</v>
      </c>
      <c r="C340" s="476" t="str">
        <f>IF(ISBLANK(B340),"",_xlfn.XLOOKUP(B340,Recruiter!A:A,Recruiter!B:B))</f>
        <v>Bhoomika</v>
      </c>
      <c r="D340" s="476" t="str">
        <f>IF(ISBLANK(A340),"",_xlfn.XLOOKUP(A340,'Requirement Overview'!C:C,'Requirement Overview'!E:E))</f>
        <v>Talme</v>
      </c>
      <c r="E340" s="702" t="str">
        <f>IF(ISBLANK(A340),"",_xlfn.XLOOKUP(A340,'Requirement Overview'!C:C,'Requirement Overview'!H:H))</f>
        <v>IT</v>
      </c>
      <c r="F340" s="702" t="str">
        <f>IF(ISBLANK(A340),"",_xlfn.XLOOKUP(A340,'Requirement Overview'!C:C,'Requirement Overview'!I:I))</f>
        <v>.Net Backend Developer</v>
      </c>
      <c r="G340" s="702" t="str">
        <f>IF(ISBLANK(A340),"",_xlfn.XLOOKUP(A340,'Requirement Overview'!C:C,'Requirement Overview'!G:G))</f>
        <v>Semnox Solutions</v>
      </c>
      <c r="H340" s="473" t="s">
        <v>1654</v>
      </c>
      <c r="I340" s="702" t="s">
        <v>519</v>
      </c>
      <c r="J340" s="478" t="s">
        <v>1655</v>
      </c>
      <c r="K340" s="702">
        <v>7975804100</v>
      </c>
      <c r="L340" s="702" t="s">
        <v>311</v>
      </c>
      <c r="M340" s="702" t="s">
        <v>379</v>
      </c>
      <c r="N340" s="496" t="s">
        <v>1656</v>
      </c>
      <c r="O340" s="702" t="s">
        <v>1657</v>
      </c>
      <c r="P340" s="702" t="s">
        <v>294</v>
      </c>
      <c r="Q340" s="702" t="s">
        <v>294</v>
      </c>
      <c r="R340" s="702" t="s">
        <v>1658</v>
      </c>
      <c r="S340" s="702" t="s">
        <v>270</v>
      </c>
      <c r="T340" s="702" t="s">
        <v>271</v>
      </c>
      <c r="U340" s="703">
        <v>46045</v>
      </c>
      <c r="V340" s="703">
        <v>46045</v>
      </c>
      <c r="W340" s="702"/>
      <c r="X340" s="702"/>
      <c r="Y340" s="702"/>
      <c r="Z340" s="702"/>
      <c r="AA340" s="702"/>
      <c r="AB340" s="702"/>
      <c r="AC340" s="702"/>
      <c r="AD340" s="702"/>
      <c r="AE340" s="108"/>
      <c r="AF340" s="51"/>
      <c r="AG340" s="51"/>
      <c r="AH340" s="51"/>
      <c r="AI340" s="51"/>
      <c r="AJ340" s="51"/>
      <c r="AK340" s="51"/>
      <c r="AL340" s="73"/>
      <c r="AM340" s="73"/>
      <c r="AN340" s="51"/>
      <c r="AO340" s="51"/>
      <c r="AT340" s="83"/>
    </row>
    <row r="341" spans="1:46" ht="14.45">
      <c r="A341" s="702" t="s">
        <v>107</v>
      </c>
      <c r="B341" s="702" t="s">
        <v>258</v>
      </c>
      <c r="C341" s="476" t="str">
        <f>IF(ISBLANK(B341),"",_xlfn.XLOOKUP(B341,Recruiter!A:A,Recruiter!B:B))</f>
        <v>Bhoomika</v>
      </c>
      <c r="D341" s="476" t="str">
        <f>IF(ISBLANK(A341),"",_xlfn.XLOOKUP(A341,'Requirement Overview'!C:C,'Requirement Overview'!E:E))</f>
        <v>Talme</v>
      </c>
      <c r="E341" s="702" t="str">
        <f>IF(ISBLANK(A341),"",_xlfn.XLOOKUP(A341,'Requirement Overview'!C:C,'Requirement Overview'!H:H))</f>
        <v>IT</v>
      </c>
      <c r="F341" s="702" t="str">
        <f>IF(ISBLANK(A341),"",_xlfn.XLOOKUP(A341,'Requirement Overview'!C:C,'Requirement Overview'!I:I))</f>
        <v>.Net Backend Developer</v>
      </c>
      <c r="G341" s="702" t="str">
        <f>IF(ISBLANK(A341),"",_xlfn.XLOOKUP(A341,'Requirement Overview'!C:C,'Requirement Overview'!G:G))</f>
        <v>Semnox Solutions</v>
      </c>
      <c r="H341" s="470" t="s">
        <v>1659</v>
      </c>
      <c r="I341" s="702" t="s">
        <v>316</v>
      </c>
      <c r="J341" s="478" t="s">
        <v>1660</v>
      </c>
      <c r="K341" s="481">
        <v>9642633714</v>
      </c>
      <c r="L341" s="702" t="s">
        <v>378</v>
      </c>
      <c r="M341" s="702" t="s">
        <v>379</v>
      </c>
      <c r="N341" s="496" t="s">
        <v>415</v>
      </c>
      <c r="O341" s="702" t="s">
        <v>439</v>
      </c>
      <c r="P341" s="702" t="s">
        <v>294</v>
      </c>
      <c r="Q341" s="702" t="s">
        <v>294</v>
      </c>
      <c r="R341" s="702" t="s">
        <v>1302</v>
      </c>
      <c r="S341" s="702" t="s">
        <v>270</v>
      </c>
      <c r="T341" s="702" t="s">
        <v>271</v>
      </c>
      <c r="U341" s="703">
        <v>46050</v>
      </c>
      <c r="V341" s="703">
        <v>46050</v>
      </c>
      <c r="W341" s="702"/>
      <c r="X341" s="702"/>
      <c r="Y341" s="702"/>
      <c r="Z341" s="702"/>
      <c r="AA341" s="702"/>
      <c r="AB341" s="702"/>
      <c r="AC341" s="702"/>
      <c r="AD341" s="702"/>
      <c r="AE341" s="108"/>
      <c r="AF341" s="51"/>
      <c r="AG341" s="51"/>
      <c r="AH341" s="51"/>
      <c r="AI341" s="51"/>
      <c r="AJ341" s="87"/>
      <c r="AK341" s="87"/>
      <c r="AL341" s="88"/>
      <c r="AM341" s="88"/>
      <c r="AN341" s="87"/>
      <c r="AO341" s="87"/>
      <c r="AP341" s="83"/>
      <c r="AQ341" s="83"/>
      <c r="AR341" s="83"/>
      <c r="AS341" s="84"/>
    </row>
    <row r="342" spans="1:46" ht="16.149999999999999" thickBot="1">
      <c r="A342" s="49" t="s">
        <v>118</v>
      </c>
      <c r="B342" s="49" t="s">
        <v>520</v>
      </c>
      <c r="C342" s="78" t="s">
        <v>1661</v>
      </c>
      <c r="D342" s="78" t="str">
        <f>IF(ISBLANK(A342),"",_xlfn.XLOOKUP(A342,'Requirement Overview'!C:C,'Requirement Overview'!E:E))</f>
        <v>Talme</v>
      </c>
      <c r="E342" s="49" t="str">
        <f>IF(ISBLANK(A342),"",_xlfn.XLOOKUP(A342,'Requirement Overview'!C:C,'Requirement Overview'!H:H))</f>
        <v>IT</v>
      </c>
      <c r="F342" s="49" t="str">
        <f>IF(ISBLANK(A342),"",_xlfn.XLOOKUP(A342,'Requirement Overview'!C:C,'Requirement Overview'!I:I))</f>
        <v>Java Lead Analyst</v>
      </c>
      <c r="G342" s="338" t="str">
        <f>IF(ISBLANK(A342),"",_xlfn.XLOOKUP(A342,'Requirement Overview'!C:C,'Requirement Overview'!G:G))</f>
        <v>Thoughtfocus</v>
      </c>
      <c r="H342" s="598" t="s">
        <v>1662</v>
      </c>
      <c r="I342" s="111" t="s">
        <v>1383</v>
      </c>
      <c r="J342" s="214" t="s">
        <v>1663</v>
      </c>
      <c r="K342" s="598">
        <v>8806155817</v>
      </c>
      <c r="L342" s="584" t="s">
        <v>305</v>
      </c>
      <c r="M342" s="5" t="s">
        <v>1664</v>
      </c>
      <c r="N342" s="432" t="s">
        <v>1665</v>
      </c>
      <c r="O342" s="5" t="s">
        <v>541</v>
      </c>
      <c r="P342" s="5" t="s">
        <v>569</v>
      </c>
      <c r="Q342" s="5" t="s">
        <v>1557</v>
      </c>
      <c r="R342" s="5" t="s">
        <v>1666</v>
      </c>
      <c r="S342" s="49" t="s">
        <v>470</v>
      </c>
      <c r="T342" s="49" t="s">
        <v>103</v>
      </c>
      <c r="U342" s="128">
        <v>46052</v>
      </c>
      <c r="V342" s="128">
        <v>46052</v>
      </c>
      <c r="W342" s="49"/>
      <c r="X342" s="49"/>
      <c r="Y342" s="49"/>
      <c r="Z342" s="49"/>
      <c r="AA342" s="49"/>
      <c r="AB342" s="49"/>
      <c r="AC342" s="49"/>
      <c r="AD342" s="49"/>
      <c r="AE342" s="51"/>
      <c r="AF342" s="51"/>
      <c r="AG342" s="51"/>
      <c r="AH342" s="51"/>
      <c r="AI342" s="51"/>
      <c r="AJ342" s="87"/>
      <c r="AK342" s="87"/>
      <c r="AL342" s="88"/>
      <c r="AM342" s="88"/>
      <c r="AN342" s="87"/>
      <c r="AO342" s="87"/>
      <c r="AP342" s="83"/>
      <c r="AQ342" s="83"/>
      <c r="AR342" s="83"/>
      <c r="AS342" s="84"/>
      <c r="AT342" s="83"/>
    </row>
    <row r="343" spans="1:46" ht="15.6">
      <c r="A343" s="51" t="s">
        <v>118</v>
      </c>
      <c r="B343" s="51" t="s">
        <v>520</v>
      </c>
      <c r="C343" s="73" t="s">
        <v>1661</v>
      </c>
      <c r="D343" s="73" t="str">
        <f>IF(ISBLANK(A343),"",_xlfn.XLOOKUP(A343,'Requirement Overview'!C:C,'Requirement Overview'!E:E))</f>
        <v>Talme</v>
      </c>
      <c r="E343" s="51" t="str">
        <f>IF(ISBLANK(A343),"",_xlfn.XLOOKUP(A343,'Requirement Overview'!C:C,'Requirement Overview'!H:H))</f>
        <v>IT</v>
      </c>
      <c r="F343" s="51" t="str">
        <f>IF(ISBLANK(A343),"",_xlfn.XLOOKUP(A343,'Requirement Overview'!C:C,'Requirement Overview'!I:I))</f>
        <v>Java Lead Analyst</v>
      </c>
      <c r="G343" s="62" t="str">
        <f>IF(ISBLANK(A343),"",_xlfn.XLOOKUP(A343,'Requirement Overview'!C:C,'Requirement Overview'!G:G))</f>
        <v>Thoughtfocus</v>
      </c>
      <c r="H343" s="538" t="s">
        <v>1667</v>
      </c>
      <c r="I343" s="539" t="s">
        <v>618</v>
      </c>
      <c r="J343" s="540" t="s">
        <v>1668</v>
      </c>
      <c r="K343" s="538">
        <v>9022196400</v>
      </c>
      <c r="L343" s="63" t="s">
        <v>378</v>
      </c>
      <c r="M343" s="50" t="s">
        <v>414</v>
      </c>
      <c r="N343" s="110" t="s">
        <v>1669</v>
      </c>
      <c r="O343" s="50" t="s">
        <v>715</v>
      </c>
      <c r="P343" s="50" t="s">
        <v>1670</v>
      </c>
      <c r="Q343" s="50" t="s">
        <v>1557</v>
      </c>
      <c r="R343" s="50" t="s">
        <v>1671</v>
      </c>
      <c r="S343" s="51" t="s">
        <v>470</v>
      </c>
      <c r="T343" s="51" t="s">
        <v>103</v>
      </c>
      <c r="U343" s="89">
        <v>46052</v>
      </c>
      <c r="V343" s="89">
        <v>46052</v>
      </c>
      <c r="W343" s="51"/>
      <c r="X343" s="51"/>
      <c r="Y343" s="51"/>
      <c r="Z343" s="51"/>
      <c r="AA343" s="51"/>
      <c r="AB343" s="51"/>
      <c r="AC343" s="51"/>
      <c r="AD343" s="51"/>
      <c r="AE343" s="51"/>
      <c r="AF343" s="51"/>
      <c r="AG343" s="51"/>
      <c r="AH343" s="51"/>
      <c r="AI343" s="51"/>
      <c r="AJ343" s="51"/>
      <c r="AK343" s="51"/>
      <c r="AL343" s="73"/>
      <c r="AM343" s="73"/>
      <c r="AN343" s="51"/>
      <c r="AO343" s="51"/>
      <c r="AT343" s="83"/>
    </row>
    <row r="344" spans="1:46" s="99" customFormat="1" ht="14.45">
      <c r="A344" s="506" t="s">
        <v>115</v>
      </c>
      <c r="B344" s="709" t="s">
        <v>258</v>
      </c>
      <c r="C344" s="506" t="str">
        <f>IF(ISBLANK(B344),"",_xlfn.XLOOKUP(B344,Recruiter!A:A,Recruiter!B:B))</f>
        <v>Bhoomika</v>
      </c>
      <c r="D344" s="506" t="str">
        <f>IF(ISBLANK(A344),"",_xlfn.XLOOKUP(A344,'Requirement Overview'!C:C,'Requirement Overview'!E:E))</f>
        <v>Talme</v>
      </c>
      <c r="E344" s="709" t="str">
        <f>IF(ISBLANK(A344),"",_xlfn.XLOOKUP(A344,'Requirement Overview'!C:C,'Requirement Overview'!H:H))</f>
        <v>IT</v>
      </c>
      <c r="F344" s="506" t="str">
        <f>IF(ISBLANK(A344),"",_xlfn.XLOOKUP(A344,'Requirement Overview'!C:C,'Requirement Overview'!I:I))</f>
        <v>Developer - Angular &amp; Node Js</v>
      </c>
      <c r="G344" s="506" t="str">
        <f>IF(ISBLANK(A344),"",_xlfn.XLOOKUP(A344,'Requirement Overview'!C:C,'Requirement Overview'!G:G))</f>
        <v>Viditha</v>
      </c>
      <c r="H344" s="710" t="s">
        <v>1672</v>
      </c>
      <c r="I344" s="710" t="s">
        <v>1673</v>
      </c>
      <c r="J344" s="507" t="s">
        <v>1674</v>
      </c>
      <c r="K344" s="710">
        <v>9583764670</v>
      </c>
      <c r="L344" s="709" t="s">
        <v>794</v>
      </c>
      <c r="M344" s="710" t="s">
        <v>1490</v>
      </c>
      <c r="N344" s="709" t="s">
        <v>1675</v>
      </c>
      <c r="O344" s="710" t="s">
        <v>730</v>
      </c>
      <c r="P344" s="710" t="s">
        <v>1676</v>
      </c>
      <c r="Q344" s="710" t="s">
        <v>1078</v>
      </c>
      <c r="R344" s="711" t="s">
        <v>308</v>
      </c>
      <c r="S344" s="709" t="s">
        <v>270</v>
      </c>
      <c r="T344" s="709" t="s">
        <v>271</v>
      </c>
      <c r="U344" s="712">
        <v>46051</v>
      </c>
      <c r="V344" s="712">
        <v>46051</v>
      </c>
      <c r="W344" s="709"/>
      <c r="X344" s="709"/>
      <c r="Y344" s="709"/>
      <c r="Z344" s="709"/>
      <c r="AA344" s="709"/>
      <c r="AB344" s="709"/>
      <c r="AC344" s="709"/>
      <c r="AD344" s="709"/>
      <c r="AE344" s="230"/>
      <c r="AL344" s="98"/>
      <c r="AM344" s="98"/>
      <c r="AS344" s="98"/>
    </row>
    <row r="345" spans="1:46" ht="14.45">
      <c r="A345" s="702" t="s">
        <v>115</v>
      </c>
      <c r="B345" s="702" t="s">
        <v>258</v>
      </c>
      <c r="C345" s="476" t="str">
        <f>IF(ISBLANK(B345),"",_xlfn.XLOOKUP(B345,Recruiter!A:A,Recruiter!B:B))</f>
        <v>Bhoomika</v>
      </c>
      <c r="D345" s="476" t="str">
        <f>IF(ISBLANK(A345),"",_xlfn.XLOOKUP(A345,'Requirement Overview'!C:C,'Requirement Overview'!E:E))</f>
        <v>Talme</v>
      </c>
      <c r="E345" s="702" t="str">
        <f>IF(ISBLANK(A345),"",_xlfn.XLOOKUP(A345,'Requirement Overview'!C:C,'Requirement Overview'!H:H))</f>
        <v>IT</v>
      </c>
      <c r="F345" s="702" t="s">
        <v>117</v>
      </c>
      <c r="G345" s="476" t="str">
        <f>IF(ISBLANK(A345),"",_xlfn.XLOOKUP(A345,'Requirement Overview'!C:C,'Requirement Overview'!G:G))</f>
        <v>Viditha</v>
      </c>
      <c r="H345" s="707" t="s">
        <v>1677</v>
      </c>
      <c r="I345" s="707" t="s">
        <v>316</v>
      </c>
      <c r="J345" s="505" t="s">
        <v>1678</v>
      </c>
      <c r="K345" s="707">
        <v>8179128681</v>
      </c>
      <c r="L345" s="702" t="s">
        <v>1679</v>
      </c>
      <c r="M345" s="707" t="s">
        <v>1284</v>
      </c>
      <c r="N345" s="702" t="s">
        <v>653</v>
      </c>
      <c r="O345" s="707" t="s">
        <v>1680</v>
      </c>
      <c r="P345" s="707" t="s">
        <v>1391</v>
      </c>
      <c r="Q345" s="707" t="s">
        <v>1078</v>
      </c>
      <c r="R345" s="707" t="s">
        <v>368</v>
      </c>
      <c r="S345" s="709" t="s">
        <v>270</v>
      </c>
      <c r="T345" s="709" t="s">
        <v>271</v>
      </c>
      <c r="U345" s="712">
        <v>46051</v>
      </c>
      <c r="V345" s="712">
        <v>46051</v>
      </c>
      <c r="W345" s="709"/>
      <c r="X345" s="702"/>
      <c r="Y345" s="702"/>
      <c r="Z345" s="702"/>
      <c r="AA345" s="702"/>
      <c r="AB345" s="702"/>
      <c r="AC345" s="702"/>
      <c r="AD345" s="702"/>
      <c r="AE345" s="108"/>
      <c r="AF345" s="51"/>
      <c r="AG345" s="51"/>
      <c r="AH345" s="51"/>
      <c r="AI345" s="51"/>
      <c r="AJ345" s="51"/>
      <c r="AK345" s="51"/>
      <c r="AL345" s="73"/>
      <c r="AM345" s="73"/>
      <c r="AN345" s="51"/>
      <c r="AO345" s="51"/>
      <c r="AT345" s="83"/>
    </row>
    <row r="346" spans="1:46" s="99" customFormat="1" ht="15.6">
      <c r="A346" s="709" t="s">
        <v>115</v>
      </c>
      <c r="B346" s="709" t="s">
        <v>258</v>
      </c>
      <c r="C346" s="506" t="str">
        <f>IF(ISBLANK(B346),"",_xlfn.XLOOKUP(B346,Recruiter!A:A,Recruiter!B:B))</f>
        <v>Bhoomika</v>
      </c>
      <c r="D346" s="506" t="str">
        <f>IF(ISBLANK(A346),"",_xlfn.XLOOKUP(A346,'Requirement Overview'!C:C,'Requirement Overview'!E:E))</f>
        <v>Talme</v>
      </c>
      <c r="E346" s="709" t="str">
        <f>IF(ISBLANK(A346),"",_xlfn.XLOOKUP(A346,'Requirement Overview'!C:C,'Requirement Overview'!H:H))</f>
        <v>IT</v>
      </c>
      <c r="F346" s="709" t="s">
        <v>117</v>
      </c>
      <c r="G346" s="506" t="str">
        <f>IF(ISBLANK(A346),"",_xlfn.XLOOKUP(A346,'Requirement Overview'!C:C,'Requirement Overview'!G:G))</f>
        <v>Viditha</v>
      </c>
      <c r="H346" s="710" t="s">
        <v>1681</v>
      </c>
      <c r="I346" s="710" t="s">
        <v>316</v>
      </c>
      <c r="J346" s="508" t="s">
        <v>1682</v>
      </c>
      <c r="K346" s="710">
        <v>9649878584</v>
      </c>
      <c r="L346" s="710" t="s">
        <v>1279</v>
      </c>
      <c r="M346" s="710" t="s">
        <v>1490</v>
      </c>
      <c r="N346" s="709" t="s">
        <v>1683</v>
      </c>
      <c r="O346" s="710" t="s">
        <v>295</v>
      </c>
      <c r="P346" s="710" t="s">
        <v>1684</v>
      </c>
      <c r="Q346" s="710" t="s">
        <v>1078</v>
      </c>
      <c r="R346" s="710" t="s">
        <v>429</v>
      </c>
      <c r="S346" s="709" t="s">
        <v>270</v>
      </c>
      <c r="T346" s="709" t="s">
        <v>271</v>
      </c>
      <c r="U346" s="712">
        <v>46051</v>
      </c>
      <c r="V346" s="712">
        <v>46051</v>
      </c>
      <c r="W346" s="709"/>
      <c r="X346" s="709"/>
      <c r="Y346" s="709"/>
      <c r="Z346" s="709"/>
      <c r="AA346" s="709"/>
      <c r="AB346" s="709"/>
      <c r="AC346" s="709"/>
      <c r="AD346" s="709"/>
      <c r="AE346" s="46"/>
      <c r="AF346" s="24"/>
      <c r="AG346" s="24"/>
      <c r="AH346" s="24"/>
      <c r="AI346" s="24"/>
      <c r="AJ346" s="24"/>
      <c r="AK346" s="24"/>
      <c r="AL346" s="19"/>
      <c r="AM346" s="19"/>
      <c r="AN346" s="24"/>
      <c r="AO346" s="51"/>
      <c r="AS346" s="98"/>
    </row>
    <row r="347" spans="1:46" ht="14.45">
      <c r="A347" s="702" t="s">
        <v>115</v>
      </c>
      <c r="B347" s="702" t="s">
        <v>258</v>
      </c>
      <c r="C347" s="476" t="str">
        <f>IF(ISBLANK(B347),"",_xlfn.XLOOKUP(B347,Recruiter!A:A,Recruiter!B:B))</f>
        <v>Bhoomika</v>
      </c>
      <c r="D347" s="476" t="str">
        <f>IF(ISBLANK(A347),"",_xlfn.XLOOKUP(A347,'Requirement Overview'!C:C,'Requirement Overview'!E:E))</f>
        <v>Talme</v>
      </c>
      <c r="E347" s="702" t="str">
        <f>IF(ISBLANK(A347),"",_xlfn.XLOOKUP(A347,'Requirement Overview'!C:C,'Requirement Overview'!H:H))</f>
        <v>IT</v>
      </c>
      <c r="F347" s="702" t="s">
        <v>117</v>
      </c>
      <c r="G347" s="476" t="str">
        <f>IF(ISBLANK(A347),"",_xlfn.XLOOKUP(A347,'Requirement Overview'!C:C,'Requirement Overview'!G:G))</f>
        <v>Viditha</v>
      </c>
      <c r="H347" s="707" t="s">
        <v>1685</v>
      </c>
      <c r="I347" s="707" t="s">
        <v>1686</v>
      </c>
      <c r="J347" s="505" t="s">
        <v>1687</v>
      </c>
      <c r="K347" s="707">
        <v>8098707177</v>
      </c>
      <c r="L347" s="702" t="s">
        <v>305</v>
      </c>
      <c r="M347" s="707" t="s">
        <v>1230</v>
      </c>
      <c r="N347" s="702" t="s">
        <v>1688</v>
      </c>
      <c r="O347" s="707" t="s">
        <v>886</v>
      </c>
      <c r="P347" s="707" t="s">
        <v>1055</v>
      </c>
      <c r="Q347" s="707" t="s">
        <v>1078</v>
      </c>
      <c r="R347" s="707" t="s">
        <v>407</v>
      </c>
      <c r="S347" s="709" t="s">
        <v>270</v>
      </c>
      <c r="T347" s="709" t="s">
        <v>271</v>
      </c>
      <c r="U347" s="712">
        <v>46051</v>
      </c>
      <c r="V347" s="712">
        <v>46051</v>
      </c>
      <c r="W347" s="709"/>
      <c r="X347" s="702"/>
      <c r="Y347" s="702"/>
      <c r="Z347" s="702"/>
      <c r="AA347" s="702"/>
      <c r="AB347" s="702"/>
      <c r="AC347" s="702"/>
      <c r="AD347" s="702"/>
      <c r="AE347" s="46"/>
      <c r="AO347" s="51"/>
      <c r="AT347" s="83"/>
    </row>
    <row r="348" spans="1:46" s="99" customFormat="1" ht="14.45">
      <c r="A348" s="709" t="s">
        <v>115</v>
      </c>
      <c r="B348" s="709" t="s">
        <v>258</v>
      </c>
      <c r="C348" s="506" t="str">
        <f>IF(ISBLANK(B348),"",_xlfn.XLOOKUP(B348,Recruiter!A:A,Recruiter!B:B))</f>
        <v>Bhoomika</v>
      </c>
      <c r="D348" s="506" t="str">
        <f>IF(ISBLANK(A348),"",_xlfn.XLOOKUP(A348,'Requirement Overview'!C:C,'Requirement Overview'!E:E))</f>
        <v>Talme</v>
      </c>
      <c r="E348" s="709" t="str">
        <f>IF(ISBLANK(A348),"",_xlfn.XLOOKUP(A348,'Requirement Overview'!C:C,'Requirement Overview'!H:H))</f>
        <v>IT</v>
      </c>
      <c r="F348" s="709" t="s">
        <v>117</v>
      </c>
      <c r="G348" s="506" t="str">
        <f>IF(ISBLANK(A348),"",_xlfn.XLOOKUP(A348,'Requirement Overview'!C:C,'Requirement Overview'!G:G))</f>
        <v>Viditha</v>
      </c>
      <c r="H348" s="710" t="s">
        <v>1689</v>
      </c>
      <c r="I348" s="710" t="s">
        <v>262</v>
      </c>
      <c r="J348" s="507" t="s">
        <v>1690</v>
      </c>
      <c r="K348" s="710">
        <v>6300744377</v>
      </c>
      <c r="L348" s="709" t="s">
        <v>305</v>
      </c>
      <c r="M348" s="710" t="s">
        <v>1001</v>
      </c>
      <c r="N348" s="709" t="s">
        <v>1691</v>
      </c>
      <c r="O348" s="710" t="s">
        <v>429</v>
      </c>
      <c r="P348" s="710" t="s">
        <v>879</v>
      </c>
      <c r="Q348" s="710" t="s">
        <v>1078</v>
      </c>
      <c r="R348" s="710" t="s">
        <v>1608</v>
      </c>
      <c r="S348" s="709" t="s">
        <v>270</v>
      </c>
      <c r="T348" s="709" t="s">
        <v>271</v>
      </c>
      <c r="U348" s="712">
        <v>46051</v>
      </c>
      <c r="V348" s="712">
        <v>46051</v>
      </c>
      <c r="W348" s="709"/>
      <c r="X348" s="709"/>
      <c r="Y348" s="709"/>
      <c r="Z348" s="709"/>
      <c r="AA348" s="709"/>
      <c r="AB348" s="709"/>
      <c r="AC348" s="709"/>
      <c r="AD348" s="709"/>
      <c r="AE348" s="46"/>
      <c r="AF348" s="24"/>
      <c r="AG348" s="24"/>
      <c r="AH348" s="24"/>
      <c r="AI348" s="24"/>
      <c r="AJ348" s="24"/>
      <c r="AK348" s="24"/>
      <c r="AL348" s="19"/>
      <c r="AM348" s="19"/>
      <c r="AN348" s="24"/>
      <c r="AO348" s="51"/>
      <c r="AS348" s="98"/>
    </row>
    <row r="349" spans="1:46" ht="14.45">
      <c r="A349" s="702" t="s">
        <v>115</v>
      </c>
      <c r="B349" s="702" t="s">
        <v>258</v>
      </c>
      <c r="C349" s="476" t="str">
        <f>IF(ISBLANK(B349),"",_xlfn.XLOOKUP(B349,Recruiter!A:A,Recruiter!B:B))</f>
        <v>Bhoomika</v>
      </c>
      <c r="D349" s="476" t="str">
        <f>IF(ISBLANK(A349),"",_xlfn.XLOOKUP(A349,'Requirement Overview'!C:C,'Requirement Overview'!E:E))</f>
        <v>Talme</v>
      </c>
      <c r="E349" s="702" t="str">
        <f>IF(ISBLANK(A349),"",_xlfn.XLOOKUP(A349,'Requirement Overview'!C:C,'Requirement Overview'!H:H))</f>
        <v>IT</v>
      </c>
      <c r="F349" s="702" t="s">
        <v>117</v>
      </c>
      <c r="G349" s="476" t="str">
        <f>IF(ISBLANK(A349),"",_xlfn.XLOOKUP(A349,'Requirement Overview'!C:C,'Requirement Overview'!G:G))</f>
        <v>Viditha</v>
      </c>
      <c r="H349" s="707" t="s">
        <v>1692</v>
      </c>
      <c r="I349" s="707" t="s">
        <v>1693</v>
      </c>
      <c r="J349" s="505" t="s">
        <v>1694</v>
      </c>
      <c r="K349" s="707">
        <v>7559939170</v>
      </c>
      <c r="L349" s="702" t="s">
        <v>378</v>
      </c>
      <c r="M349" s="707" t="s">
        <v>1165</v>
      </c>
      <c r="N349" s="702" t="s">
        <v>195</v>
      </c>
      <c r="O349" s="707" t="s">
        <v>381</v>
      </c>
      <c r="P349" s="707" t="s">
        <v>569</v>
      </c>
      <c r="Q349" s="707" t="s">
        <v>1078</v>
      </c>
      <c r="R349" s="707" t="s">
        <v>407</v>
      </c>
      <c r="S349" s="709" t="s">
        <v>270</v>
      </c>
      <c r="T349" s="709" t="s">
        <v>271</v>
      </c>
      <c r="U349" s="712">
        <v>46051</v>
      </c>
      <c r="V349" s="712">
        <v>46051</v>
      </c>
      <c r="W349" s="709"/>
      <c r="X349" s="702"/>
      <c r="Y349" s="702"/>
      <c r="Z349" s="702"/>
      <c r="AA349" s="702"/>
      <c r="AB349" s="702"/>
      <c r="AC349" s="702"/>
      <c r="AD349" s="702"/>
      <c r="AE349" s="46"/>
      <c r="AO349" s="51"/>
      <c r="AP349" s="83"/>
      <c r="AQ349" s="83"/>
      <c r="AR349" s="83"/>
      <c r="AS349" s="84"/>
      <c r="AT349" s="83"/>
    </row>
    <row r="350" spans="1:46" s="99" customFormat="1" ht="14.45">
      <c r="A350" s="709" t="s">
        <v>115</v>
      </c>
      <c r="B350" s="709" t="s">
        <v>258</v>
      </c>
      <c r="C350" s="506" t="str">
        <f>IF(ISBLANK(B350),"",_xlfn.XLOOKUP(B350,Recruiter!A:A,Recruiter!B:B))</f>
        <v>Bhoomika</v>
      </c>
      <c r="D350" s="506" t="str">
        <f>IF(ISBLANK(A350),"",_xlfn.XLOOKUP(A350,'Requirement Overview'!C:C,'Requirement Overview'!E:E))</f>
        <v>Talme</v>
      </c>
      <c r="E350" s="709" t="str">
        <f>IF(ISBLANK(A350),"",_xlfn.XLOOKUP(A350,'Requirement Overview'!C:C,'Requirement Overview'!H:H))</f>
        <v>IT</v>
      </c>
      <c r="F350" s="709" t="s">
        <v>117</v>
      </c>
      <c r="G350" s="506" t="str">
        <f>IF(ISBLANK(A350),"",_xlfn.XLOOKUP(A350,'Requirement Overview'!C:C,'Requirement Overview'!G:G))</f>
        <v>Viditha</v>
      </c>
      <c r="H350" s="710" t="s">
        <v>1695</v>
      </c>
      <c r="I350" s="710" t="s">
        <v>1696</v>
      </c>
      <c r="J350" s="507" t="s">
        <v>1697</v>
      </c>
      <c r="K350" s="710">
        <v>6388347412</v>
      </c>
      <c r="L350" s="710" t="s">
        <v>311</v>
      </c>
      <c r="M350" s="710" t="s">
        <v>279</v>
      </c>
      <c r="N350" s="709" t="s">
        <v>1698</v>
      </c>
      <c r="O350" s="710" t="s">
        <v>367</v>
      </c>
      <c r="P350" s="710" t="s">
        <v>569</v>
      </c>
      <c r="Q350" s="710" t="s">
        <v>1078</v>
      </c>
      <c r="R350" s="710" t="s">
        <v>374</v>
      </c>
      <c r="S350" s="709" t="s">
        <v>270</v>
      </c>
      <c r="T350" s="709" t="s">
        <v>271</v>
      </c>
      <c r="U350" s="712">
        <v>46051</v>
      </c>
      <c r="V350" s="712">
        <v>46051</v>
      </c>
      <c r="W350" s="709"/>
      <c r="X350" s="709"/>
      <c r="Y350" s="709"/>
      <c r="Z350" s="709"/>
      <c r="AA350" s="709"/>
      <c r="AB350" s="709"/>
      <c r="AC350" s="709"/>
      <c r="AD350" s="709"/>
      <c r="AE350" s="230"/>
      <c r="AL350" s="98"/>
      <c r="AM350" s="98"/>
      <c r="AS350" s="98"/>
    </row>
    <row r="351" spans="1:46" ht="15.6">
      <c r="A351" s="702" t="s">
        <v>115</v>
      </c>
      <c r="B351" s="702" t="s">
        <v>258</v>
      </c>
      <c r="C351" s="476" t="str">
        <f>IF(ISBLANK(B351),"",_xlfn.XLOOKUP(B351,Recruiter!A:A,Recruiter!B:B))</f>
        <v>Bhoomika</v>
      </c>
      <c r="D351" s="476" t="str">
        <f>IF(ISBLANK(A351),"",_xlfn.XLOOKUP(A351,'Requirement Overview'!C:C,'Requirement Overview'!E:E))</f>
        <v>Talme</v>
      </c>
      <c r="E351" s="702" t="str">
        <f>IF(ISBLANK(A351),"",_xlfn.XLOOKUP(A351,'Requirement Overview'!C:C,'Requirement Overview'!H:H))</f>
        <v>IT</v>
      </c>
      <c r="F351" s="702" t="s">
        <v>117</v>
      </c>
      <c r="G351" s="476" t="str">
        <f>IF(ISBLANK(A351),"",_xlfn.XLOOKUP(A351,'Requirement Overview'!C:C,'Requirement Overview'!G:G))</f>
        <v>Viditha</v>
      </c>
      <c r="H351" s="707" t="s">
        <v>1699</v>
      </c>
      <c r="I351" s="707" t="s">
        <v>497</v>
      </c>
      <c r="J351" s="509" t="s">
        <v>1700</v>
      </c>
      <c r="K351" s="707">
        <v>8889805808</v>
      </c>
      <c r="L351" s="707" t="s">
        <v>1279</v>
      </c>
      <c r="M351" s="707" t="s">
        <v>306</v>
      </c>
      <c r="N351" s="702" t="s">
        <v>1701</v>
      </c>
      <c r="O351" s="707" t="s">
        <v>434</v>
      </c>
      <c r="P351" s="707" t="s">
        <v>1702</v>
      </c>
      <c r="Q351" s="707" t="s">
        <v>1078</v>
      </c>
      <c r="R351" s="707" t="s">
        <v>374</v>
      </c>
      <c r="S351" s="709" t="s">
        <v>270</v>
      </c>
      <c r="T351" s="709" t="s">
        <v>271</v>
      </c>
      <c r="U351" s="712">
        <v>46051</v>
      </c>
      <c r="V351" s="712">
        <v>46051</v>
      </c>
      <c r="W351" s="709"/>
      <c r="X351" s="702"/>
      <c r="Y351" s="702"/>
      <c r="Z351" s="702"/>
      <c r="AA351" s="702"/>
      <c r="AB351" s="702"/>
      <c r="AC351" s="702"/>
      <c r="AD351" s="702"/>
      <c r="AE351" s="46"/>
      <c r="AP351" s="83"/>
      <c r="AQ351" s="83"/>
      <c r="AR351" s="83"/>
      <c r="AS351" s="84"/>
    </row>
    <row r="352" spans="1:46" s="99" customFormat="1" ht="14.45">
      <c r="A352" s="709" t="s">
        <v>115</v>
      </c>
      <c r="B352" s="709" t="s">
        <v>258</v>
      </c>
      <c r="C352" s="506" t="str">
        <f>IF(ISBLANK(B352),"",_xlfn.XLOOKUP(B352,Recruiter!A:A,Recruiter!B:B))</f>
        <v>Bhoomika</v>
      </c>
      <c r="D352" s="506" t="str">
        <f>IF(ISBLANK(A352),"",_xlfn.XLOOKUP(A352,'Requirement Overview'!C:C,'Requirement Overview'!E:E))</f>
        <v>Talme</v>
      </c>
      <c r="E352" s="709" t="str">
        <f>IF(ISBLANK(A352),"",_xlfn.XLOOKUP(A352,'Requirement Overview'!C:C,'Requirement Overview'!H:H))</f>
        <v>IT</v>
      </c>
      <c r="F352" s="709" t="s">
        <v>117</v>
      </c>
      <c r="G352" s="506" t="str">
        <f>IF(ISBLANK(A352),"",_xlfn.XLOOKUP(A352,'Requirement Overview'!C:C,'Requirement Overview'!G:G))</f>
        <v>Viditha</v>
      </c>
      <c r="H352" s="709" t="s">
        <v>1703</v>
      </c>
      <c r="I352" s="709" t="s">
        <v>316</v>
      </c>
      <c r="J352" s="510" t="s">
        <v>1704</v>
      </c>
      <c r="K352" s="709">
        <v>9025562941</v>
      </c>
      <c r="L352" s="709" t="s">
        <v>378</v>
      </c>
      <c r="M352" s="709" t="s">
        <v>306</v>
      </c>
      <c r="N352" s="709" t="s">
        <v>1705</v>
      </c>
      <c r="O352" s="709" t="s">
        <v>1680</v>
      </c>
      <c r="P352" s="709" t="s">
        <v>1128</v>
      </c>
      <c r="Q352" s="709" t="s">
        <v>294</v>
      </c>
      <c r="R352" s="709" t="s">
        <v>429</v>
      </c>
      <c r="S352" s="709" t="s">
        <v>270</v>
      </c>
      <c r="T352" s="709" t="s">
        <v>271</v>
      </c>
      <c r="U352" s="712">
        <v>46051</v>
      </c>
      <c r="V352" s="712">
        <v>46051</v>
      </c>
      <c r="W352" s="709"/>
      <c r="X352" s="709"/>
      <c r="Y352" s="709"/>
      <c r="Z352" s="709"/>
      <c r="AA352" s="709"/>
      <c r="AB352" s="709"/>
      <c r="AC352" s="709"/>
      <c r="AD352" s="709"/>
      <c r="AE352" s="230"/>
      <c r="AL352" s="98"/>
      <c r="AM352" s="98"/>
      <c r="AS352" s="98"/>
    </row>
    <row r="353" spans="1:46" ht="14.45">
      <c r="A353" s="702" t="s">
        <v>115</v>
      </c>
      <c r="B353" s="702" t="s">
        <v>258</v>
      </c>
      <c r="C353" s="476" t="str">
        <f>IF(ISBLANK(B353),"",_xlfn.XLOOKUP(B353,Recruiter!A:A,Recruiter!B:B))</f>
        <v>Bhoomika</v>
      </c>
      <c r="D353" s="476" t="str">
        <f>IF(ISBLANK(A353),"",_xlfn.XLOOKUP(A353,'Requirement Overview'!C:C,'Requirement Overview'!E:E))</f>
        <v>Talme</v>
      </c>
      <c r="E353" s="702" t="str">
        <f>IF(ISBLANK(A353),"",_xlfn.XLOOKUP(A353,'Requirement Overview'!C:C,'Requirement Overview'!H:H))</f>
        <v>IT</v>
      </c>
      <c r="F353" s="702" t="s">
        <v>117</v>
      </c>
      <c r="G353" s="476" t="str">
        <f>IF(ISBLANK(A353),"",_xlfn.XLOOKUP(A353,'Requirement Overview'!C:C,'Requirement Overview'!G:G))</f>
        <v>Viditha</v>
      </c>
      <c r="H353" s="713" t="s">
        <v>1706</v>
      </c>
      <c r="I353" s="702" t="s">
        <v>316</v>
      </c>
      <c r="J353" s="478" t="s">
        <v>1707</v>
      </c>
      <c r="K353" s="702">
        <v>7022788423</v>
      </c>
      <c r="L353" s="702" t="s">
        <v>421</v>
      </c>
      <c r="M353" s="702" t="s">
        <v>1708</v>
      </c>
      <c r="N353" s="702" t="s">
        <v>1709</v>
      </c>
      <c r="O353" s="702" t="s">
        <v>381</v>
      </c>
      <c r="P353" s="702" t="s">
        <v>294</v>
      </c>
      <c r="Q353" s="702" t="s">
        <v>1078</v>
      </c>
      <c r="R353" s="702" t="s">
        <v>407</v>
      </c>
      <c r="S353" s="709" t="s">
        <v>270</v>
      </c>
      <c r="T353" s="709" t="s">
        <v>271</v>
      </c>
      <c r="U353" s="712">
        <v>46051</v>
      </c>
      <c r="V353" s="712">
        <v>46051</v>
      </c>
      <c r="W353" s="709"/>
      <c r="X353" s="702"/>
      <c r="Y353" s="702"/>
      <c r="Z353" s="702"/>
      <c r="AA353" s="702"/>
      <c r="AB353" s="702"/>
      <c r="AC353" s="702"/>
      <c r="AD353" s="702"/>
      <c r="AE353" s="46"/>
      <c r="AJ353" s="83"/>
      <c r="AK353" s="83"/>
      <c r="AL353" s="84"/>
      <c r="AM353" s="84"/>
      <c r="AN353" s="83"/>
      <c r="AO353" s="83"/>
      <c r="AP353" s="83"/>
      <c r="AQ353" s="83"/>
      <c r="AR353" s="83"/>
      <c r="AS353" s="84"/>
    </row>
    <row r="354" spans="1:46" s="99" customFormat="1" ht="14.45">
      <c r="A354" s="709" t="s">
        <v>115</v>
      </c>
      <c r="B354" s="709" t="s">
        <v>258</v>
      </c>
      <c r="C354" s="506" t="str">
        <f>IF(ISBLANK(B354),"",_xlfn.XLOOKUP(B354,Recruiter!A:A,Recruiter!B:B))</f>
        <v>Bhoomika</v>
      </c>
      <c r="D354" s="506" t="str">
        <f>IF(ISBLANK(A354),"",_xlfn.XLOOKUP(A354,'Requirement Overview'!C:C,'Requirement Overview'!E:E))</f>
        <v>Talme</v>
      </c>
      <c r="E354" s="709" t="str">
        <f>IF(ISBLANK(A354),"",_xlfn.XLOOKUP(A354,'Requirement Overview'!C:C,'Requirement Overview'!H:H))</f>
        <v>IT</v>
      </c>
      <c r="F354" s="709" t="s">
        <v>117</v>
      </c>
      <c r="G354" s="506" t="str">
        <f>IF(ISBLANK(A354),"",_xlfn.XLOOKUP(A354,'Requirement Overview'!C:C,'Requirement Overview'!G:G))</f>
        <v>Viditha</v>
      </c>
      <c r="H354" s="709" t="s">
        <v>1710</v>
      </c>
      <c r="I354" s="709" t="s">
        <v>316</v>
      </c>
      <c r="J354" s="510" t="s">
        <v>1711</v>
      </c>
      <c r="K354" s="709">
        <v>8383965569</v>
      </c>
      <c r="L354" s="709" t="s">
        <v>378</v>
      </c>
      <c r="M354" s="709" t="s">
        <v>306</v>
      </c>
      <c r="N354" s="709" t="s">
        <v>1712</v>
      </c>
      <c r="O354" s="709" t="s">
        <v>434</v>
      </c>
      <c r="P354" s="709" t="s">
        <v>1055</v>
      </c>
      <c r="Q354" s="709" t="s">
        <v>1078</v>
      </c>
      <c r="R354" s="709" t="s">
        <v>407</v>
      </c>
      <c r="S354" s="709" t="s">
        <v>270</v>
      </c>
      <c r="T354" s="709" t="s">
        <v>271</v>
      </c>
      <c r="U354" s="712">
        <v>46051</v>
      </c>
      <c r="V354" s="712">
        <v>46051</v>
      </c>
      <c r="W354" s="709"/>
      <c r="X354" s="709"/>
      <c r="Y354" s="709"/>
      <c r="Z354" s="709"/>
      <c r="AA354" s="709"/>
      <c r="AB354" s="709"/>
      <c r="AC354" s="709"/>
      <c r="AD354" s="709"/>
      <c r="AE354" s="230"/>
      <c r="AL354" s="98"/>
      <c r="AM354" s="98"/>
      <c r="AS354" s="98"/>
    </row>
    <row r="355" spans="1:46" ht="14.45">
      <c r="A355" s="702" t="s">
        <v>115</v>
      </c>
      <c r="B355" s="702" t="s">
        <v>258</v>
      </c>
      <c r="C355" s="476" t="str">
        <f>IF(ISBLANK(B355),"",_xlfn.XLOOKUP(B355,Recruiter!A:A,Recruiter!B:B))</f>
        <v>Bhoomika</v>
      </c>
      <c r="D355" s="476" t="str">
        <f>IF(ISBLANK(A355),"",_xlfn.XLOOKUP(A355,'Requirement Overview'!C:C,'Requirement Overview'!E:E))</f>
        <v>Talme</v>
      </c>
      <c r="E355" s="702" t="str">
        <f>IF(ISBLANK(A355),"",_xlfn.XLOOKUP(A355,'Requirement Overview'!C:C,'Requirement Overview'!H:H))</f>
        <v>IT</v>
      </c>
      <c r="F355" s="702" t="s">
        <v>117</v>
      </c>
      <c r="G355" s="476" t="str">
        <f>IF(ISBLANK(A355),"",_xlfn.XLOOKUP(A355,'Requirement Overview'!C:C,'Requirement Overview'!G:G))</f>
        <v>Viditha</v>
      </c>
      <c r="H355" s="702" t="s">
        <v>1713</v>
      </c>
      <c r="I355" s="702" t="s">
        <v>262</v>
      </c>
      <c r="J355" s="478" t="s">
        <v>1714</v>
      </c>
      <c r="K355" s="702">
        <v>7032461331</v>
      </c>
      <c r="L355" s="702" t="s">
        <v>1024</v>
      </c>
      <c r="M355" s="702" t="s">
        <v>279</v>
      </c>
      <c r="N355" s="702" t="s">
        <v>1715</v>
      </c>
      <c r="O355" s="702" t="s">
        <v>1716</v>
      </c>
      <c r="P355" s="702" t="s">
        <v>294</v>
      </c>
      <c r="Q355" s="702" t="s">
        <v>1078</v>
      </c>
      <c r="R355" s="702" t="s">
        <v>540</v>
      </c>
      <c r="S355" s="709" t="s">
        <v>270</v>
      </c>
      <c r="T355" s="709" t="s">
        <v>271</v>
      </c>
      <c r="U355" s="712">
        <v>46051</v>
      </c>
      <c r="V355" s="712">
        <v>46051</v>
      </c>
      <c r="W355" s="709"/>
      <c r="X355" s="702"/>
      <c r="Y355" s="702"/>
      <c r="Z355" s="702"/>
      <c r="AA355" s="702"/>
      <c r="AB355" s="702"/>
      <c r="AC355" s="702"/>
      <c r="AD355" s="702"/>
      <c r="AE355" s="46"/>
      <c r="AJ355" s="83"/>
      <c r="AK355" s="83"/>
      <c r="AL355" s="84"/>
      <c r="AM355" s="84"/>
      <c r="AN355" s="83"/>
      <c r="AO355" s="83"/>
      <c r="AP355" s="83"/>
      <c r="AQ355" s="83"/>
      <c r="AR355" s="83"/>
      <c r="AS355" s="84"/>
    </row>
    <row r="356" spans="1:46" s="99" customFormat="1" ht="14.45">
      <c r="A356" s="709" t="s">
        <v>115</v>
      </c>
      <c r="B356" s="709" t="s">
        <v>258</v>
      </c>
      <c r="C356" s="506" t="str">
        <f>IF(ISBLANK(B356),"",_xlfn.XLOOKUP(B356,Recruiter!A:A,Recruiter!B:B))</f>
        <v>Bhoomika</v>
      </c>
      <c r="D356" s="506" t="str">
        <f>IF(ISBLANK(A356),"",_xlfn.XLOOKUP(A356,'Requirement Overview'!C:C,'Requirement Overview'!E:E))</f>
        <v>Talme</v>
      </c>
      <c r="E356" s="709" t="str">
        <f>IF(ISBLANK(A356),"",_xlfn.XLOOKUP(A356,'Requirement Overview'!C:C,'Requirement Overview'!H:H))</f>
        <v>IT</v>
      </c>
      <c r="F356" s="709" t="s">
        <v>117</v>
      </c>
      <c r="G356" s="506" t="str">
        <f>IF(ISBLANK(A356),"",_xlfn.XLOOKUP(A356,'Requirement Overview'!C:C,'Requirement Overview'!G:G))</f>
        <v>Viditha</v>
      </c>
      <c r="H356" s="511" t="s">
        <v>1717</v>
      </c>
      <c r="I356" s="709" t="s">
        <v>262</v>
      </c>
      <c r="J356" s="510" t="s">
        <v>1718</v>
      </c>
      <c r="K356" s="709">
        <v>7079692988</v>
      </c>
      <c r="L356" s="709" t="s">
        <v>305</v>
      </c>
      <c r="M356" s="709" t="s">
        <v>1595</v>
      </c>
      <c r="N356" s="709" t="s">
        <v>1719</v>
      </c>
      <c r="O356" s="709" t="s">
        <v>407</v>
      </c>
      <c r="P356" s="709" t="s">
        <v>1720</v>
      </c>
      <c r="Q356" s="709" t="s">
        <v>1078</v>
      </c>
      <c r="R356" s="709" t="s">
        <v>589</v>
      </c>
      <c r="S356" s="709" t="s">
        <v>270</v>
      </c>
      <c r="T356" s="709" t="s">
        <v>271</v>
      </c>
      <c r="U356" s="712">
        <v>46051</v>
      </c>
      <c r="V356" s="712">
        <v>46051</v>
      </c>
      <c r="W356" s="709"/>
      <c r="X356" s="709"/>
      <c r="Y356" s="709"/>
      <c r="Z356" s="709"/>
      <c r="AA356" s="709"/>
      <c r="AB356" s="709"/>
      <c r="AC356" s="709"/>
      <c r="AD356" s="709"/>
      <c r="AE356" s="230"/>
      <c r="AL356" s="98"/>
      <c r="AM356" s="98"/>
      <c r="AS356" s="98"/>
    </row>
    <row r="357" spans="1:46" ht="14.45">
      <c r="A357" s="702" t="s">
        <v>115</v>
      </c>
      <c r="B357" s="702" t="s">
        <v>258</v>
      </c>
      <c r="C357" s="476" t="str">
        <f>IF(ISBLANK(B357),"",_xlfn.XLOOKUP(B357,Recruiter!A:A,Recruiter!B:B))</f>
        <v>Bhoomika</v>
      </c>
      <c r="D357" s="476" t="str">
        <f>IF(ISBLANK(A357),"",_xlfn.XLOOKUP(A357,'Requirement Overview'!C:C,'Requirement Overview'!E:E))</f>
        <v>Talme</v>
      </c>
      <c r="E357" s="702" t="str">
        <f>IF(ISBLANK(A357),"",_xlfn.XLOOKUP(A357,'Requirement Overview'!C:C,'Requirement Overview'!H:H))</f>
        <v>IT</v>
      </c>
      <c r="F357" s="702" t="s">
        <v>117</v>
      </c>
      <c r="G357" s="476" t="str">
        <f>IF(ISBLANK(A357),"",_xlfn.XLOOKUP(A357,'Requirement Overview'!C:C,'Requirement Overview'!G:G))</f>
        <v>Viditha</v>
      </c>
      <c r="H357" s="713" t="s">
        <v>1721</v>
      </c>
      <c r="I357" s="702" t="s">
        <v>497</v>
      </c>
      <c r="J357" s="478" t="s">
        <v>1722</v>
      </c>
      <c r="K357" s="702">
        <v>9518545028</v>
      </c>
      <c r="L357" s="702" t="s">
        <v>311</v>
      </c>
      <c r="M357" s="702" t="s">
        <v>1284</v>
      </c>
      <c r="N357" s="702" t="s">
        <v>1723</v>
      </c>
      <c r="O357" s="702" t="s">
        <v>373</v>
      </c>
      <c r="P357" s="702" t="s">
        <v>1724</v>
      </c>
      <c r="Q357" s="702" t="s">
        <v>1078</v>
      </c>
      <c r="R357" s="702" t="s">
        <v>374</v>
      </c>
      <c r="S357" s="709" t="s">
        <v>270</v>
      </c>
      <c r="T357" s="709" t="s">
        <v>271</v>
      </c>
      <c r="U357" s="712">
        <v>46051</v>
      </c>
      <c r="V357" s="712">
        <v>46051</v>
      </c>
      <c r="W357" s="709"/>
      <c r="X357" s="702"/>
      <c r="Y357" s="702"/>
      <c r="Z357" s="702"/>
      <c r="AA357" s="702"/>
      <c r="AB357" s="702"/>
      <c r="AC357" s="702"/>
      <c r="AD357" s="702"/>
      <c r="AE357" s="46"/>
      <c r="AJ357" s="83"/>
      <c r="AK357" s="83"/>
      <c r="AL357" s="84"/>
      <c r="AM357" s="84"/>
      <c r="AN357" s="83"/>
      <c r="AO357" s="83"/>
      <c r="AT357" s="83"/>
    </row>
    <row r="358" spans="1:46" s="99" customFormat="1" ht="14.45">
      <c r="A358" s="709" t="s">
        <v>115</v>
      </c>
      <c r="B358" s="709" t="s">
        <v>258</v>
      </c>
      <c r="C358" s="506" t="str">
        <f>IF(ISBLANK(B358),"",_xlfn.XLOOKUP(B358,Recruiter!A:A,Recruiter!B:B))</f>
        <v>Bhoomika</v>
      </c>
      <c r="D358" s="506" t="str">
        <f>IF(ISBLANK(A358),"",_xlfn.XLOOKUP(A358,'Requirement Overview'!C:C,'Requirement Overview'!E:E))</f>
        <v>Talme</v>
      </c>
      <c r="E358" s="709" t="str">
        <f>IF(ISBLANK(A358),"",_xlfn.XLOOKUP(A358,'Requirement Overview'!C:C,'Requirement Overview'!H:H))</f>
        <v>IT</v>
      </c>
      <c r="F358" s="709" t="s">
        <v>117</v>
      </c>
      <c r="G358" s="506" t="str">
        <f>IF(ISBLANK(A358),"",_xlfn.XLOOKUP(A358,'Requirement Overview'!C:C,'Requirement Overview'!G:G))</f>
        <v>Viditha</v>
      </c>
      <c r="H358" s="714" t="s">
        <v>1725</v>
      </c>
      <c r="I358" s="709" t="s">
        <v>316</v>
      </c>
      <c r="J358" s="510" t="s">
        <v>1726</v>
      </c>
      <c r="K358" s="709">
        <v>9337119610</v>
      </c>
      <c r="L358" s="709" t="s">
        <v>290</v>
      </c>
      <c r="M358" s="709" t="s">
        <v>279</v>
      </c>
      <c r="N358" s="709" t="s">
        <v>1727</v>
      </c>
      <c r="O358" s="709" t="s">
        <v>434</v>
      </c>
      <c r="P358" s="709" t="s">
        <v>294</v>
      </c>
      <c r="Q358" s="709" t="s">
        <v>1078</v>
      </c>
      <c r="R358" s="709" t="s">
        <v>623</v>
      </c>
      <c r="S358" s="709" t="s">
        <v>270</v>
      </c>
      <c r="T358" s="709" t="s">
        <v>271</v>
      </c>
      <c r="U358" s="712">
        <v>46051</v>
      </c>
      <c r="V358" s="712">
        <v>46051</v>
      </c>
      <c r="W358" s="709"/>
      <c r="X358" s="709"/>
      <c r="Y358" s="709"/>
      <c r="Z358" s="709"/>
      <c r="AA358" s="709"/>
      <c r="AB358" s="709"/>
      <c r="AC358" s="709"/>
      <c r="AD358" s="709"/>
      <c r="AE358" s="230"/>
      <c r="AL358" s="98"/>
      <c r="AM358" s="98"/>
      <c r="AS358" s="98"/>
    </row>
    <row r="359" spans="1:46" ht="14.45">
      <c r="A359" s="702" t="s">
        <v>115</v>
      </c>
      <c r="B359" s="702" t="s">
        <v>258</v>
      </c>
      <c r="C359" s="476" t="str">
        <f>IF(ISBLANK(B359),"",_xlfn.XLOOKUP(B359,Recruiter!A:A,Recruiter!B:B))</f>
        <v>Bhoomika</v>
      </c>
      <c r="D359" s="476" t="str">
        <f>IF(ISBLANK(A359),"",_xlfn.XLOOKUP(A359,'Requirement Overview'!C:C,'Requirement Overview'!E:E))</f>
        <v>Talme</v>
      </c>
      <c r="E359" s="702" t="str">
        <f>IF(ISBLANK(A359),"",_xlfn.XLOOKUP(A359,'Requirement Overview'!C:C,'Requirement Overview'!H:H))</f>
        <v>IT</v>
      </c>
      <c r="F359" s="702" t="s">
        <v>117</v>
      </c>
      <c r="G359" s="476" t="str">
        <f>IF(ISBLANK(A359),"",_xlfn.XLOOKUP(A359,'Requirement Overview'!C:C,'Requirement Overview'!G:G))</f>
        <v>Viditha</v>
      </c>
      <c r="H359" s="702" t="s">
        <v>1728</v>
      </c>
      <c r="I359" s="702" t="s">
        <v>262</v>
      </c>
      <c r="J359" s="478" t="s">
        <v>1729</v>
      </c>
      <c r="K359" s="702">
        <v>8002046132</v>
      </c>
      <c r="L359" s="702" t="s">
        <v>305</v>
      </c>
      <c r="M359" s="702" t="s">
        <v>1284</v>
      </c>
      <c r="N359" s="702" t="s">
        <v>1730</v>
      </c>
      <c r="O359" s="702" t="s">
        <v>434</v>
      </c>
      <c r="P359" s="702" t="s">
        <v>294</v>
      </c>
      <c r="Q359" s="702" t="s">
        <v>1078</v>
      </c>
      <c r="R359" s="702" t="s">
        <v>368</v>
      </c>
      <c r="S359" s="709" t="s">
        <v>270</v>
      </c>
      <c r="T359" s="709" t="s">
        <v>271</v>
      </c>
      <c r="U359" s="712">
        <v>46051</v>
      </c>
      <c r="V359" s="712">
        <v>46051</v>
      </c>
      <c r="W359" s="709"/>
      <c r="X359" s="702"/>
      <c r="Y359" s="702"/>
      <c r="Z359" s="702"/>
      <c r="AA359" s="702"/>
      <c r="AB359" s="702"/>
      <c r="AC359" s="702"/>
      <c r="AD359" s="702"/>
      <c r="AE359" s="46"/>
      <c r="AJ359" s="83"/>
      <c r="AK359" s="83"/>
      <c r="AL359" s="84"/>
      <c r="AM359" s="84"/>
      <c r="AN359" s="83"/>
      <c r="AO359" s="83"/>
      <c r="AT359" s="83"/>
    </row>
    <row r="360" spans="1:46" s="99" customFormat="1" ht="15.6">
      <c r="A360" s="709" t="s">
        <v>115</v>
      </c>
      <c r="B360" s="709" t="s">
        <v>258</v>
      </c>
      <c r="C360" s="506" t="str">
        <f>IF(ISBLANK(B360),"",_xlfn.XLOOKUP(B360,Recruiter!A:A,Recruiter!B:B))</f>
        <v>Bhoomika</v>
      </c>
      <c r="D360" s="506" t="str">
        <f>IF(ISBLANK(A360),"",_xlfn.XLOOKUP(A360,'Requirement Overview'!C:C,'Requirement Overview'!E:E))</f>
        <v>Talme</v>
      </c>
      <c r="E360" s="709" t="str">
        <f>IF(ISBLANK(A360),"",_xlfn.XLOOKUP(A360,'Requirement Overview'!C:C,'Requirement Overview'!H:H))</f>
        <v>IT</v>
      </c>
      <c r="F360" s="709" t="s">
        <v>117</v>
      </c>
      <c r="G360" s="506" t="str">
        <f>IF(ISBLANK(A360),"",_xlfn.XLOOKUP(A360,'Requirement Overview'!C:C,'Requirement Overview'!G:G))</f>
        <v>Viditha</v>
      </c>
      <c r="H360" s="512" t="s">
        <v>1731</v>
      </c>
      <c r="I360" s="709" t="s">
        <v>497</v>
      </c>
      <c r="J360" s="513" t="s">
        <v>1732</v>
      </c>
      <c r="K360" s="709">
        <v>6383669620</v>
      </c>
      <c r="L360" s="709" t="s">
        <v>305</v>
      </c>
      <c r="M360" s="709" t="s">
        <v>1733</v>
      </c>
      <c r="N360" s="477" t="s">
        <v>1734</v>
      </c>
      <c r="O360" s="709" t="s">
        <v>434</v>
      </c>
      <c r="P360" s="709" t="s">
        <v>1237</v>
      </c>
      <c r="Q360" s="709" t="s">
        <v>1078</v>
      </c>
      <c r="R360" s="709" t="s">
        <v>423</v>
      </c>
      <c r="S360" s="709" t="s">
        <v>270</v>
      </c>
      <c r="T360" s="709" t="s">
        <v>271</v>
      </c>
      <c r="U360" s="712">
        <v>46051</v>
      </c>
      <c r="V360" s="712">
        <v>46051</v>
      </c>
      <c r="W360" s="709"/>
      <c r="X360" s="709"/>
      <c r="Y360" s="709"/>
      <c r="Z360" s="709"/>
      <c r="AA360" s="709"/>
      <c r="AB360" s="709"/>
      <c r="AC360" s="709"/>
      <c r="AD360" s="709"/>
      <c r="AE360" s="230"/>
      <c r="AL360" s="98"/>
      <c r="AM360" s="98"/>
      <c r="AS360" s="98"/>
    </row>
    <row r="361" spans="1:46" s="322" customFormat="1" ht="14.45">
      <c r="A361" s="599" t="s">
        <v>35</v>
      </c>
      <c r="B361" s="599" t="s">
        <v>520</v>
      </c>
      <c r="C361" s="600" t="str">
        <f>IF(ISBLANK(B361),"",_xlfn.XLOOKUP(B361,Recruiter!A:A,Recruiter!B:B))</f>
        <v>Narthana</v>
      </c>
      <c r="D361" s="600" t="str">
        <f>IF(ISBLANK(A361),"",_xlfn.XLOOKUP(A361,'Requirement Overview'!C:C,'Requirement Overview'!E:E))</f>
        <v>Talme</v>
      </c>
      <c r="E361" s="599" t="str">
        <f>IF(ISBLANK(A361),"",_xlfn.XLOOKUP(A361,'Requirement Overview'!C:C,'Requirement Overview'!H:H))</f>
        <v>IT</v>
      </c>
      <c r="F361" s="599" t="str">
        <f>IF(ISBLANK(A361),"",_xlfn.XLOOKUP(A361,'Requirement Overview'!C:C,'Requirement Overview'!I:I))</f>
        <v>Windows system adminstrator</v>
      </c>
      <c r="G361" s="601" t="str">
        <f>IF(ISBLANK(A361),"",_xlfn.XLOOKUP(A361,'Requirement Overview'!C:C,'Requirement Overview'!G:G))</f>
        <v>EMIDS</v>
      </c>
      <c r="H361" s="602" t="s">
        <v>1735</v>
      </c>
      <c r="I361" s="603" t="s">
        <v>1736</v>
      </c>
      <c r="J361" s="604" t="s">
        <v>1737</v>
      </c>
      <c r="K361" s="602">
        <v>9177701218</v>
      </c>
      <c r="L361" s="603" t="s">
        <v>305</v>
      </c>
      <c r="M361" s="602" t="s">
        <v>379</v>
      </c>
      <c r="N361" s="602" t="s">
        <v>1738</v>
      </c>
      <c r="O361" s="47" t="s">
        <v>367</v>
      </c>
      <c r="P361" s="602" t="s">
        <v>879</v>
      </c>
      <c r="Q361" s="602" t="s">
        <v>879</v>
      </c>
      <c r="R361" s="47" t="s">
        <v>373</v>
      </c>
      <c r="S361" s="47" t="s">
        <v>470</v>
      </c>
      <c r="T361" s="47" t="s">
        <v>103</v>
      </c>
      <c r="U361" s="118">
        <v>46051</v>
      </c>
      <c r="V361" s="118">
        <v>46051</v>
      </c>
      <c r="W361" s="47"/>
      <c r="X361" s="47"/>
      <c r="Y361" s="47"/>
      <c r="Z361" s="47"/>
      <c r="AA361" s="47"/>
      <c r="AB361" s="47"/>
      <c r="AC361" s="47"/>
      <c r="AD361" s="47"/>
      <c r="AL361" s="321"/>
      <c r="AM361" s="321"/>
      <c r="AS361" s="321"/>
    </row>
    <row r="362" spans="1:46" s="322" customFormat="1" ht="14.45">
      <c r="A362" s="97" t="s">
        <v>35</v>
      </c>
      <c r="B362" s="97" t="s">
        <v>520</v>
      </c>
      <c r="C362" s="96" t="str">
        <f>IF(ISBLANK(B362),"",_xlfn.XLOOKUP(B362,Recruiter!A:A,Recruiter!B:B))</f>
        <v>Narthana</v>
      </c>
      <c r="D362" s="96" t="str">
        <f>IF(ISBLANK(A362),"",_xlfn.XLOOKUP(A362,'Requirement Overview'!C:C,'Requirement Overview'!E:E))</f>
        <v>Talme</v>
      </c>
      <c r="E362" s="97" t="str">
        <f>IF(ISBLANK(A362),"",_xlfn.XLOOKUP(A362,'Requirement Overview'!C:C,'Requirement Overview'!H:H))</f>
        <v>IT</v>
      </c>
      <c r="F362" s="97" t="str">
        <f>IF(ISBLANK(A362),"",_xlfn.XLOOKUP(A362,'Requirement Overview'!C:C,'Requirement Overview'!I:I))</f>
        <v>Windows system adminstrator</v>
      </c>
      <c r="G362" s="334" t="str">
        <f>IF(ISBLANK(A362),"",_xlfn.XLOOKUP(A362,'Requirement Overview'!C:C,'Requirement Overview'!G:G))</f>
        <v>EMIDS</v>
      </c>
      <c r="H362" s="92" t="s">
        <v>1739</v>
      </c>
      <c r="I362" s="177" t="s">
        <v>1740</v>
      </c>
      <c r="J362" s="336" t="s">
        <v>1741</v>
      </c>
      <c r="K362" s="92">
        <v>8984593853</v>
      </c>
      <c r="L362" s="177" t="s">
        <v>378</v>
      </c>
      <c r="M362" s="92" t="s">
        <v>395</v>
      </c>
      <c r="N362" s="92" t="s">
        <v>1742</v>
      </c>
      <c r="O362" s="24" t="s">
        <v>368</v>
      </c>
      <c r="P362" s="92" t="s">
        <v>1042</v>
      </c>
      <c r="Q362" s="92" t="s">
        <v>1042</v>
      </c>
      <c r="R362" s="24" t="s">
        <v>439</v>
      </c>
      <c r="S362" s="24" t="s">
        <v>470</v>
      </c>
      <c r="T362" s="24" t="s">
        <v>103</v>
      </c>
      <c r="U362" s="29">
        <v>46051</v>
      </c>
      <c r="V362" s="29">
        <v>46051</v>
      </c>
      <c r="W362" s="24"/>
      <c r="X362" s="24"/>
      <c r="Y362" s="24"/>
      <c r="Z362" s="24"/>
      <c r="AA362" s="24"/>
      <c r="AB362" s="24"/>
      <c r="AC362" s="24"/>
      <c r="AD362" s="24"/>
      <c r="AL362" s="321"/>
      <c r="AM362" s="321"/>
      <c r="AS362" s="321"/>
    </row>
    <row r="363" spans="1:46" s="322" customFormat="1" ht="14.45">
      <c r="A363" s="97" t="s">
        <v>35</v>
      </c>
      <c r="B363" s="97" t="s">
        <v>520</v>
      </c>
      <c r="C363" s="96" t="str">
        <f>IF(ISBLANK(B363),"",_xlfn.XLOOKUP(B363,Recruiter!A:A,Recruiter!B:B))</f>
        <v>Narthana</v>
      </c>
      <c r="D363" s="96" t="str">
        <f>IF(ISBLANK(A363),"",_xlfn.XLOOKUP(A363,'Requirement Overview'!C:C,'Requirement Overview'!E:E))</f>
        <v>Talme</v>
      </c>
      <c r="E363" s="97" t="str">
        <f>IF(ISBLANK(A363),"",_xlfn.XLOOKUP(A363,'Requirement Overview'!C:C,'Requirement Overview'!H:H))</f>
        <v>IT</v>
      </c>
      <c r="F363" s="97" t="str">
        <f>IF(ISBLANK(A363),"",_xlfn.XLOOKUP(A363,'Requirement Overview'!C:C,'Requirement Overview'!I:I))</f>
        <v>Windows system adminstrator</v>
      </c>
      <c r="G363" s="334" t="str">
        <f>IF(ISBLANK(A363),"",_xlfn.XLOOKUP(A363,'Requirement Overview'!C:C,'Requirement Overview'!G:G))</f>
        <v>EMIDS</v>
      </c>
      <c r="H363" s="48" t="s">
        <v>1743</v>
      </c>
      <c r="I363" s="332" t="s">
        <v>1744</v>
      </c>
      <c r="J363" s="335" t="s">
        <v>1745</v>
      </c>
      <c r="K363" s="48">
        <v>9398677335</v>
      </c>
      <c r="L363" s="332" t="s">
        <v>305</v>
      </c>
      <c r="M363" s="48" t="s">
        <v>685</v>
      </c>
      <c r="N363" s="48" t="s">
        <v>415</v>
      </c>
      <c r="O363" s="24" t="s">
        <v>429</v>
      </c>
      <c r="P363" s="48" t="s">
        <v>1042</v>
      </c>
      <c r="Q363" s="48" t="s">
        <v>1042</v>
      </c>
      <c r="R363" s="24" t="s">
        <v>386</v>
      </c>
      <c r="S363" s="24" t="s">
        <v>470</v>
      </c>
      <c r="T363" s="24" t="s">
        <v>103</v>
      </c>
      <c r="U363" s="29">
        <v>46051</v>
      </c>
      <c r="V363" s="29">
        <v>46051</v>
      </c>
      <c r="W363" s="24"/>
      <c r="X363" s="24"/>
      <c r="Y363" s="24"/>
      <c r="Z363" s="24"/>
      <c r="AA363" s="24"/>
      <c r="AB363" s="24"/>
      <c r="AC363" s="24"/>
      <c r="AD363" s="24"/>
      <c r="AL363" s="321"/>
      <c r="AM363" s="321"/>
      <c r="AS363" s="321"/>
    </row>
    <row r="364" spans="1:46" ht="14.45">
      <c r="A364" s="97" t="s">
        <v>35</v>
      </c>
      <c r="B364" s="97" t="s">
        <v>520</v>
      </c>
      <c r="C364" s="96" t="str">
        <f>IF(ISBLANK(B364),"",_xlfn.XLOOKUP(B364,Recruiter!A:A,Recruiter!B:B))</f>
        <v>Narthana</v>
      </c>
      <c r="D364" s="96" t="str">
        <f>IF(ISBLANK(A364),"",_xlfn.XLOOKUP(A364,'Requirement Overview'!C:C,'Requirement Overview'!E:E))</f>
        <v>Talme</v>
      </c>
      <c r="E364" s="97" t="str">
        <f>IF(ISBLANK(A364),"",_xlfn.XLOOKUP(A364,'Requirement Overview'!C:C,'Requirement Overview'!H:H))</f>
        <v>IT</v>
      </c>
      <c r="F364" s="97" t="str">
        <f>IF(ISBLANK(A364),"",_xlfn.XLOOKUP(A364,'Requirement Overview'!C:C,'Requirement Overview'!I:I))</f>
        <v>Windows system adminstrator</v>
      </c>
      <c r="G364" s="334" t="str">
        <f>IF(ISBLANK(A364),"",_xlfn.XLOOKUP(A364,'Requirement Overview'!C:C,'Requirement Overview'!G:G))</f>
        <v>EMIDS</v>
      </c>
      <c r="H364" s="48" t="s">
        <v>1746</v>
      </c>
      <c r="I364" s="332" t="s">
        <v>1747</v>
      </c>
      <c r="J364" s="337" t="s">
        <v>1748</v>
      </c>
      <c r="K364" s="48">
        <v>8208432987</v>
      </c>
      <c r="L364" s="332" t="s">
        <v>404</v>
      </c>
      <c r="M364" s="48" t="s">
        <v>395</v>
      </c>
      <c r="N364" s="48" t="s">
        <v>1749</v>
      </c>
      <c r="O364" s="24" t="s">
        <v>1138</v>
      </c>
      <c r="P364" s="48" t="s">
        <v>569</v>
      </c>
      <c r="Q364" s="48" t="s">
        <v>1042</v>
      </c>
      <c r="R364" s="24" t="s">
        <v>439</v>
      </c>
      <c r="S364" s="24" t="s">
        <v>470</v>
      </c>
      <c r="T364" s="24" t="s">
        <v>103</v>
      </c>
      <c r="U364" s="29">
        <v>46051</v>
      </c>
      <c r="V364" s="29">
        <v>46051</v>
      </c>
      <c r="AE364" s="99"/>
      <c r="AF364" s="99"/>
      <c r="AG364" s="99"/>
      <c r="AH364" s="99"/>
      <c r="AI364" s="99"/>
      <c r="AJ364" s="99"/>
      <c r="AK364" s="99"/>
      <c r="AL364" s="98"/>
      <c r="AM364" s="98"/>
      <c r="AN364" s="99"/>
      <c r="AO364" s="99"/>
      <c r="AT364" s="83"/>
    </row>
    <row r="365" spans="1:46" ht="14.45">
      <c r="A365" s="24" t="s">
        <v>33</v>
      </c>
      <c r="B365" s="100" t="s">
        <v>340</v>
      </c>
      <c r="C365" s="101" t="str">
        <f>IF(ISBLANK(B365),"",_xlfn.XLOOKUP(B365,Recruiter!A:A,Recruiter!B:B))</f>
        <v>Harshitha</v>
      </c>
      <c r="D365" s="101" t="str">
        <f>IF(ISBLANK(A365),"",_xlfn.XLOOKUP(A365,'Requirement Overview'!C:C,'Requirement Overview'!E:E))</f>
        <v>Talme</v>
      </c>
      <c r="E365" s="100" t="str">
        <f>IF(ISBLANK(A365),"",_xlfn.XLOOKUP(A365,'Requirement Overview'!C:C,'Requirement Overview'!H:H))</f>
        <v>IT</v>
      </c>
      <c r="F365" s="100" t="str">
        <f>IF(ISBLANK(A365),"",_xlfn.XLOOKUP(A365,'Requirement Overview'!C:C,'Requirement Overview'!I:I))</f>
        <v>Python Architect</v>
      </c>
      <c r="G365" s="149" t="str">
        <f>IF(ISBLANK(A365),"",_xlfn.XLOOKUP(A365,'Requirement Overview'!C:C,'Requirement Overview'!G:G))</f>
        <v>EMIDS</v>
      </c>
      <c r="H365" s="187" t="s">
        <v>1750</v>
      </c>
      <c r="I365" s="170" t="s">
        <v>1751</v>
      </c>
      <c r="J365" s="205" t="s">
        <v>1752</v>
      </c>
      <c r="K365" s="234">
        <v>8500894810</v>
      </c>
      <c r="L365" s="170" t="s">
        <v>378</v>
      </c>
      <c r="M365" s="44" t="s">
        <v>351</v>
      </c>
      <c r="N365" s="48" t="s">
        <v>1753</v>
      </c>
      <c r="O365" s="24" t="s">
        <v>345</v>
      </c>
      <c r="P365" s="48" t="s">
        <v>268</v>
      </c>
      <c r="Q365" s="48" t="s">
        <v>268</v>
      </c>
      <c r="R365" s="24" t="s">
        <v>445</v>
      </c>
      <c r="S365" s="24" t="s">
        <v>270</v>
      </c>
      <c r="T365" s="24" t="s">
        <v>103</v>
      </c>
      <c r="U365" s="29">
        <v>46051</v>
      </c>
      <c r="V365" s="29">
        <v>46051</v>
      </c>
      <c r="AP365" s="83"/>
      <c r="AQ365" s="83"/>
      <c r="AR365" s="83"/>
      <c r="AS365" s="84"/>
    </row>
    <row r="366" spans="1:46" ht="14.45">
      <c r="A366" s="24" t="s">
        <v>33</v>
      </c>
      <c r="B366" s="100" t="s">
        <v>340</v>
      </c>
      <c r="C366" s="101" t="str">
        <f>IF(ISBLANK(B366),"",_xlfn.XLOOKUP(B366,Recruiter!A:A,Recruiter!B:B))</f>
        <v>Harshitha</v>
      </c>
      <c r="D366" s="101" t="str">
        <f>IF(ISBLANK(A366),"",_xlfn.XLOOKUP(A366,'Requirement Overview'!C:C,'Requirement Overview'!E:E))</f>
        <v>Talme</v>
      </c>
      <c r="E366" s="100" t="str">
        <f>IF(ISBLANK(A366),"",_xlfn.XLOOKUP(A366,'Requirement Overview'!C:C,'Requirement Overview'!H:H))</f>
        <v>IT</v>
      </c>
      <c r="F366" s="100" t="str">
        <f>IF(ISBLANK(A366),"",_xlfn.XLOOKUP(A366,'Requirement Overview'!C:C,'Requirement Overview'!I:I))</f>
        <v>Python Architect</v>
      </c>
      <c r="G366" s="149" t="str">
        <f>IF(ISBLANK(A366),"",_xlfn.XLOOKUP(A366,'Requirement Overview'!C:C,'Requirement Overview'!G:G))</f>
        <v>EMIDS</v>
      </c>
      <c r="H366" s="187" t="s">
        <v>1754</v>
      </c>
      <c r="I366" s="170" t="s">
        <v>1755</v>
      </c>
      <c r="J366" s="215" t="s">
        <v>1756</v>
      </c>
      <c r="K366" s="234">
        <v>8178873366</v>
      </c>
      <c r="L366" s="170" t="s">
        <v>305</v>
      </c>
      <c r="M366" s="44" t="s">
        <v>1425</v>
      </c>
      <c r="N366" s="48" t="s">
        <v>1757</v>
      </c>
      <c r="O366" s="24" t="s">
        <v>1758</v>
      </c>
      <c r="P366" s="48" t="s">
        <v>268</v>
      </c>
      <c r="Q366" s="48" t="s">
        <v>806</v>
      </c>
      <c r="R366" s="24" t="s">
        <v>1759</v>
      </c>
      <c r="S366" s="24" t="s">
        <v>270</v>
      </c>
      <c r="T366" s="24" t="s">
        <v>103</v>
      </c>
      <c r="U366" s="29">
        <v>46051</v>
      </c>
      <c r="V366" s="29">
        <v>46051</v>
      </c>
      <c r="AJ366" s="83"/>
      <c r="AK366" s="83"/>
      <c r="AL366" s="84"/>
      <c r="AM366" s="84"/>
      <c r="AN366" s="83"/>
      <c r="AO366" s="83"/>
      <c r="AT366" s="83"/>
    </row>
    <row r="367" spans="1:46" ht="14.45">
      <c r="A367" s="24" t="s">
        <v>33</v>
      </c>
      <c r="B367" s="100" t="s">
        <v>340</v>
      </c>
      <c r="C367" s="101" t="str">
        <f>IF(ISBLANK(B367),"",_xlfn.XLOOKUP(B367,Recruiter!A:A,Recruiter!B:B))</f>
        <v>Harshitha</v>
      </c>
      <c r="D367" s="101" t="str">
        <f>IF(ISBLANK(A367),"",_xlfn.XLOOKUP(A367,'Requirement Overview'!C:C,'Requirement Overview'!E:E))</f>
        <v>Talme</v>
      </c>
      <c r="E367" s="100" t="str">
        <f>IF(ISBLANK(A367),"",_xlfn.XLOOKUP(A367,'Requirement Overview'!C:C,'Requirement Overview'!H:H))</f>
        <v>IT</v>
      </c>
      <c r="F367" s="100" t="str">
        <f>IF(ISBLANK(A367),"",_xlfn.XLOOKUP(A367,'Requirement Overview'!C:C,'Requirement Overview'!I:I))</f>
        <v>Python Architect</v>
      </c>
      <c r="G367" s="149" t="str">
        <f>IF(ISBLANK(A367),"",_xlfn.XLOOKUP(A367,'Requirement Overview'!C:C,'Requirement Overview'!G:G))</f>
        <v>EMIDS</v>
      </c>
      <c r="H367" s="187" t="s">
        <v>1760</v>
      </c>
      <c r="I367" s="170" t="s">
        <v>1761</v>
      </c>
      <c r="J367" s="215" t="s">
        <v>1762</v>
      </c>
      <c r="K367" s="234">
        <v>9711938529</v>
      </c>
      <c r="L367" s="170" t="s">
        <v>378</v>
      </c>
      <c r="M367" s="44" t="s">
        <v>1763</v>
      </c>
      <c r="N367" s="48" t="s">
        <v>703</v>
      </c>
      <c r="O367" s="24" t="s">
        <v>353</v>
      </c>
      <c r="P367" s="48" t="s">
        <v>806</v>
      </c>
      <c r="Q367" s="48" t="s">
        <v>806</v>
      </c>
      <c r="R367" s="24" t="s">
        <v>469</v>
      </c>
      <c r="S367" s="24" t="s">
        <v>270</v>
      </c>
      <c r="T367" s="24" t="s">
        <v>103</v>
      </c>
      <c r="U367" s="29">
        <v>46051</v>
      </c>
      <c r="V367" s="29">
        <v>46051</v>
      </c>
      <c r="AJ367" s="83"/>
      <c r="AK367" s="83"/>
      <c r="AL367" s="84"/>
      <c r="AM367" s="84"/>
      <c r="AN367" s="83"/>
      <c r="AO367" s="83"/>
      <c r="AP367" s="83"/>
      <c r="AQ367" s="83"/>
      <c r="AR367" s="83"/>
      <c r="AS367" s="84"/>
    </row>
    <row r="368" spans="1:46" ht="14.45">
      <c r="A368" s="24" t="s">
        <v>33</v>
      </c>
      <c r="B368" s="100" t="s">
        <v>340</v>
      </c>
      <c r="C368" s="101" t="str">
        <f>IF(ISBLANK(B368),"",_xlfn.XLOOKUP(B368,Recruiter!A:A,Recruiter!B:B))</f>
        <v>Harshitha</v>
      </c>
      <c r="D368" s="101" t="str">
        <f>IF(ISBLANK(A368),"",_xlfn.XLOOKUP(A368,'Requirement Overview'!C:C,'Requirement Overview'!E:E))</f>
        <v>Talme</v>
      </c>
      <c r="E368" s="100" t="str">
        <f>IF(ISBLANK(A368),"",_xlfn.XLOOKUP(A368,'Requirement Overview'!C:C,'Requirement Overview'!H:H))</f>
        <v>IT</v>
      </c>
      <c r="F368" s="100" t="str">
        <f>IF(ISBLANK(A368),"",_xlfn.XLOOKUP(A368,'Requirement Overview'!C:C,'Requirement Overview'!I:I))</f>
        <v>Python Architect</v>
      </c>
      <c r="G368" s="149" t="str">
        <f>IF(ISBLANK(A368),"",_xlfn.XLOOKUP(A368,'Requirement Overview'!C:C,'Requirement Overview'!G:G))</f>
        <v>EMIDS</v>
      </c>
      <c r="H368" s="187" t="s">
        <v>1764</v>
      </c>
      <c r="I368" s="170" t="s">
        <v>519</v>
      </c>
      <c r="J368" s="215" t="s">
        <v>1765</v>
      </c>
      <c r="K368" s="234">
        <v>8088782402</v>
      </c>
      <c r="L368" s="170" t="s">
        <v>305</v>
      </c>
      <c r="M368" s="44" t="s">
        <v>1763</v>
      </c>
      <c r="N368" s="48" t="s">
        <v>1766</v>
      </c>
      <c r="O368" s="24" t="s">
        <v>345</v>
      </c>
      <c r="P368" s="48" t="s">
        <v>268</v>
      </c>
      <c r="Q368" s="48" t="s">
        <v>268</v>
      </c>
      <c r="R368" s="24" t="s">
        <v>445</v>
      </c>
      <c r="S368" s="24" t="s">
        <v>270</v>
      </c>
      <c r="T368" s="24" t="s">
        <v>103</v>
      </c>
      <c r="U368" s="29">
        <v>46051</v>
      </c>
      <c r="V368" s="29">
        <v>46051</v>
      </c>
      <c r="AT368" s="83"/>
    </row>
    <row r="369" spans="1:46" ht="14.45">
      <c r="A369" s="24" t="s">
        <v>33</v>
      </c>
      <c r="B369" s="100" t="s">
        <v>340</v>
      </c>
      <c r="C369" s="101" t="str">
        <f>IF(ISBLANK(B369),"",_xlfn.XLOOKUP(B369,Recruiter!A:A,Recruiter!B:B))</f>
        <v>Harshitha</v>
      </c>
      <c r="D369" s="101" t="str">
        <f>IF(ISBLANK(A369),"",_xlfn.XLOOKUP(A369,'Requirement Overview'!C:C,'Requirement Overview'!E:E))</f>
        <v>Talme</v>
      </c>
      <c r="E369" s="100" t="str">
        <f>IF(ISBLANK(A369),"",_xlfn.XLOOKUP(A369,'Requirement Overview'!C:C,'Requirement Overview'!H:H))</f>
        <v>IT</v>
      </c>
      <c r="F369" s="100" t="str">
        <f>IF(ISBLANK(A369),"",_xlfn.XLOOKUP(A369,'Requirement Overview'!C:C,'Requirement Overview'!I:I))</f>
        <v>Python Architect</v>
      </c>
      <c r="G369" s="149" t="str">
        <f>IF(ISBLANK(A369),"",_xlfn.XLOOKUP(A369,'Requirement Overview'!C:C,'Requirement Overview'!G:G))</f>
        <v>EMIDS</v>
      </c>
      <c r="H369" s="187" t="s">
        <v>1767</v>
      </c>
      <c r="I369" s="170" t="s">
        <v>1198</v>
      </c>
      <c r="J369" s="215" t="s">
        <v>1768</v>
      </c>
      <c r="K369" s="234">
        <v>7259453548</v>
      </c>
      <c r="L369" s="170" t="s">
        <v>305</v>
      </c>
      <c r="M369" s="44" t="s">
        <v>487</v>
      </c>
      <c r="N369" s="48" t="s">
        <v>1769</v>
      </c>
      <c r="O369" s="24" t="s">
        <v>445</v>
      </c>
      <c r="P369" s="48" t="s">
        <v>1309</v>
      </c>
      <c r="Q369" s="48" t="s">
        <v>806</v>
      </c>
      <c r="R369" s="24" t="s">
        <v>1546</v>
      </c>
      <c r="S369" s="24" t="s">
        <v>270</v>
      </c>
      <c r="T369" s="24" t="s">
        <v>103</v>
      </c>
      <c r="U369" s="29">
        <v>46051</v>
      </c>
      <c r="V369" s="29">
        <v>46051</v>
      </c>
      <c r="AJ369" s="83"/>
      <c r="AK369" s="83"/>
      <c r="AL369" s="84"/>
      <c r="AM369" s="84"/>
      <c r="AN369" s="83"/>
      <c r="AO369" s="83"/>
      <c r="AP369" s="83"/>
      <c r="AQ369" s="83"/>
      <c r="AR369" s="83"/>
      <c r="AS369" s="84"/>
    </row>
    <row r="370" spans="1:46" ht="14.45">
      <c r="A370" s="51" t="s">
        <v>33</v>
      </c>
      <c r="B370" s="87" t="s">
        <v>340</v>
      </c>
      <c r="C370" s="88" t="str">
        <f>IF(ISBLANK(B370),"",_xlfn.XLOOKUP(B370,Recruiter!A:A,Recruiter!B:B))</f>
        <v>Harshitha</v>
      </c>
      <c r="D370" s="88" t="str">
        <f>IF(ISBLANK(A370),"",_xlfn.XLOOKUP(A370,'Requirement Overview'!C:C,'Requirement Overview'!E:E))</f>
        <v>Talme</v>
      </c>
      <c r="E370" s="87" t="str">
        <f>IF(ISBLANK(A370),"",_xlfn.XLOOKUP(A370,'Requirement Overview'!C:C,'Requirement Overview'!H:H))</f>
        <v>IT</v>
      </c>
      <c r="F370" s="87" t="str">
        <f>IF(ISBLANK(A370),"",_xlfn.XLOOKUP(A370,'Requirement Overview'!C:C,'Requirement Overview'!I:I))</f>
        <v>Python Architect</v>
      </c>
      <c r="G370" s="150" t="str">
        <f>IF(ISBLANK(A370),"",_xlfn.XLOOKUP(A370,'Requirement Overview'!C:C,'Requirement Overview'!G:G))</f>
        <v>EMIDS</v>
      </c>
      <c r="H370" s="187" t="s">
        <v>1770</v>
      </c>
      <c r="I370" s="179" t="s">
        <v>1321</v>
      </c>
      <c r="J370" s="216" t="s">
        <v>1771</v>
      </c>
      <c r="K370" s="233">
        <v>9966888092</v>
      </c>
      <c r="L370" s="179" t="s">
        <v>305</v>
      </c>
      <c r="M370" s="60" t="s">
        <v>1598</v>
      </c>
      <c r="N370" s="48" t="s">
        <v>1772</v>
      </c>
      <c r="O370" s="24" t="s">
        <v>353</v>
      </c>
      <c r="P370" s="48" t="s">
        <v>879</v>
      </c>
      <c r="Q370" s="48" t="s">
        <v>879</v>
      </c>
      <c r="R370" s="24" t="s">
        <v>345</v>
      </c>
      <c r="S370" s="24" t="s">
        <v>270</v>
      </c>
      <c r="T370" s="51" t="s">
        <v>103</v>
      </c>
      <c r="U370" s="89">
        <v>46051</v>
      </c>
      <c r="V370" s="89">
        <v>46051</v>
      </c>
      <c r="AP370" s="83"/>
      <c r="AQ370" s="83"/>
      <c r="AR370" s="83"/>
      <c r="AS370" s="84"/>
      <c r="AT370" s="83"/>
    </row>
    <row r="371" spans="1:46" ht="14.45">
      <c r="A371" s="3" t="s">
        <v>115</v>
      </c>
      <c r="B371" s="102" t="s">
        <v>236</v>
      </c>
      <c r="C371" s="103" t="str">
        <f>IF(ISBLANK(B371),"",_xlfn.XLOOKUP(B371,Recruiter!A:A,Recruiter!B:B))</f>
        <v>Pooja</v>
      </c>
      <c r="D371" s="103" t="str">
        <f>IF(ISBLANK(A371),"",_xlfn.XLOOKUP(A371,'Requirement Overview'!C:C,'Requirement Overview'!E:E))</f>
        <v>Talme</v>
      </c>
      <c r="E371" s="102" t="str">
        <f>IF(ISBLANK(A371),"",_xlfn.XLOOKUP(A371,'Requirement Overview'!C:C,'Requirement Overview'!H:H))</f>
        <v>IT</v>
      </c>
      <c r="F371" s="102" t="str">
        <f>IF(ISBLANK(A371),"",_xlfn.XLOOKUP(A371,'Requirement Overview'!C:C,'Requirement Overview'!I:I))</f>
        <v>Developer - Angular &amp; Node Js</v>
      </c>
      <c r="G371" s="151" t="str">
        <f>IF(ISBLANK(A371),"",_xlfn.XLOOKUP(A371,'Requirement Overview'!C:C,'Requirement Overview'!G:G))</f>
        <v>Viditha</v>
      </c>
      <c r="H371" s="188" t="s">
        <v>1773</v>
      </c>
      <c r="I371" s="61" t="s">
        <v>262</v>
      </c>
      <c r="J371" s="217" t="s">
        <v>1774</v>
      </c>
      <c r="K371" s="24">
        <v>8281810887</v>
      </c>
      <c r="L371" s="61" t="s">
        <v>695</v>
      </c>
      <c r="M371" s="3" t="s">
        <v>1775</v>
      </c>
      <c r="N371" s="48" t="s">
        <v>1776</v>
      </c>
      <c r="O371" s="3" t="s">
        <v>429</v>
      </c>
      <c r="P371" s="48" t="s">
        <v>1609</v>
      </c>
      <c r="Q371" s="48" t="s">
        <v>1347</v>
      </c>
      <c r="R371" s="24" t="s">
        <v>1777</v>
      </c>
      <c r="S371" s="3" t="s">
        <v>470</v>
      </c>
      <c r="T371" s="3" t="s">
        <v>271</v>
      </c>
      <c r="U371" s="55">
        <v>46051</v>
      </c>
      <c r="V371" s="55">
        <v>46051</v>
      </c>
      <c r="W371" s="46"/>
      <c r="AJ371" s="83"/>
      <c r="AK371" s="83"/>
      <c r="AL371" s="84"/>
      <c r="AM371" s="84"/>
      <c r="AN371" s="83"/>
      <c r="AO371" s="83"/>
      <c r="AT371" s="83"/>
    </row>
    <row r="372" spans="1:46" ht="14.45">
      <c r="A372" s="50" t="s">
        <v>115</v>
      </c>
      <c r="B372" s="50" t="s">
        <v>236</v>
      </c>
      <c r="C372" s="104" t="str">
        <f>IF(ISBLANK(B372),"",_xlfn.XLOOKUP(B372,Recruiter!A:A,Recruiter!B:B))</f>
        <v>Pooja</v>
      </c>
      <c r="D372" s="104" t="str">
        <f>IF(ISBLANK(A372),"",_xlfn.XLOOKUP(A372,'Requirement Overview'!C:C,'Requirement Overview'!E:E))</f>
        <v>Talme</v>
      </c>
      <c r="E372" s="105" t="str">
        <f>IF(ISBLANK(A372),"",_xlfn.XLOOKUP(A372,'Requirement Overview'!C:C,'Requirement Overview'!H:H))</f>
        <v>IT</v>
      </c>
      <c r="F372" s="105" t="str">
        <f>IF(ISBLANK(A372),"",_xlfn.XLOOKUP(A372,'Requirement Overview'!C:C,'Requirement Overview'!I:I))</f>
        <v>Developer - Angular &amp; Node Js</v>
      </c>
      <c r="G372" s="152" t="str">
        <f>IF(ISBLANK(A372),"",_xlfn.XLOOKUP(A372,'Requirement Overview'!C:C,'Requirement Overview'!G:G))</f>
        <v>Viditha</v>
      </c>
      <c r="H372" s="28" t="s">
        <v>1778</v>
      </c>
      <c r="I372" s="63" t="s">
        <v>1779</v>
      </c>
      <c r="J372" s="207" t="s">
        <v>1780</v>
      </c>
      <c r="K372" s="235">
        <v>9483535669</v>
      </c>
      <c r="L372" s="63" t="s">
        <v>695</v>
      </c>
      <c r="M372" s="50" t="s">
        <v>1781</v>
      </c>
      <c r="N372" s="82" t="s">
        <v>1782</v>
      </c>
      <c r="O372" s="50" t="s">
        <v>386</v>
      </c>
      <c r="P372" s="48" t="s">
        <v>1783</v>
      </c>
      <c r="Q372" s="48" t="s">
        <v>1347</v>
      </c>
      <c r="R372" s="24" t="s">
        <v>1784</v>
      </c>
      <c r="S372" s="50" t="s">
        <v>470</v>
      </c>
      <c r="T372" s="50" t="s">
        <v>271</v>
      </c>
      <c r="U372" s="106">
        <v>46051</v>
      </c>
      <c r="V372" s="106">
        <v>46051</v>
      </c>
      <c r="W372" s="46"/>
      <c r="AP372" s="83"/>
      <c r="AQ372" s="83"/>
      <c r="AR372" s="83"/>
      <c r="AS372" s="84"/>
    </row>
    <row r="373" spans="1:46" ht="14.45">
      <c r="A373" s="3" t="s">
        <v>115</v>
      </c>
      <c r="B373" s="3" t="s">
        <v>236</v>
      </c>
      <c r="C373" s="103" t="str">
        <f>IF(ISBLANK(B373),"",_xlfn.XLOOKUP(B373,Recruiter!A:A,Recruiter!B:B))</f>
        <v>Pooja</v>
      </c>
      <c r="D373" s="3" t="s">
        <v>25</v>
      </c>
      <c r="E373" s="3" t="s">
        <v>27</v>
      </c>
      <c r="F373" s="3" t="s">
        <v>117</v>
      </c>
      <c r="G373" s="4" t="s">
        <v>116</v>
      </c>
      <c r="H373" s="28" t="s">
        <v>1785</v>
      </c>
      <c r="I373" s="61" t="s">
        <v>1779</v>
      </c>
      <c r="J373" s="203" t="s">
        <v>1786</v>
      </c>
      <c r="K373" s="235">
        <v>8344669833</v>
      </c>
      <c r="L373" s="61" t="s">
        <v>695</v>
      </c>
      <c r="M373" s="3" t="s">
        <v>1787</v>
      </c>
      <c r="N373" s="45" t="s">
        <v>672</v>
      </c>
      <c r="O373" s="3" t="s">
        <v>548</v>
      </c>
      <c r="P373" s="48" t="s">
        <v>1783</v>
      </c>
      <c r="Q373" s="48" t="s">
        <v>1347</v>
      </c>
      <c r="R373" s="3" t="s">
        <v>1788</v>
      </c>
      <c r="S373" s="3" t="s">
        <v>470</v>
      </c>
      <c r="T373" s="3" t="s">
        <v>271</v>
      </c>
      <c r="U373" s="55">
        <v>46051</v>
      </c>
      <c r="V373" s="55">
        <v>46051</v>
      </c>
      <c r="W373" s="46"/>
      <c r="AJ373" s="83"/>
      <c r="AK373" s="83"/>
      <c r="AL373" s="84"/>
      <c r="AM373" s="84"/>
      <c r="AN373" s="83"/>
      <c r="AO373" s="83"/>
      <c r="AT373" s="83"/>
    </row>
    <row r="374" spans="1:46" ht="14.45">
      <c r="A374" s="3" t="s">
        <v>55</v>
      </c>
      <c r="B374" s="3" t="s">
        <v>236</v>
      </c>
      <c r="C374" s="3" t="s">
        <v>510</v>
      </c>
      <c r="D374" s="3" t="s">
        <v>25</v>
      </c>
      <c r="E374" s="3" t="s">
        <v>27</v>
      </c>
      <c r="F374" s="3" t="s">
        <v>58</v>
      </c>
      <c r="G374" s="4" t="s">
        <v>56</v>
      </c>
      <c r="H374" s="188" t="s">
        <v>1789</v>
      </c>
      <c r="I374" s="61" t="s">
        <v>750</v>
      </c>
      <c r="J374" s="217" t="s">
        <v>1790</v>
      </c>
      <c r="K374" s="24">
        <v>7753066765</v>
      </c>
      <c r="L374" s="231" t="s">
        <v>641</v>
      </c>
      <c r="M374" s="3" t="s">
        <v>1791</v>
      </c>
      <c r="N374" s="117" t="s">
        <v>1792</v>
      </c>
      <c r="O374" s="3" t="s">
        <v>730</v>
      </c>
      <c r="P374" s="48" t="s">
        <v>1783</v>
      </c>
      <c r="Q374" s="48" t="s">
        <v>1783</v>
      </c>
      <c r="R374" s="45" t="s">
        <v>434</v>
      </c>
      <c r="S374" s="3" t="s">
        <v>470</v>
      </c>
      <c r="T374" s="3" t="s">
        <v>103</v>
      </c>
      <c r="U374" s="55">
        <v>46052</v>
      </c>
      <c r="V374" s="55">
        <v>46052</v>
      </c>
      <c r="W374" s="46"/>
      <c r="AJ374" s="83"/>
      <c r="AK374" s="83"/>
      <c r="AL374" s="84"/>
      <c r="AM374" s="84"/>
      <c r="AN374" s="83"/>
      <c r="AO374" s="83"/>
      <c r="AP374" s="83"/>
      <c r="AQ374" s="83"/>
      <c r="AR374" s="83"/>
      <c r="AS374" s="84"/>
    </row>
    <row r="375" spans="1:46" ht="14.45">
      <c r="A375" s="3" t="s">
        <v>55</v>
      </c>
      <c r="B375" s="3" t="s">
        <v>236</v>
      </c>
      <c r="C375" s="45" t="s">
        <v>510</v>
      </c>
      <c r="D375" s="45" t="s">
        <v>25</v>
      </c>
      <c r="E375" s="45" t="s">
        <v>27</v>
      </c>
      <c r="F375" s="45" t="s">
        <v>58</v>
      </c>
      <c r="G375" s="147" t="s">
        <v>56</v>
      </c>
      <c r="H375" s="188" t="s">
        <v>1793</v>
      </c>
      <c r="I375" s="61" t="s">
        <v>519</v>
      </c>
      <c r="J375" s="217" t="s">
        <v>1794</v>
      </c>
      <c r="K375" s="235">
        <v>7588746945</v>
      </c>
      <c r="L375" s="61" t="s">
        <v>641</v>
      </c>
      <c r="M375" s="3" t="s">
        <v>1795</v>
      </c>
      <c r="N375" s="45" t="s">
        <v>1796</v>
      </c>
      <c r="O375" s="81" t="s">
        <v>1797</v>
      </c>
      <c r="P375" s="81" t="s">
        <v>837</v>
      </c>
      <c r="Q375" s="81" t="s">
        <v>837</v>
      </c>
      <c r="R375" s="81" t="s">
        <v>1798</v>
      </c>
      <c r="S375" s="81" t="s">
        <v>470</v>
      </c>
      <c r="T375" s="3" t="s">
        <v>103</v>
      </c>
      <c r="U375" s="55">
        <v>46052</v>
      </c>
      <c r="V375" s="55">
        <v>46052</v>
      </c>
      <c r="W375" s="46"/>
      <c r="AT375" s="83"/>
    </row>
    <row r="376" spans="1:46" ht="14.45">
      <c r="A376" s="3" t="s">
        <v>55</v>
      </c>
      <c r="B376" s="3" t="s">
        <v>236</v>
      </c>
      <c r="C376" s="45" t="s">
        <v>510</v>
      </c>
      <c r="D376" s="45" t="s">
        <v>25</v>
      </c>
      <c r="E376" s="45" t="s">
        <v>27</v>
      </c>
      <c r="F376" s="45" t="s">
        <v>58</v>
      </c>
      <c r="G376" s="147" t="s">
        <v>56</v>
      </c>
      <c r="H376" s="188" t="s">
        <v>1799</v>
      </c>
      <c r="I376" s="61" t="s">
        <v>519</v>
      </c>
      <c r="J376" s="217" t="s">
        <v>1800</v>
      </c>
      <c r="K376" s="24">
        <v>8088094020</v>
      </c>
      <c r="L376" s="61" t="s">
        <v>404</v>
      </c>
      <c r="M376" s="3" t="s">
        <v>1801</v>
      </c>
      <c r="N376" s="45" t="s">
        <v>1802</v>
      </c>
      <c r="O376" s="3" t="s">
        <v>568</v>
      </c>
      <c r="P376" s="81" t="s">
        <v>268</v>
      </c>
      <c r="Q376" s="3" t="s">
        <v>904</v>
      </c>
      <c r="R376" s="3" t="s">
        <v>843</v>
      </c>
      <c r="S376" s="3" t="s">
        <v>470</v>
      </c>
      <c r="T376" s="3" t="s">
        <v>103</v>
      </c>
      <c r="U376" s="55">
        <v>46052</v>
      </c>
      <c r="V376" s="55">
        <v>46052</v>
      </c>
      <c r="W376" s="46"/>
      <c r="AJ376" s="83"/>
      <c r="AK376" s="83"/>
      <c r="AL376" s="84"/>
      <c r="AM376" s="84"/>
      <c r="AN376" s="83"/>
      <c r="AO376" s="83"/>
      <c r="AP376" s="83"/>
      <c r="AQ376" s="83"/>
      <c r="AR376" s="83"/>
      <c r="AS376" s="84"/>
    </row>
    <row r="377" spans="1:46" ht="14.45">
      <c r="A377" s="3" t="s">
        <v>55</v>
      </c>
      <c r="B377" s="3" t="s">
        <v>236</v>
      </c>
      <c r="C377" s="45" t="s">
        <v>510</v>
      </c>
      <c r="D377" s="45" t="s">
        <v>25</v>
      </c>
      <c r="E377" s="45" t="s">
        <v>27</v>
      </c>
      <c r="F377" s="45" t="s">
        <v>58</v>
      </c>
      <c r="G377" s="147" t="s">
        <v>56</v>
      </c>
      <c r="H377" s="188" t="s">
        <v>1803</v>
      </c>
      <c r="I377" s="61" t="s">
        <v>519</v>
      </c>
      <c r="J377" s="217" t="s">
        <v>1804</v>
      </c>
      <c r="K377" s="235">
        <v>8940790599</v>
      </c>
      <c r="L377" s="61" t="s">
        <v>713</v>
      </c>
      <c r="M377" s="3" t="s">
        <v>1805</v>
      </c>
      <c r="N377" s="45" t="s">
        <v>1806</v>
      </c>
      <c r="O377" s="3" t="s">
        <v>327</v>
      </c>
      <c r="P377" s="3" t="s">
        <v>1807</v>
      </c>
      <c r="Q377" s="3" t="s">
        <v>837</v>
      </c>
      <c r="R377" s="45" t="s">
        <v>434</v>
      </c>
      <c r="S377" s="3" t="s">
        <v>470</v>
      </c>
      <c r="T377" s="3" t="s">
        <v>103</v>
      </c>
      <c r="U377" s="55">
        <v>46052</v>
      </c>
      <c r="V377" s="55">
        <v>46052</v>
      </c>
      <c r="W377" s="46"/>
      <c r="AP377" s="83"/>
      <c r="AQ377" s="83"/>
      <c r="AR377" s="83"/>
      <c r="AS377" s="84"/>
      <c r="AT377" s="83"/>
    </row>
    <row r="378" spans="1:46" ht="14.45">
      <c r="A378" s="3" t="s">
        <v>55</v>
      </c>
      <c r="B378" s="3" t="s">
        <v>236</v>
      </c>
      <c r="C378" s="45" t="s">
        <v>510</v>
      </c>
      <c r="D378" s="45" t="s">
        <v>25</v>
      </c>
      <c r="E378" s="45" t="s">
        <v>27</v>
      </c>
      <c r="F378" s="45" t="s">
        <v>58</v>
      </c>
      <c r="G378" s="147" t="s">
        <v>56</v>
      </c>
      <c r="H378" s="188" t="s">
        <v>1808</v>
      </c>
      <c r="I378" s="61" t="s">
        <v>519</v>
      </c>
      <c r="J378" s="217" t="s">
        <v>1809</v>
      </c>
      <c r="K378" s="24">
        <v>9742448821</v>
      </c>
      <c r="L378" s="61" t="s">
        <v>707</v>
      </c>
      <c r="M378" s="3" t="s">
        <v>1810</v>
      </c>
      <c r="N378" s="45" t="s">
        <v>1811</v>
      </c>
      <c r="O378" s="81" t="s">
        <v>327</v>
      </c>
      <c r="P378" s="45" t="s">
        <v>268</v>
      </c>
      <c r="Q378" s="81" t="s">
        <v>904</v>
      </c>
      <c r="R378" s="81" t="s">
        <v>988</v>
      </c>
      <c r="S378" s="81" t="s">
        <v>470</v>
      </c>
      <c r="T378" s="3" t="s">
        <v>103</v>
      </c>
      <c r="U378" s="55">
        <v>46052</v>
      </c>
      <c r="V378" s="55">
        <v>46052</v>
      </c>
      <c r="W378" s="46"/>
      <c r="AJ378" s="83"/>
      <c r="AK378" s="83"/>
      <c r="AL378" s="84"/>
      <c r="AM378" s="84"/>
      <c r="AN378" s="83"/>
      <c r="AO378" s="83"/>
      <c r="AT378" s="83"/>
    </row>
    <row r="379" spans="1:46" ht="14.45">
      <c r="A379" s="3" t="s">
        <v>55</v>
      </c>
      <c r="B379" s="3" t="s">
        <v>236</v>
      </c>
      <c r="C379" s="45" t="s">
        <v>510</v>
      </c>
      <c r="D379" s="45" t="s">
        <v>25</v>
      </c>
      <c r="E379" s="45" t="s">
        <v>27</v>
      </c>
      <c r="F379" s="45" t="s">
        <v>58</v>
      </c>
      <c r="G379" s="147" t="s">
        <v>56</v>
      </c>
      <c r="H379" s="188" t="s">
        <v>1812</v>
      </c>
      <c r="I379" s="61" t="s">
        <v>1813</v>
      </c>
      <c r="J379" s="217" t="s">
        <v>1814</v>
      </c>
      <c r="K379" s="24">
        <v>9863224499</v>
      </c>
      <c r="L379" s="61" t="s">
        <v>1815</v>
      </c>
      <c r="M379" s="3" t="s">
        <v>1816</v>
      </c>
      <c r="N379" s="45" t="s">
        <v>1817</v>
      </c>
      <c r="O379" s="3" t="s">
        <v>1818</v>
      </c>
      <c r="P379" s="3" t="s">
        <v>1819</v>
      </c>
      <c r="Q379" s="3" t="s">
        <v>1819</v>
      </c>
      <c r="R379" s="3" t="s">
        <v>1820</v>
      </c>
      <c r="S379" s="3" t="s">
        <v>470</v>
      </c>
      <c r="T379" s="3" t="s">
        <v>103</v>
      </c>
      <c r="U379" s="55">
        <v>46052</v>
      </c>
      <c r="V379" s="55">
        <v>46052</v>
      </c>
      <c r="W379" s="46"/>
      <c r="AP379" s="83"/>
      <c r="AQ379" s="83"/>
      <c r="AR379" s="83"/>
      <c r="AS379" s="84"/>
    </row>
    <row r="380" spans="1:46" ht="14.45">
      <c r="A380" s="3" t="s">
        <v>55</v>
      </c>
      <c r="B380" s="3" t="s">
        <v>236</v>
      </c>
      <c r="C380" s="45" t="s">
        <v>510</v>
      </c>
      <c r="D380" s="45" t="s">
        <v>25</v>
      </c>
      <c r="E380" s="45" t="s">
        <v>27</v>
      </c>
      <c r="F380" s="45" t="s">
        <v>58</v>
      </c>
      <c r="G380" s="147" t="s">
        <v>56</v>
      </c>
      <c r="H380" s="188" t="s">
        <v>1821</v>
      </c>
      <c r="I380" s="61" t="s">
        <v>519</v>
      </c>
      <c r="J380" s="217" t="s">
        <v>1822</v>
      </c>
      <c r="K380" s="24">
        <v>8296084136</v>
      </c>
      <c r="L380" s="61" t="s">
        <v>818</v>
      </c>
      <c r="M380" s="3" t="s">
        <v>1805</v>
      </c>
      <c r="N380" s="45" t="s">
        <v>1823</v>
      </c>
      <c r="O380" s="3" t="s">
        <v>327</v>
      </c>
      <c r="P380" s="45" t="s">
        <v>268</v>
      </c>
      <c r="Q380" s="3" t="s">
        <v>837</v>
      </c>
      <c r="R380" s="45" t="s">
        <v>1824</v>
      </c>
      <c r="S380" s="3" t="s">
        <v>470</v>
      </c>
      <c r="T380" s="3" t="s">
        <v>103</v>
      </c>
      <c r="U380" s="55">
        <v>46052</v>
      </c>
      <c r="V380" s="55">
        <v>46052</v>
      </c>
      <c r="W380" s="46"/>
      <c r="AJ380" s="83"/>
      <c r="AK380" s="83"/>
      <c r="AL380" s="84"/>
      <c r="AM380" s="84"/>
      <c r="AN380" s="83"/>
      <c r="AO380" s="83"/>
      <c r="AT380" s="83"/>
    </row>
    <row r="381" spans="1:46" s="51" customFormat="1" ht="14.45">
      <c r="A381" s="49" t="s">
        <v>35</v>
      </c>
      <c r="B381" s="49" t="s">
        <v>520</v>
      </c>
      <c r="C381" s="73" t="str">
        <f>IF(ISBLANK(B381),"",_xlfn.XLOOKUP(B381,Recruiter!A:A,Recruiter!B:B))</f>
        <v>Narthana</v>
      </c>
      <c r="D381" s="73" t="str">
        <f>IF(ISBLANK(A381),"",_xlfn.XLOOKUP(A381,'Requirement Overview'!C:C,'Requirement Overview'!E:E))</f>
        <v>Talme</v>
      </c>
      <c r="E381" s="51" t="str">
        <f>IF(ISBLANK(A381),"",_xlfn.XLOOKUP(A381,'Requirement Overview'!C:C,'Requirement Overview'!H:H))</f>
        <v>IT</v>
      </c>
      <c r="F381" s="51" t="str">
        <f>IF(ISBLANK(A381),"",_xlfn.XLOOKUP(A381,'Requirement Overview'!C:C,'Requirement Overview'!I:I))</f>
        <v>Windows system adminstrator</v>
      </c>
      <c r="G381" s="338" t="s">
        <v>26</v>
      </c>
      <c r="H381" s="52" t="s">
        <v>1825</v>
      </c>
      <c r="I381" s="339" t="s">
        <v>1826</v>
      </c>
      <c r="J381" s="340" t="s">
        <v>1827</v>
      </c>
      <c r="K381" s="52">
        <v>8261997602</v>
      </c>
      <c r="L381" s="339" t="s">
        <v>421</v>
      </c>
      <c r="M381" s="339" t="s">
        <v>1395</v>
      </c>
      <c r="N381" s="339" t="s">
        <v>1828</v>
      </c>
      <c r="O381" s="49" t="s">
        <v>434</v>
      </c>
      <c r="P381" s="339" t="s">
        <v>569</v>
      </c>
      <c r="Q381" s="339" t="s">
        <v>1042</v>
      </c>
      <c r="R381" s="49" t="s">
        <v>386</v>
      </c>
      <c r="S381" s="49" t="s">
        <v>470</v>
      </c>
      <c r="T381" s="51" t="s">
        <v>103</v>
      </c>
      <c r="U381" s="89">
        <v>46051</v>
      </c>
      <c r="V381" s="89">
        <v>46051</v>
      </c>
      <c r="AE381" s="24"/>
      <c r="AF381" s="24"/>
      <c r="AG381" s="24"/>
      <c r="AH381" s="24"/>
      <c r="AI381" s="24"/>
      <c r="AJ381" s="83"/>
      <c r="AK381" s="83"/>
      <c r="AL381" s="84"/>
      <c r="AM381" s="84"/>
      <c r="AN381" s="83"/>
      <c r="AO381" s="83"/>
      <c r="AP381" s="24"/>
      <c r="AQ381" s="24"/>
      <c r="AR381" s="24"/>
      <c r="AS381" s="19"/>
    </row>
    <row r="382" spans="1:46" ht="14.45">
      <c r="A382" s="24" t="s">
        <v>35</v>
      </c>
      <c r="B382" s="24" t="s">
        <v>520</v>
      </c>
      <c r="C382" s="19" t="str">
        <f>IF(ISBLANK(B382),"",_xlfn.XLOOKUP(B382,Recruiter!A:A,Recruiter!B:B))</f>
        <v>Narthana</v>
      </c>
      <c r="D382" s="19" t="str">
        <f>IF(ISBLANK(A382),"",_xlfn.XLOOKUP(A382,'Requirement Overview'!C:C,'Requirement Overview'!E:E))</f>
        <v>Talme</v>
      </c>
      <c r="E382" s="24" t="str">
        <f>IF(ISBLANK(A382),"",_xlfn.XLOOKUP(A382,'Requirement Overview'!C:C,'Requirement Overview'!H:H))</f>
        <v>IT</v>
      </c>
      <c r="F382" s="24" t="str">
        <f>IF(ISBLANK(A382),"",_xlfn.XLOOKUP(A382,'Requirement Overview'!C:C,'Requirement Overview'!I:I))</f>
        <v>Windows system adminstrator</v>
      </c>
      <c r="G382" s="58" t="s">
        <v>26</v>
      </c>
      <c r="H382" s="52" t="s">
        <v>1829</v>
      </c>
      <c r="I382" s="333" t="s">
        <v>1830</v>
      </c>
      <c r="J382" s="272" t="s">
        <v>1831</v>
      </c>
      <c r="K382" s="52">
        <v>8149558533</v>
      </c>
      <c r="L382" s="333" t="s">
        <v>311</v>
      </c>
      <c r="M382" s="52" t="s">
        <v>395</v>
      </c>
      <c r="N382" s="52" t="s">
        <v>1832</v>
      </c>
      <c r="O382" s="24" t="s">
        <v>1833</v>
      </c>
      <c r="P382" s="52" t="s">
        <v>1834</v>
      </c>
      <c r="Q382" s="52" t="s">
        <v>879</v>
      </c>
      <c r="R382" s="24" t="s">
        <v>439</v>
      </c>
      <c r="S382" s="24" t="s">
        <v>470</v>
      </c>
      <c r="T382" s="24" t="s">
        <v>103</v>
      </c>
      <c r="U382" s="29">
        <v>46051</v>
      </c>
      <c r="V382" s="29">
        <v>46051</v>
      </c>
    </row>
    <row r="383" spans="1:46" ht="14.45">
      <c r="A383" s="19" t="s">
        <v>110</v>
      </c>
      <c r="B383" s="19" t="s">
        <v>520</v>
      </c>
      <c r="C383" s="19" t="str">
        <f>IF(ISBLANK(B383),"",_xlfn.XLOOKUP(B383,Recruiter!A:A,Recruiter!B:B))</f>
        <v>Narthana</v>
      </c>
      <c r="D383" s="19" t="str">
        <f>IF(ISBLANK(A383),"",_xlfn.XLOOKUP(A383,'Requirement Overview'!C:C,'Requirement Overview'!E:E))</f>
        <v>Talme</v>
      </c>
      <c r="E383" s="19" t="str">
        <f>IF(ISBLANK(A383),"",_xlfn.XLOOKUP(A383,'Requirement Overview'!C:C,'Requirement Overview'!H:H))</f>
        <v>IT</v>
      </c>
      <c r="F383" s="19" t="str">
        <f>IF(ISBLANK(A383),"",_xlfn.XLOOKUP(A383,'Requirement Overview'!C:C,'Requirement Overview'!I:I))</f>
        <v>Technical Lead - Mobile Development</v>
      </c>
      <c r="G383" s="59" t="str">
        <f>IF(ISBLANK(A383),"",_xlfn.XLOOKUP(A383,'Requirement Overview'!C:C,'Requirement Overview'!G:G))</f>
        <v>Semnox Solutions</v>
      </c>
      <c r="H383" s="112" t="s">
        <v>1835</v>
      </c>
      <c r="I383" s="180" t="s">
        <v>1836</v>
      </c>
      <c r="J383" s="208" t="s">
        <v>1837</v>
      </c>
      <c r="K383" s="113">
        <v>9713911302</v>
      </c>
      <c r="L383" s="180" t="s">
        <v>311</v>
      </c>
      <c r="M383" s="113" t="s">
        <v>365</v>
      </c>
      <c r="N383" s="113" t="s">
        <v>1838</v>
      </c>
      <c r="O383" s="113" t="s">
        <v>1839</v>
      </c>
      <c r="P383" s="113" t="s">
        <v>1499</v>
      </c>
      <c r="Q383" s="113" t="s">
        <v>1183</v>
      </c>
      <c r="R383" s="113" t="s">
        <v>1145</v>
      </c>
      <c r="S383" s="24" t="s">
        <v>601</v>
      </c>
      <c r="T383" s="24" t="s">
        <v>103</v>
      </c>
      <c r="U383" s="29">
        <v>46052</v>
      </c>
      <c r="V383" s="29">
        <v>46052</v>
      </c>
      <c r="AJ383" s="83"/>
      <c r="AK383" s="83"/>
      <c r="AL383" s="84"/>
      <c r="AM383" s="84"/>
      <c r="AN383" s="83"/>
      <c r="AO383" s="83"/>
    </row>
    <row r="384" spans="1:46" ht="14.45">
      <c r="A384" s="19" t="s">
        <v>110</v>
      </c>
      <c r="B384" s="19" t="s">
        <v>520</v>
      </c>
      <c r="C384" s="19" t="str">
        <f>IF(ISBLANK(B384),"",_xlfn.XLOOKUP(B384,Recruiter!A:A,Recruiter!B:B))</f>
        <v>Narthana</v>
      </c>
      <c r="D384" s="19" t="str">
        <f>IF(ISBLANK(A384),"",_xlfn.XLOOKUP(A384,'Requirement Overview'!C:C,'Requirement Overview'!E:E))</f>
        <v>Talme</v>
      </c>
      <c r="E384" s="19" t="str">
        <f>IF(ISBLANK(A384),"",_xlfn.XLOOKUP(A384,'Requirement Overview'!C:C,'Requirement Overview'!H:H))</f>
        <v>IT</v>
      </c>
      <c r="F384" s="19" t="str">
        <f>IF(ISBLANK(A384),"",_xlfn.XLOOKUP(A384,'Requirement Overview'!C:C,'Requirement Overview'!I:I))</f>
        <v>Technical Lead - Mobile Development</v>
      </c>
      <c r="G384" s="59" t="str">
        <f>IF(ISBLANK(A384),"",_xlfn.XLOOKUP(A384,'Requirement Overview'!C:C,'Requirement Overview'!G:G))</f>
        <v>Semnox Solutions</v>
      </c>
      <c r="H384" s="113" t="s">
        <v>1840</v>
      </c>
      <c r="I384" s="180" t="s">
        <v>1841</v>
      </c>
      <c r="J384" s="208" t="s">
        <v>1842</v>
      </c>
      <c r="K384" s="114">
        <v>8109108593</v>
      </c>
      <c r="L384" s="180" t="s">
        <v>311</v>
      </c>
      <c r="M384" s="113" t="s">
        <v>414</v>
      </c>
      <c r="N384" s="115" t="s">
        <v>1843</v>
      </c>
      <c r="O384" s="113" t="s">
        <v>1144</v>
      </c>
      <c r="P384" s="113" t="s">
        <v>1042</v>
      </c>
      <c r="Q384" s="113" t="s">
        <v>1183</v>
      </c>
      <c r="R384" s="113" t="s">
        <v>1844</v>
      </c>
      <c r="S384" s="24" t="s">
        <v>601</v>
      </c>
      <c r="T384" s="24" t="s">
        <v>103</v>
      </c>
      <c r="U384" s="29">
        <v>46052</v>
      </c>
      <c r="V384" s="29">
        <v>46052</v>
      </c>
    </row>
    <row r="385" spans="1:46" ht="14.45">
      <c r="A385" s="24" t="s">
        <v>33</v>
      </c>
      <c r="B385" s="24" t="s">
        <v>520</v>
      </c>
      <c r="C385" s="19" t="s">
        <v>1661</v>
      </c>
      <c r="D385" s="19" t="str">
        <f>IF(ISBLANK(A385),"",_xlfn.XLOOKUP(A385,'Requirement Overview'!C:C,'Requirement Overview'!E:E))</f>
        <v>Talme</v>
      </c>
      <c r="E385" s="24" t="str">
        <f>IF(ISBLANK(A385),"",_xlfn.XLOOKUP(A385,'Requirement Overview'!C:C,'Requirement Overview'!H:H))</f>
        <v>IT</v>
      </c>
      <c r="F385" s="24" t="str">
        <f>IF(ISBLANK(A385),"",_xlfn.XLOOKUP(A385,'Requirement Overview'!C:C,'Requirement Overview'!I:I))</f>
        <v>Python Architect</v>
      </c>
      <c r="G385" s="58" t="str">
        <f>IF(ISBLANK(A385),"",_xlfn.XLOOKUP(A385,'Requirement Overview'!C:C,'Requirement Overview'!G:G))</f>
        <v>EMIDS</v>
      </c>
      <c r="H385" s="112" t="s">
        <v>1845</v>
      </c>
      <c r="I385" s="181" t="s">
        <v>1846</v>
      </c>
      <c r="J385" s="218" t="s">
        <v>1847</v>
      </c>
      <c r="K385" s="112">
        <v>9891624380</v>
      </c>
      <c r="L385" s="181" t="s">
        <v>378</v>
      </c>
      <c r="M385" s="112" t="s">
        <v>1763</v>
      </c>
      <c r="N385" s="116" t="s">
        <v>1848</v>
      </c>
      <c r="O385" s="112" t="s">
        <v>475</v>
      </c>
      <c r="P385" s="112" t="s">
        <v>1042</v>
      </c>
      <c r="Q385" s="112" t="s">
        <v>1042</v>
      </c>
      <c r="R385" s="112" t="s">
        <v>469</v>
      </c>
      <c r="S385" s="24" t="s">
        <v>601</v>
      </c>
      <c r="T385" s="24" t="s">
        <v>103</v>
      </c>
      <c r="U385" s="29">
        <v>46052</v>
      </c>
      <c r="V385" s="29">
        <v>46052</v>
      </c>
    </row>
    <row r="386" spans="1:46" ht="14.45">
      <c r="A386" s="24" t="s">
        <v>33</v>
      </c>
      <c r="B386" s="24" t="s">
        <v>520</v>
      </c>
      <c r="C386" s="19" t="s">
        <v>1661</v>
      </c>
      <c r="D386" s="19" t="str">
        <f>IF(ISBLANK(A386),"",_xlfn.XLOOKUP(A386,'Requirement Overview'!C:C,'Requirement Overview'!E:E))</f>
        <v>Talme</v>
      </c>
      <c r="E386" s="24" t="str">
        <f>IF(ISBLANK(A386),"",_xlfn.XLOOKUP(A386,'Requirement Overview'!C:C,'Requirement Overview'!H:H))</f>
        <v>IT</v>
      </c>
      <c r="F386" s="24" t="str">
        <f>IF(ISBLANK(A386),"",_xlfn.XLOOKUP(A386,'Requirement Overview'!C:C,'Requirement Overview'!I:I))</f>
        <v>Python Architect</v>
      </c>
      <c r="G386" s="58" t="str">
        <f>IF(ISBLANK(A386),"",_xlfn.XLOOKUP(A386,'Requirement Overview'!C:C,'Requirement Overview'!G:G))</f>
        <v>EMIDS</v>
      </c>
      <c r="H386" s="112" t="s">
        <v>1849</v>
      </c>
      <c r="I386" s="181" t="s">
        <v>1850</v>
      </c>
      <c r="J386" s="219" t="s">
        <v>1851</v>
      </c>
      <c r="K386" s="112">
        <v>9666053733</v>
      </c>
      <c r="L386" s="181" t="s">
        <v>305</v>
      </c>
      <c r="M386" s="112" t="s">
        <v>1852</v>
      </c>
      <c r="N386" s="112" t="s">
        <v>1137</v>
      </c>
      <c r="O386" s="112" t="s">
        <v>1853</v>
      </c>
      <c r="P386" s="112" t="s">
        <v>879</v>
      </c>
      <c r="Q386" s="112" t="s">
        <v>879</v>
      </c>
      <c r="R386" s="112" t="s">
        <v>554</v>
      </c>
      <c r="S386" s="24" t="s">
        <v>601</v>
      </c>
      <c r="T386" s="24" t="s">
        <v>103</v>
      </c>
      <c r="U386" s="29">
        <v>46052</v>
      </c>
      <c r="V386" s="29">
        <v>46052</v>
      </c>
    </row>
    <row r="387" spans="1:46" ht="14.45">
      <c r="A387" s="83" t="s">
        <v>105</v>
      </c>
      <c r="B387" s="83" t="s">
        <v>520</v>
      </c>
      <c r="C387" s="83" t="str">
        <f>IF(ISBLANK(B387),"",_xlfn.XLOOKUP(B387,Recruiter!A:A,Recruiter!B:B))</f>
        <v>Narthana</v>
      </c>
      <c r="D387" s="83" t="str">
        <f>IF(ISBLANK(A387),"",_xlfn.XLOOKUP(A387,'Requirement Overview'!C:C,'Requirement Overview'!E:E))</f>
        <v>Talme</v>
      </c>
      <c r="E387" s="83" t="str">
        <f>IF(ISBLANK(A387),"",_xlfn.XLOOKUP(A387,'Requirement Overview'!C:C,'Requirement Overview'!H:H))</f>
        <v>IT</v>
      </c>
      <c r="F387" s="83" t="s">
        <v>106</v>
      </c>
      <c r="G387" s="58" t="str">
        <f>IF(ISBLANK(A387),"",_xlfn.XLOOKUP(A387,'Requirement Overview'!C:C,'Requirement Overview'!G:G))</f>
        <v>Thoughtfocus</v>
      </c>
      <c r="H387" s="190" t="s">
        <v>1854</v>
      </c>
      <c r="I387" s="156" t="s">
        <v>1855</v>
      </c>
      <c r="J387" s="197" t="s">
        <v>1856</v>
      </c>
      <c r="K387" s="21">
        <v>8309642051</v>
      </c>
      <c r="L387" s="156" t="s">
        <v>404</v>
      </c>
      <c r="M387" s="21" t="s">
        <v>1029</v>
      </c>
      <c r="N387" s="119" t="s">
        <v>1857</v>
      </c>
      <c r="O387" s="24" t="s">
        <v>429</v>
      </c>
      <c r="P387" s="24" t="s">
        <v>879</v>
      </c>
      <c r="Q387" s="24" t="s">
        <v>879</v>
      </c>
      <c r="R387" s="24" t="s">
        <v>589</v>
      </c>
      <c r="S387" s="24" t="s">
        <v>601</v>
      </c>
      <c r="T387" s="24" t="s">
        <v>103</v>
      </c>
      <c r="U387" s="29">
        <v>46052</v>
      </c>
      <c r="V387" s="29">
        <v>46052</v>
      </c>
      <c r="AT387" s="83"/>
    </row>
    <row r="388" spans="1:46" ht="14.45">
      <c r="A388" s="83" t="s">
        <v>120</v>
      </c>
      <c r="B388" s="83" t="s">
        <v>340</v>
      </c>
      <c r="C388" s="83" t="str">
        <f>IF(ISBLANK(B388),"",_xlfn.XLOOKUP(B388,Recruiter!A:A,Recruiter!B:B))</f>
        <v>Harshitha</v>
      </c>
      <c r="D388" s="83" t="str">
        <f>IF(ISBLANK(A388),"",_xlfn.XLOOKUP(A388,'Requirement Overview'!C:C,'Requirement Overview'!E:E))</f>
        <v>Talme</v>
      </c>
      <c r="E388" s="83" t="str">
        <f>IF(ISBLANK(A388),"",_xlfn.XLOOKUP(A388,'Requirement Overview'!C:C,'Requirement Overview'!H:H))</f>
        <v>IT</v>
      </c>
      <c r="F388" s="83" t="s">
        <v>121</v>
      </c>
      <c r="G388" s="58" t="str">
        <f>IF(ISBLANK(A388),"",_xlfn.XLOOKUP(A388,'Requirement Overview'!C:C,'Requirement Overview'!G:G))</f>
        <v>EMIDS</v>
      </c>
      <c r="H388" s="190" t="s">
        <v>1858</v>
      </c>
      <c r="I388" s="170" t="s">
        <v>786</v>
      </c>
      <c r="J388" s="205" t="s">
        <v>1859</v>
      </c>
      <c r="K388" s="234">
        <v>7007951024</v>
      </c>
      <c r="L388" s="170" t="s">
        <v>404</v>
      </c>
      <c r="M388" s="44" t="s">
        <v>1860</v>
      </c>
      <c r="N388" s="120" t="s">
        <v>1861</v>
      </c>
      <c r="O388" s="24" t="s">
        <v>654</v>
      </c>
      <c r="P388" s="44" t="s">
        <v>1055</v>
      </c>
      <c r="Q388" s="44" t="s">
        <v>806</v>
      </c>
      <c r="R388" s="24" t="s">
        <v>374</v>
      </c>
      <c r="S388" s="24" t="s">
        <v>375</v>
      </c>
      <c r="T388" s="24" t="s">
        <v>103</v>
      </c>
      <c r="U388" s="29">
        <v>46052</v>
      </c>
      <c r="V388" s="29">
        <v>46052</v>
      </c>
      <c r="X388" s="29">
        <v>46053</v>
      </c>
      <c r="AT388" s="83"/>
    </row>
    <row r="389" spans="1:46" ht="14.45">
      <c r="A389" s="83" t="s">
        <v>120</v>
      </c>
      <c r="B389" s="83" t="s">
        <v>340</v>
      </c>
      <c r="C389" s="83" t="str">
        <f>IF(ISBLANK(B389),"",_xlfn.XLOOKUP(B389,Recruiter!A:A,Recruiter!B:B))</f>
        <v>Harshitha</v>
      </c>
      <c r="D389" s="19" t="str">
        <f>IF(ISBLANK(A389),"",_xlfn.XLOOKUP(A389,'Requirement Overview'!C:C,'Requirement Overview'!E:E))</f>
        <v>Talme</v>
      </c>
      <c r="E389" s="24" t="str">
        <f>IF(ISBLANK(A389),"",_xlfn.XLOOKUP(A389,'Requirement Overview'!C:C,'Requirement Overview'!H:H))</f>
        <v>IT</v>
      </c>
      <c r="F389" s="24" t="str">
        <f>IF(ISBLANK(A389),"",_xlfn.XLOOKUP(A389,'Requirement Overview'!C:C,'Requirement Overview'!I:I))</f>
        <v>Java Script Developer</v>
      </c>
      <c r="G389" s="58" t="str">
        <f>IF(ISBLANK(A389),"",_xlfn.XLOOKUP(A389,'Requirement Overview'!C:C,'Requirement Overview'!G:G))</f>
        <v>EMIDS</v>
      </c>
      <c r="H389" s="190" t="s">
        <v>1862</v>
      </c>
      <c r="I389" s="170" t="s">
        <v>1321</v>
      </c>
      <c r="J389" s="205" t="s">
        <v>1863</v>
      </c>
      <c r="K389" s="234">
        <v>7013379026</v>
      </c>
      <c r="L389" s="170" t="s">
        <v>305</v>
      </c>
      <c r="M389" s="44" t="s">
        <v>1864</v>
      </c>
      <c r="N389" s="121" t="s">
        <v>653</v>
      </c>
      <c r="O389" s="24" t="s">
        <v>1865</v>
      </c>
      <c r="P389" s="44" t="s">
        <v>268</v>
      </c>
      <c r="Q389" s="44" t="s">
        <v>268</v>
      </c>
      <c r="R389" s="24" t="s">
        <v>386</v>
      </c>
      <c r="S389" s="24" t="s">
        <v>375</v>
      </c>
      <c r="T389" s="24" t="s">
        <v>103</v>
      </c>
      <c r="U389" s="29">
        <v>46052</v>
      </c>
      <c r="V389" s="29">
        <v>46052</v>
      </c>
      <c r="X389" s="29">
        <v>46053</v>
      </c>
      <c r="AT389" s="83"/>
    </row>
    <row r="390" spans="1:46" ht="14.45">
      <c r="A390" s="83" t="s">
        <v>120</v>
      </c>
      <c r="B390" s="83" t="s">
        <v>340</v>
      </c>
      <c r="C390" s="83" t="str">
        <f>IF(ISBLANK(B390),"",_xlfn.XLOOKUP(B390,Recruiter!A:A,Recruiter!B:B))</f>
        <v>Harshitha</v>
      </c>
      <c r="D390" s="19" t="str">
        <f>IF(ISBLANK(A390),"",_xlfn.XLOOKUP(A390,'Requirement Overview'!C:C,'Requirement Overview'!E:E))</f>
        <v>Talme</v>
      </c>
      <c r="E390" s="24" t="str">
        <f>IF(ISBLANK(A390),"",_xlfn.XLOOKUP(A390,'Requirement Overview'!C:C,'Requirement Overview'!H:H))</f>
        <v>IT</v>
      </c>
      <c r="F390" s="24" t="str">
        <f>IF(ISBLANK(A390),"",_xlfn.XLOOKUP(A390,'Requirement Overview'!C:C,'Requirement Overview'!I:I))</f>
        <v>Java Script Developer</v>
      </c>
      <c r="G390" s="58" t="str">
        <f>IF(ISBLANK(A390),"",_xlfn.XLOOKUP(A390,'Requirement Overview'!C:C,'Requirement Overview'!G:G))</f>
        <v>EMIDS</v>
      </c>
      <c r="H390" s="190" t="s">
        <v>1866</v>
      </c>
      <c r="I390" s="170" t="s">
        <v>1867</v>
      </c>
      <c r="J390" s="205" t="s">
        <v>1868</v>
      </c>
      <c r="K390" s="234">
        <v>8847870554</v>
      </c>
      <c r="L390" s="170" t="s">
        <v>305</v>
      </c>
      <c r="M390" s="44" t="s">
        <v>279</v>
      </c>
      <c r="N390" s="121" t="s">
        <v>1869</v>
      </c>
      <c r="O390" s="24" t="s">
        <v>429</v>
      </c>
      <c r="P390" s="44" t="s">
        <v>879</v>
      </c>
      <c r="Q390" s="44" t="s">
        <v>879</v>
      </c>
      <c r="R390" s="24" t="s">
        <v>386</v>
      </c>
      <c r="S390" s="24" t="s">
        <v>375</v>
      </c>
      <c r="T390" s="24" t="s">
        <v>103</v>
      </c>
      <c r="U390" s="29">
        <v>46052</v>
      </c>
      <c r="V390" s="29">
        <v>46052</v>
      </c>
      <c r="X390" s="29">
        <v>46053</v>
      </c>
      <c r="AJ390" s="83"/>
      <c r="AK390" s="83"/>
      <c r="AL390" s="84"/>
      <c r="AM390" s="84"/>
      <c r="AN390" s="83"/>
      <c r="AO390" s="83"/>
      <c r="AP390" s="83"/>
      <c r="AQ390" s="83"/>
      <c r="AR390" s="83"/>
      <c r="AS390" s="84"/>
    </row>
    <row r="391" spans="1:46" ht="14.45">
      <c r="A391" s="24" t="s">
        <v>120</v>
      </c>
      <c r="B391" s="24" t="s">
        <v>340</v>
      </c>
      <c r="C391" s="83" t="str">
        <f>IF(ISBLANK(B391),"",_xlfn.XLOOKUP(B391,Recruiter!A:A,Recruiter!B:B))</f>
        <v>Harshitha</v>
      </c>
      <c r="D391" s="83" t="str">
        <f>IF(ISBLANK(A391),"",_xlfn.XLOOKUP(A391,'Requirement Overview'!C:C,'Requirement Overview'!E:E))</f>
        <v>Talme</v>
      </c>
      <c r="E391" s="83" t="str">
        <f>IF(ISBLANK(A391),"",_xlfn.XLOOKUP(A391,'Requirement Overview'!C:C,'Requirement Overview'!H:H))</f>
        <v>IT</v>
      </c>
      <c r="F391" s="24" t="str">
        <f>IF(ISBLANK(A391),"",_xlfn.XLOOKUP(A391,'Requirement Overview'!C:C,'Requirement Overview'!I:I))</f>
        <v>Java Script Developer</v>
      </c>
      <c r="G391" s="58" t="str">
        <f>IF(ISBLANK(A391),"",_xlfn.XLOOKUP(A391,'Requirement Overview'!C:C,'Requirement Overview'!G:G))</f>
        <v>EMIDS</v>
      </c>
      <c r="H391" s="190" t="s">
        <v>1870</v>
      </c>
      <c r="I391" s="170" t="s">
        <v>519</v>
      </c>
      <c r="J391" s="205" t="s">
        <v>1871</v>
      </c>
      <c r="K391" s="234">
        <v>7993686159</v>
      </c>
      <c r="L391" s="170" t="s">
        <v>290</v>
      </c>
      <c r="M391" s="44" t="s">
        <v>279</v>
      </c>
      <c r="N391" s="121" t="s">
        <v>1872</v>
      </c>
      <c r="O391" s="24" t="s">
        <v>540</v>
      </c>
      <c r="P391" s="44" t="s">
        <v>268</v>
      </c>
      <c r="Q391" s="44" t="s">
        <v>268</v>
      </c>
      <c r="R391" s="24" t="s">
        <v>757</v>
      </c>
      <c r="S391" s="24" t="s">
        <v>375</v>
      </c>
      <c r="T391" s="24" t="s">
        <v>103</v>
      </c>
      <c r="U391" s="29">
        <v>46052</v>
      </c>
      <c r="V391" s="29">
        <v>46052</v>
      </c>
      <c r="X391" s="29">
        <v>46053</v>
      </c>
      <c r="AP391" s="83"/>
      <c r="AQ391" s="83"/>
      <c r="AR391" s="83"/>
      <c r="AS391" s="84"/>
      <c r="AT391" s="83"/>
    </row>
    <row r="392" spans="1:46" ht="14.45">
      <c r="A392" s="51" t="s">
        <v>120</v>
      </c>
      <c r="B392" s="51" t="s">
        <v>340</v>
      </c>
      <c r="C392" s="87" t="str">
        <f>IF(ISBLANK(B392),"",_xlfn.XLOOKUP(B392,Recruiter!A:A,Recruiter!B:B))</f>
        <v>Harshitha</v>
      </c>
      <c r="D392" s="87" t="str">
        <f>IF(ISBLANK(A392),"",_xlfn.XLOOKUP(A392,'Requirement Overview'!C:C,'Requirement Overview'!E:E))</f>
        <v>Talme</v>
      </c>
      <c r="E392" s="87" t="str">
        <f>IF(ISBLANK(A392),"",_xlfn.XLOOKUP(A392,'Requirement Overview'!C:C,'Requirement Overview'!H:H))</f>
        <v>IT</v>
      </c>
      <c r="F392" s="51" t="str">
        <f>IF(ISBLANK(A392),"",_xlfn.XLOOKUP(A392,'Requirement Overview'!C:C,'Requirement Overview'!I:I))</f>
        <v>Java Script Developer</v>
      </c>
      <c r="G392" s="62" t="str">
        <f>IF(ISBLANK(A392),"",_xlfn.XLOOKUP(A392,'Requirement Overview'!C:C,'Requirement Overview'!G:G))</f>
        <v>EMIDS</v>
      </c>
      <c r="H392" s="541" t="s">
        <v>1873</v>
      </c>
      <c r="I392" s="179" t="s">
        <v>1874</v>
      </c>
      <c r="J392" s="213" t="s">
        <v>1875</v>
      </c>
      <c r="K392" s="532" t="s">
        <v>1876</v>
      </c>
      <c r="L392" s="179" t="s">
        <v>305</v>
      </c>
      <c r="M392" s="60" t="s">
        <v>942</v>
      </c>
      <c r="N392" s="345" t="s">
        <v>1877</v>
      </c>
      <c r="O392" s="51" t="s">
        <v>368</v>
      </c>
      <c r="P392" s="60" t="s">
        <v>879</v>
      </c>
      <c r="Q392" s="60" t="s">
        <v>879</v>
      </c>
      <c r="R392" s="51" t="s">
        <v>540</v>
      </c>
      <c r="S392" s="51" t="s">
        <v>375</v>
      </c>
      <c r="T392" s="51" t="s">
        <v>103</v>
      </c>
      <c r="U392" s="89">
        <v>46052</v>
      </c>
      <c r="V392" s="89">
        <v>46052</v>
      </c>
      <c r="W392" s="51"/>
      <c r="X392" s="89">
        <v>46053</v>
      </c>
      <c r="Y392" s="51"/>
      <c r="Z392" s="51"/>
      <c r="AA392" s="51"/>
      <c r="AB392" s="51"/>
      <c r="AC392" s="51"/>
      <c r="AD392" s="51"/>
      <c r="AJ392" s="83"/>
      <c r="AK392" s="83"/>
      <c r="AL392" s="84"/>
      <c r="AM392" s="84"/>
      <c r="AN392" s="83"/>
      <c r="AO392" s="83"/>
      <c r="AT392" s="83"/>
    </row>
    <row r="393" spans="1:46" ht="14.45">
      <c r="A393" s="702" t="s">
        <v>124</v>
      </c>
      <c r="B393" s="702" t="s">
        <v>258</v>
      </c>
      <c r="C393" s="715" t="str">
        <f>IF(ISBLANK(B393),"",_xlfn.XLOOKUP(B393,Recruiter!A:A,Recruiter!B:B))</f>
        <v>Bhoomika</v>
      </c>
      <c r="D393" s="715" t="str">
        <f>IF(ISBLANK(A393),"",_xlfn.XLOOKUP(A393,'Requirement Overview'!C:C,'Requirement Overview'!E:E))</f>
        <v>Talme</v>
      </c>
      <c r="E393" s="715" t="str">
        <f>IF(ISBLANK(A393),"",_xlfn.XLOOKUP(A393,'Requirement Overview'!C:C,'Requirement Overview'!H:H))</f>
        <v>IT</v>
      </c>
      <c r="F393" s="702" t="str">
        <f>IF(ISBLANK(A393),"",_xlfn.XLOOKUP(A393,'Requirement Overview'!C:C,'Requirement Overview'!I:I))</f>
        <v>Full Stack Developer</v>
      </c>
      <c r="G393" s="702" t="str">
        <f>IF(ISBLANK(A393),"",_xlfn.XLOOKUP(A393,'Requirement Overview'!C:C,'Requirement Overview'!G:G))</f>
        <v>GNA</v>
      </c>
      <c r="H393" s="488" t="s">
        <v>1878</v>
      </c>
      <c r="I393" s="702"/>
      <c r="J393" s="478" t="s">
        <v>1879</v>
      </c>
      <c r="K393" s="702">
        <v>8789978563</v>
      </c>
      <c r="L393" s="702"/>
      <c r="M393" s="702"/>
      <c r="N393" s="702"/>
      <c r="O393" s="702"/>
      <c r="P393" s="702"/>
      <c r="Q393" s="702"/>
      <c r="R393" s="702"/>
      <c r="S393" s="702" t="s">
        <v>270</v>
      </c>
      <c r="T393" s="702" t="s">
        <v>271</v>
      </c>
      <c r="U393" s="703">
        <v>46053</v>
      </c>
      <c r="V393" s="703">
        <v>46053</v>
      </c>
      <c r="W393" s="702"/>
      <c r="X393" s="702"/>
      <c r="Y393" s="702"/>
      <c r="Z393" s="702"/>
      <c r="AA393" s="702"/>
      <c r="AB393" s="702"/>
      <c r="AC393" s="702"/>
      <c r="AD393" s="702"/>
      <c r="AE393" s="46"/>
      <c r="AP393" s="83"/>
      <c r="AQ393" s="83"/>
      <c r="AR393" s="83"/>
      <c r="AS393" s="84"/>
    </row>
    <row r="394" spans="1:46" ht="14.45">
      <c r="A394" s="702" t="s">
        <v>124</v>
      </c>
      <c r="B394" s="702" t="s">
        <v>258</v>
      </c>
      <c r="C394" s="715" t="str">
        <f>IF(ISBLANK(B394),"",_xlfn.XLOOKUP(B394,Recruiter!A:A,Recruiter!B:B))</f>
        <v>Bhoomika</v>
      </c>
      <c r="D394" s="715" t="str">
        <f>IF(ISBLANK(A394),"",_xlfn.XLOOKUP(A394,'Requirement Overview'!C:C,'Requirement Overview'!E:E))</f>
        <v>Talme</v>
      </c>
      <c r="E394" s="715" t="str">
        <f>IF(ISBLANK(A394),"",_xlfn.XLOOKUP(A394,'Requirement Overview'!C:C,'Requirement Overview'!H:H))</f>
        <v>IT</v>
      </c>
      <c r="F394" s="702" t="str">
        <f>IF(ISBLANK(A394),"",_xlfn.XLOOKUP(A394,'Requirement Overview'!C:C,'Requirement Overview'!I:I))</f>
        <v>Full Stack Developer</v>
      </c>
      <c r="G394" s="702" t="str">
        <f>IF(ISBLANK(A394),"",_xlfn.XLOOKUP(A394,'Requirement Overview'!C:C,'Requirement Overview'!G:G))</f>
        <v>GNA</v>
      </c>
      <c r="H394" s="488" t="s">
        <v>1880</v>
      </c>
      <c r="I394" s="702" t="s">
        <v>262</v>
      </c>
      <c r="J394" s="478" t="s">
        <v>1881</v>
      </c>
      <c r="K394" s="702">
        <v>7036163339</v>
      </c>
      <c r="L394" s="702" t="s">
        <v>305</v>
      </c>
      <c r="M394" s="702" t="s">
        <v>1284</v>
      </c>
      <c r="N394" s="702" t="s">
        <v>1882</v>
      </c>
      <c r="O394" s="702" t="s">
        <v>1883</v>
      </c>
      <c r="P394" s="702" t="s">
        <v>268</v>
      </c>
      <c r="Q394" s="702" t="s">
        <v>268</v>
      </c>
      <c r="R394" s="702" t="s">
        <v>368</v>
      </c>
      <c r="S394" s="702" t="s">
        <v>270</v>
      </c>
      <c r="T394" s="702" t="s">
        <v>103</v>
      </c>
      <c r="U394" s="703">
        <v>46053</v>
      </c>
      <c r="V394" s="703">
        <v>46053</v>
      </c>
      <c r="W394" s="702"/>
      <c r="X394" s="702"/>
      <c r="Y394" s="702"/>
      <c r="Z394" s="702"/>
      <c r="AA394" s="702"/>
      <c r="AB394" s="702"/>
      <c r="AC394" s="702"/>
      <c r="AD394" s="702"/>
      <c r="AE394" s="46"/>
      <c r="AJ394" s="83"/>
      <c r="AK394" s="83"/>
      <c r="AL394" s="84"/>
      <c r="AM394" s="84"/>
      <c r="AN394" s="83"/>
      <c r="AO394" s="83"/>
      <c r="AT394" s="83"/>
    </row>
    <row r="395" spans="1:46" ht="14.45">
      <c r="A395" s="702" t="s">
        <v>124</v>
      </c>
      <c r="B395" s="702" t="s">
        <v>258</v>
      </c>
      <c r="C395" s="715" t="str">
        <f>IF(ISBLANK(B395),"",_xlfn.XLOOKUP(B395,Recruiter!A:A,Recruiter!B:B))</f>
        <v>Bhoomika</v>
      </c>
      <c r="D395" s="715" t="str">
        <f>IF(ISBLANK(A395),"",_xlfn.XLOOKUP(A395,'Requirement Overview'!C:C,'Requirement Overview'!E:E))</f>
        <v>Talme</v>
      </c>
      <c r="E395" s="715" t="str">
        <f>IF(ISBLANK(A395),"",_xlfn.XLOOKUP(A395,'Requirement Overview'!C:C,'Requirement Overview'!H:H))</f>
        <v>IT</v>
      </c>
      <c r="F395" s="702" t="str">
        <f>IF(ISBLANK(A395),"",_xlfn.XLOOKUP(A395,'Requirement Overview'!C:C,'Requirement Overview'!I:I))</f>
        <v>Full Stack Developer</v>
      </c>
      <c r="G395" s="702" t="str">
        <f>IF(ISBLANK(A395),"",_xlfn.XLOOKUP(A395,'Requirement Overview'!C:C,'Requirement Overview'!G:G))</f>
        <v>GNA</v>
      </c>
      <c r="H395" s="488" t="s">
        <v>1884</v>
      </c>
      <c r="I395" s="702" t="s">
        <v>262</v>
      </c>
      <c r="J395" s="478" t="s">
        <v>1885</v>
      </c>
      <c r="K395" s="702">
        <v>8088171022</v>
      </c>
      <c r="L395" s="702" t="s">
        <v>421</v>
      </c>
      <c r="M395" s="702" t="s">
        <v>1230</v>
      </c>
      <c r="N395" s="702" t="s">
        <v>1886</v>
      </c>
      <c r="O395" s="702" t="s">
        <v>381</v>
      </c>
      <c r="P395" s="702" t="s">
        <v>268</v>
      </c>
      <c r="Q395" s="702" t="s">
        <v>268</v>
      </c>
      <c r="R395" s="702" t="s">
        <v>368</v>
      </c>
      <c r="S395" s="702" t="s">
        <v>270</v>
      </c>
      <c r="T395" s="702" t="s">
        <v>103</v>
      </c>
      <c r="U395" s="703">
        <v>46053</v>
      </c>
      <c r="V395" s="703">
        <v>46053</v>
      </c>
      <c r="W395" s="702"/>
      <c r="X395" s="702"/>
      <c r="Y395" s="702"/>
      <c r="Z395" s="702"/>
      <c r="AA395" s="702"/>
      <c r="AB395" s="702"/>
      <c r="AC395" s="702"/>
      <c r="AD395" s="702"/>
      <c r="AE395" s="46"/>
      <c r="AJ395" s="83"/>
      <c r="AK395" s="83"/>
      <c r="AL395" s="84"/>
      <c r="AM395" s="84"/>
      <c r="AN395" s="83"/>
      <c r="AO395" s="83"/>
      <c r="AP395" s="83"/>
      <c r="AQ395" s="83"/>
      <c r="AR395" s="83"/>
      <c r="AS395" s="84"/>
    </row>
    <row r="396" spans="1:46" ht="14.45">
      <c r="A396" s="702" t="s">
        <v>124</v>
      </c>
      <c r="B396" s="702" t="s">
        <v>258</v>
      </c>
      <c r="C396" s="715" t="str">
        <f>IF(ISBLANK(B396),"",_xlfn.XLOOKUP(B396,Recruiter!A:A,Recruiter!B:B))</f>
        <v>Bhoomika</v>
      </c>
      <c r="D396" s="715" t="str">
        <f>IF(ISBLANK(A396),"",_xlfn.XLOOKUP(A396,'Requirement Overview'!C:C,'Requirement Overview'!E:E))</f>
        <v>Talme</v>
      </c>
      <c r="E396" s="715" t="str">
        <f>IF(ISBLANK(A396),"",_xlfn.XLOOKUP(A396,'Requirement Overview'!C:C,'Requirement Overview'!H:H))</f>
        <v>IT</v>
      </c>
      <c r="F396" s="702" t="str">
        <f>IF(ISBLANK(A396),"",_xlfn.XLOOKUP(A396,'Requirement Overview'!C:C,'Requirement Overview'!I:I))</f>
        <v>Full Stack Developer</v>
      </c>
      <c r="G396" s="702" t="str">
        <f>IF(ISBLANK(A396),"",_xlfn.XLOOKUP(A396,'Requirement Overview'!C:C,'Requirement Overview'!G:G))</f>
        <v>GNA</v>
      </c>
      <c r="H396" s="488" t="s">
        <v>1887</v>
      </c>
      <c r="I396" s="702" t="s">
        <v>497</v>
      </c>
      <c r="J396" s="478" t="s">
        <v>1888</v>
      </c>
      <c r="K396" s="702">
        <v>9663041213</v>
      </c>
      <c r="L396" s="702" t="s">
        <v>305</v>
      </c>
      <c r="M396" s="702" t="s">
        <v>1284</v>
      </c>
      <c r="N396" s="702" t="s">
        <v>1889</v>
      </c>
      <c r="O396" s="702" t="s">
        <v>429</v>
      </c>
      <c r="P396" s="702" t="s">
        <v>268</v>
      </c>
      <c r="Q396" s="702" t="s">
        <v>268</v>
      </c>
      <c r="R396" s="702" t="s">
        <v>1890</v>
      </c>
      <c r="S396" s="702" t="s">
        <v>270</v>
      </c>
      <c r="T396" s="702" t="s">
        <v>103</v>
      </c>
      <c r="U396" s="703">
        <v>46053</v>
      </c>
      <c r="V396" s="703">
        <v>46053</v>
      </c>
      <c r="W396" s="702"/>
      <c r="X396" s="702"/>
      <c r="Y396" s="702"/>
      <c r="Z396" s="702"/>
      <c r="AA396" s="702"/>
      <c r="AB396" s="702"/>
      <c r="AC396" s="702"/>
      <c r="AD396" s="702"/>
      <c r="AE396" s="46"/>
      <c r="AT396" s="83"/>
    </row>
    <row r="397" spans="1:46" ht="14.45">
      <c r="A397" s="702" t="s">
        <v>124</v>
      </c>
      <c r="B397" s="702" t="s">
        <v>258</v>
      </c>
      <c r="C397" s="715" t="str">
        <f>IF(ISBLANK(B397),"",_xlfn.XLOOKUP(B397,Recruiter!A:A,Recruiter!B:B))</f>
        <v>Bhoomika</v>
      </c>
      <c r="D397" s="715" t="str">
        <f>IF(ISBLANK(A397),"",_xlfn.XLOOKUP(A397,'Requirement Overview'!C:C,'Requirement Overview'!E:E))</f>
        <v>Talme</v>
      </c>
      <c r="E397" s="715" t="str">
        <f>IF(ISBLANK(A397),"",_xlfn.XLOOKUP(A397,'Requirement Overview'!C:C,'Requirement Overview'!H:H))</f>
        <v>IT</v>
      </c>
      <c r="F397" s="702" t="str">
        <f>IF(ISBLANK(A397),"",_xlfn.XLOOKUP(A397,'Requirement Overview'!C:C,'Requirement Overview'!I:I))</f>
        <v>Full Stack Developer</v>
      </c>
      <c r="G397" s="702" t="str">
        <f>IF(ISBLANK(A397),"",_xlfn.XLOOKUP(A397,'Requirement Overview'!C:C,'Requirement Overview'!G:G))</f>
        <v>GNA</v>
      </c>
      <c r="H397" s="488" t="s">
        <v>1891</v>
      </c>
      <c r="I397" s="702" t="s">
        <v>262</v>
      </c>
      <c r="J397" s="476"/>
      <c r="K397" s="702">
        <v>7970420736</v>
      </c>
      <c r="L397" s="702"/>
      <c r="M397" s="702" t="s">
        <v>1892</v>
      </c>
      <c r="N397" s="702"/>
      <c r="O397" s="702" t="s">
        <v>568</v>
      </c>
      <c r="P397" s="702" t="s">
        <v>268</v>
      </c>
      <c r="Q397" s="702" t="s">
        <v>268</v>
      </c>
      <c r="R397" s="702" t="s">
        <v>1893</v>
      </c>
      <c r="S397" s="702" t="s">
        <v>270</v>
      </c>
      <c r="T397" s="702" t="s">
        <v>103</v>
      </c>
      <c r="U397" s="703">
        <v>46053</v>
      </c>
      <c r="V397" s="703">
        <v>46053</v>
      </c>
      <c r="W397" s="702"/>
      <c r="X397" s="702"/>
      <c r="Y397" s="702"/>
      <c r="Z397" s="702"/>
      <c r="AA397" s="702"/>
      <c r="AB397" s="702"/>
      <c r="AC397" s="702"/>
      <c r="AD397" s="702"/>
      <c r="AE397" s="46"/>
      <c r="AJ397" s="83"/>
      <c r="AK397" s="83"/>
      <c r="AL397" s="84"/>
      <c r="AM397" s="84"/>
      <c r="AN397" s="83"/>
      <c r="AO397" s="83"/>
      <c r="AP397" s="83"/>
      <c r="AQ397" s="83"/>
      <c r="AR397" s="83"/>
      <c r="AS397" s="84"/>
    </row>
    <row r="398" spans="1:46" ht="14.45">
      <c r="A398" s="5" t="s">
        <v>122</v>
      </c>
      <c r="B398" s="5" t="s">
        <v>236</v>
      </c>
      <c r="C398" s="605" t="str">
        <f>IF(ISBLANK(B398),"",_xlfn.XLOOKUP(B398,Recruiter!A:A,Recruiter!B:B))</f>
        <v>Pooja</v>
      </c>
      <c r="D398" s="605" t="str">
        <f>IF(ISBLANK(A398),"",_xlfn.XLOOKUP(A398,'Requirement Overview'!C:C,'Requirement Overview'!E:E))</f>
        <v>Talme</v>
      </c>
      <c r="E398" s="605" t="str">
        <f>IF(ISBLANK(A398),"",_xlfn.XLOOKUP(A398,'Requirement Overview'!C:C,'Requirement Overview'!H:H))</f>
        <v>IT</v>
      </c>
      <c r="F398" s="5" t="str">
        <f>IF(ISBLANK(A398),"",_xlfn.XLOOKUP(A398,'Requirement Overview'!C:C,'Requirement Overview'!I:I))</f>
        <v>QA Analyst</v>
      </c>
      <c r="G398" s="606" t="str">
        <f>IF(ISBLANK(A398),"",_xlfn.XLOOKUP(A398,'Requirement Overview'!C:C,'Requirement Overview'!G:G))</f>
        <v>GNA</v>
      </c>
      <c r="H398" s="607" t="s">
        <v>1894</v>
      </c>
      <c r="I398" s="608" t="s">
        <v>1895</v>
      </c>
      <c r="J398" s="609" t="s">
        <v>1896</v>
      </c>
      <c r="K398" s="47">
        <v>8884208808</v>
      </c>
      <c r="L398" s="584" t="s">
        <v>695</v>
      </c>
      <c r="M398" s="5" t="s">
        <v>1791</v>
      </c>
      <c r="N398" s="585" t="s">
        <v>1897</v>
      </c>
      <c r="O398" s="5" t="s">
        <v>373</v>
      </c>
      <c r="P398" s="5" t="s">
        <v>837</v>
      </c>
      <c r="Q398" s="5" t="s">
        <v>837</v>
      </c>
      <c r="R398" s="5" t="s">
        <v>1348</v>
      </c>
      <c r="S398" s="5" t="s">
        <v>270</v>
      </c>
      <c r="T398" s="5" t="s">
        <v>103</v>
      </c>
      <c r="U398" s="453">
        <v>46053</v>
      </c>
      <c r="V398" s="453">
        <v>46053</v>
      </c>
      <c r="W398" s="184"/>
      <c r="X398" s="47"/>
      <c r="Y398" s="47"/>
      <c r="Z398" s="47"/>
      <c r="AA398" s="47"/>
      <c r="AB398" s="47"/>
      <c r="AC398" s="47"/>
      <c r="AD398" s="47"/>
      <c r="AP398" s="83"/>
      <c r="AQ398" s="83"/>
      <c r="AR398" s="83"/>
      <c r="AS398" s="84"/>
      <c r="AT398" s="83"/>
    </row>
    <row r="399" spans="1:46" ht="14.45">
      <c r="A399" s="3" t="s">
        <v>122</v>
      </c>
      <c r="B399" s="3" t="s">
        <v>236</v>
      </c>
      <c r="C399" s="102" t="str">
        <f>IF(ISBLANK(B399),"",_xlfn.XLOOKUP(B399,Recruiter!A:A,Recruiter!B:B))</f>
        <v>Pooja</v>
      </c>
      <c r="D399" s="102" t="str">
        <f>IF(ISBLANK(A399),"",_xlfn.XLOOKUP(A399,'Requirement Overview'!C:C,'Requirement Overview'!E:E))</f>
        <v>Talme</v>
      </c>
      <c r="E399" s="102" t="str">
        <f>IF(ISBLANK(A399),"",_xlfn.XLOOKUP(A399,'Requirement Overview'!C:C,'Requirement Overview'!H:H))</f>
        <v>IT</v>
      </c>
      <c r="F399" s="3" t="str">
        <f>IF(ISBLANK(A399),"",_xlfn.XLOOKUP(A399,'Requirement Overview'!C:C,'Requirement Overview'!I:I))</f>
        <v>QA Analyst</v>
      </c>
      <c r="G399" s="4" t="str">
        <f>IF(ISBLANK(A399),"",_xlfn.XLOOKUP(A399,'Requirement Overview'!C:C,'Requirement Overview'!G:G))</f>
        <v>GNA</v>
      </c>
      <c r="H399" s="190" t="s">
        <v>1898</v>
      </c>
      <c r="I399" s="61" t="s">
        <v>519</v>
      </c>
      <c r="J399" s="210" t="s">
        <v>1899</v>
      </c>
      <c r="K399" s="24">
        <v>7892157698</v>
      </c>
      <c r="L399" s="61" t="s">
        <v>922</v>
      </c>
      <c r="M399" s="3" t="s">
        <v>1900</v>
      </c>
      <c r="N399" s="45" t="s">
        <v>1901</v>
      </c>
      <c r="O399" s="3" t="s">
        <v>269</v>
      </c>
      <c r="P399" s="3" t="s">
        <v>837</v>
      </c>
      <c r="Q399" s="3" t="s">
        <v>837</v>
      </c>
      <c r="R399" s="45" t="s">
        <v>517</v>
      </c>
      <c r="S399" s="3" t="s">
        <v>518</v>
      </c>
      <c r="T399" s="3" t="s">
        <v>103</v>
      </c>
      <c r="U399" s="55">
        <v>46053</v>
      </c>
      <c r="V399" s="55">
        <v>46053</v>
      </c>
      <c r="W399" s="46"/>
      <c r="AJ399" s="83"/>
      <c r="AK399" s="83"/>
      <c r="AL399" s="84"/>
      <c r="AM399" s="84"/>
      <c r="AN399" s="83"/>
      <c r="AO399" s="83"/>
      <c r="AT399" s="83"/>
    </row>
    <row r="400" spans="1:46" ht="14.45">
      <c r="A400" s="3" t="s">
        <v>122</v>
      </c>
      <c r="B400" s="3" t="s">
        <v>236</v>
      </c>
      <c r="C400" s="102" t="str">
        <f>IF(ISBLANK(B400),"",_xlfn.XLOOKUP(B400,Recruiter!A:A,Recruiter!B:B))</f>
        <v>Pooja</v>
      </c>
      <c r="D400" s="102" t="str">
        <f>IF(ISBLANK(A400),"",_xlfn.XLOOKUP(A400,'Requirement Overview'!C:C,'Requirement Overview'!E:E))</f>
        <v>Talme</v>
      </c>
      <c r="E400" s="102" t="str">
        <f>IF(ISBLANK(A400),"",_xlfn.XLOOKUP(A400,'Requirement Overview'!C:C,'Requirement Overview'!H:H))</f>
        <v>IT</v>
      </c>
      <c r="F400" s="3" t="str">
        <f>IF(ISBLANK(A400),"",_xlfn.XLOOKUP(A400,'Requirement Overview'!C:C,'Requirement Overview'!I:I))</f>
        <v>QA Analyst</v>
      </c>
      <c r="G400" s="4" t="str">
        <f>IF(ISBLANK(A400),"",_xlfn.XLOOKUP(A400,'Requirement Overview'!C:C,'Requirement Overview'!G:G))</f>
        <v>GNA</v>
      </c>
      <c r="H400" s="190" t="s">
        <v>1902</v>
      </c>
      <c r="I400" s="176" t="s">
        <v>983</v>
      </c>
      <c r="J400" s="210" t="s">
        <v>1903</v>
      </c>
      <c r="K400" s="24">
        <v>7025656828</v>
      </c>
      <c r="L400" s="61" t="s">
        <v>641</v>
      </c>
      <c r="M400" s="3" t="s">
        <v>1904</v>
      </c>
      <c r="N400" s="45" t="s">
        <v>1905</v>
      </c>
      <c r="O400" s="3" t="s">
        <v>434</v>
      </c>
      <c r="P400" s="3" t="s">
        <v>837</v>
      </c>
      <c r="Q400" s="3" t="s">
        <v>837</v>
      </c>
      <c r="R400" s="3" t="s">
        <v>1906</v>
      </c>
      <c r="S400" s="3" t="s">
        <v>270</v>
      </c>
      <c r="T400" s="3" t="s">
        <v>103</v>
      </c>
      <c r="U400" s="55">
        <v>46053</v>
      </c>
      <c r="V400" s="55">
        <v>46053</v>
      </c>
      <c r="W400" s="46"/>
      <c r="AP400" s="83"/>
      <c r="AQ400" s="83"/>
      <c r="AR400" s="83"/>
      <c r="AS400" s="84"/>
    </row>
    <row r="401" spans="1:46" ht="14.45">
      <c r="A401" s="3" t="s">
        <v>122</v>
      </c>
      <c r="B401" s="3" t="s">
        <v>236</v>
      </c>
      <c r="C401" s="102" t="str">
        <f>IF(ISBLANK(B401),"",_xlfn.XLOOKUP(B401,Recruiter!A:A,Recruiter!B:B))</f>
        <v>Pooja</v>
      </c>
      <c r="D401" s="102" t="str">
        <f>IF(ISBLANK(A401),"",_xlfn.XLOOKUP(A401,'Requirement Overview'!C:C,'Requirement Overview'!E:E))</f>
        <v>Talme</v>
      </c>
      <c r="E401" s="102" t="str">
        <f>IF(ISBLANK(A401),"",_xlfn.XLOOKUP(A401,'Requirement Overview'!C:C,'Requirement Overview'!H:H))</f>
        <v>IT</v>
      </c>
      <c r="F401" s="3" t="str">
        <f>IF(ISBLANK(A401),"",_xlfn.XLOOKUP(A401,'Requirement Overview'!C:C,'Requirement Overview'!I:I))</f>
        <v>QA Analyst</v>
      </c>
      <c r="G401" s="4" t="str">
        <f>IF(ISBLANK(A401),"",_xlfn.XLOOKUP(A401,'Requirement Overview'!C:C,'Requirement Overview'!G:G))</f>
        <v>GNA</v>
      </c>
      <c r="H401" s="188" t="s">
        <v>1907</v>
      </c>
      <c r="I401" s="171" t="s">
        <v>1908</v>
      </c>
      <c r="J401" s="217" t="s">
        <v>1909</v>
      </c>
      <c r="K401" s="24">
        <v>7735023819</v>
      </c>
      <c r="L401" s="176" t="s">
        <v>330</v>
      </c>
      <c r="M401" s="3" t="s">
        <v>1910</v>
      </c>
      <c r="N401" s="45" t="s">
        <v>1911</v>
      </c>
      <c r="O401" s="81" t="s">
        <v>434</v>
      </c>
      <c r="P401" s="81" t="s">
        <v>904</v>
      </c>
      <c r="Q401" s="45" t="s">
        <v>268</v>
      </c>
      <c r="R401" s="81" t="s">
        <v>1912</v>
      </c>
      <c r="S401" s="3" t="s">
        <v>1380</v>
      </c>
      <c r="T401" s="3" t="s">
        <v>103</v>
      </c>
      <c r="U401" s="55">
        <v>46055</v>
      </c>
      <c r="V401" s="55">
        <v>46055</v>
      </c>
      <c r="W401" s="24" t="s">
        <v>1913</v>
      </c>
      <c r="X401" s="29">
        <v>46059</v>
      </c>
      <c r="AJ401" s="83"/>
      <c r="AK401" s="83"/>
      <c r="AL401" s="84"/>
      <c r="AM401" s="84"/>
      <c r="AN401" s="83"/>
      <c r="AO401" s="83"/>
      <c r="AT401" s="83"/>
    </row>
    <row r="402" spans="1:46" ht="14.45">
      <c r="A402" s="3" t="s">
        <v>122</v>
      </c>
      <c r="B402" s="3" t="s">
        <v>236</v>
      </c>
      <c r="C402" s="102" t="str">
        <f>IF(ISBLANK(B402),"",_xlfn.XLOOKUP(B402,Recruiter!A:A,Recruiter!B:B))</f>
        <v>Pooja</v>
      </c>
      <c r="D402" s="102" t="str">
        <f>IF(ISBLANK(A402),"",_xlfn.XLOOKUP(A402,'Requirement Overview'!C:C,'Requirement Overview'!E:E))</f>
        <v>Talme</v>
      </c>
      <c r="E402" s="102" t="str">
        <f>IF(ISBLANK(A402),"",_xlfn.XLOOKUP(A402,'Requirement Overview'!C:C,'Requirement Overview'!H:H))</f>
        <v>IT</v>
      </c>
      <c r="F402" s="3" t="str">
        <f>IF(ISBLANK(A402),"",_xlfn.XLOOKUP(A402,'Requirement Overview'!C:C,'Requirement Overview'!I:I))</f>
        <v>QA Analyst</v>
      </c>
      <c r="G402" s="4" t="str">
        <f>IF(ISBLANK(A402),"",_xlfn.XLOOKUP(A402,'Requirement Overview'!C:C,'Requirement Overview'!G:G))</f>
        <v>GNA</v>
      </c>
      <c r="H402" s="188" t="s">
        <v>1914</v>
      </c>
      <c r="I402" s="176" t="s">
        <v>519</v>
      </c>
      <c r="J402" s="217" t="s">
        <v>1915</v>
      </c>
      <c r="K402" s="235">
        <v>9059275648</v>
      </c>
      <c r="L402" s="176" t="s">
        <v>1916</v>
      </c>
      <c r="M402" s="3" t="s">
        <v>1917</v>
      </c>
      <c r="N402" s="45" t="s">
        <v>1918</v>
      </c>
      <c r="O402" s="3" t="s">
        <v>407</v>
      </c>
      <c r="P402" s="81" t="s">
        <v>268</v>
      </c>
      <c r="Q402" s="3" t="s">
        <v>1819</v>
      </c>
      <c r="R402" s="45" t="s">
        <v>1919</v>
      </c>
      <c r="S402" s="3" t="s">
        <v>518</v>
      </c>
      <c r="T402" s="3" t="s">
        <v>103</v>
      </c>
      <c r="U402" s="125" t="s">
        <v>1920</v>
      </c>
      <c r="V402" s="55">
        <v>46055</v>
      </c>
      <c r="AJ402" s="83"/>
      <c r="AK402" s="83"/>
      <c r="AL402" s="84"/>
      <c r="AM402" s="84"/>
      <c r="AN402" s="83"/>
      <c r="AO402" s="83"/>
      <c r="AP402" s="83"/>
      <c r="AQ402" s="83"/>
      <c r="AR402" s="83"/>
      <c r="AS402" s="84"/>
    </row>
    <row r="403" spans="1:46" ht="14.45">
      <c r="A403" s="3" t="s">
        <v>122</v>
      </c>
      <c r="B403" s="3" t="s">
        <v>236</v>
      </c>
      <c r="C403" s="102" t="str">
        <f>IF(ISBLANK(B403),"",_xlfn.XLOOKUP(B403,Recruiter!A:A,Recruiter!B:B))</f>
        <v>Pooja</v>
      </c>
      <c r="D403" s="102" t="str">
        <f>IF(ISBLANK(A403),"",_xlfn.XLOOKUP(A403,'Requirement Overview'!C:C,'Requirement Overview'!E:E))</f>
        <v>Talme</v>
      </c>
      <c r="E403" s="102" t="str">
        <f>IF(ISBLANK(A403),"",_xlfn.XLOOKUP(A403,'Requirement Overview'!C:C,'Requirement Overview'!H:H))</f>
        <v>IT</v>
      </c>
      <c r="F403" s="3" t="str">
        <f>IF(ISBLANK(A403),"",_xlfn.XLOOKUP(A403,'Requirement Overview'!C:C,'Requirement Overview'!I:I))</f>
        <v>QA Analyst</v>
      </c>
      <c r="G403" s="4" t="str">
        <f>IF(ISBLANK(A403),"",_xlfn.XLOOKUP(A403,'Requirement Overview'!C:C,'Requirement Overview'!G:G))</f>
        <v>GNA</v>
      </c>
      <c r="H403" s="190" t="s">
        <v>1921</v>
      </c>
      <c r="I403" s="176" t="s">
        <v>1922</v>
      </c>
      <c r="J403" s="210" t="s">
        <v>1923</v>
      </c>
      <c r="K403" s="235">
        <v>8105528315</v>
      </c>
      <c r="L403" s="61" t="s">
        <v>922</v>
      </c>
      <c r="M403" s="3" t="s">
        <v>1924</v>
      </c>
      <c r="N403" s="45" t="s">
        <v>1925</v>
      </c>
      <c r="O403" s="3" t="s">
        <v>654</v>
      </c>
      <c r="P403" s="3" t="s">
        <v>837</v>
      </c>
      <c r="Q403" s="3" t="s">
        <v>837</v>
      </c>
      <c r="R403" s="45" t="s">
        <v>1926</v>
      </c>
      <c r="S403" s="3" t="s">
        <v>518</v>
      </c>
      <c r="T403" s="3" t="s">
        <v>103</v>
      </c>
      <c r="U403" s="55">
        <v>46055</v>
      </c>
      <c r="V403" s="55">
        <v>46055</v>
      </c>
      <c r="AT403" s="83"/>
    </row>
    <row r="404" spans="1:46" ht="14.45">
      <c r="A404" s="3" t="s">
        <v>122</v>
      </c>
      <c r="B404" s="3" t="s">
        <v>236</v>
      </c>
      <c r="C404" s="102" t="str">
        <f>IF(ISBLANK(B404),"",_xlfn.XLOOKUP(B404,Recruiter!A:A,Recruiter!B:B))</f>
        <v>Pooja</v>
      </c>
      <c r="D404" s="102" t="str">
        <f>IF(ISBLANK(A404),"",_xlfn.XLOOKUP(A404,'Requirement Overview'!C:C,'Requirement Overview'!E:E))</f>
        <v>Talme</v>
      </c>
      <c r="E404" s="102" t="str">
        <f>IF(ISBLANK(A404),"",_xlfn.XLOOKUP(A404,'Requirement Overview'!C:C,'Requirement Overview'!H:H))</f>
        <v>IT</v>
      </c>
      <c r="F404" s="3" t="str">
        <f>IF(ISBLANK(A404),"",_xlfn.XLOOKUP(A404,'Requirement Overview'!C:C,'Requirement Overview'!I:I))</f>
        <v>QA Analyst</v>
      </c>
      <c r="G404" s="4" t="str">
        <f>IF(ISBLANK(A404),"",_xlfn.XLOOKUP(A404,'Requirement Overview'!C:C,'Requirement Overview'!G:G))</f>
        <v>GNA</v>
      </c>
      <c r="H404" s="190" t="s">
        <v>1927</v>
      </c>
      <c r="I404" s="176" t="s">
        <v>1928</v>
      </c>
      <c r="J404" s="210" t="s">
        <v>1929</v>
      </c>
      <c r="K404" s="235">
        <v>8105909247</v>
      </c>
      <c r="L404" s="61" t="s">
        <v>695</v>
      </c>
      <c r="M404" s="3" t="s">
        <v>1181</v>
      </c>
      <c r="N404" s="45" t="s">
        <v>1930</v>
      </c>
      <c r="O404" s="3" t="s">
        <v>654</v>
      </c>
      <c r="P404" s="45" t="s">
        <v>268</v>
      </c>
      <c r="Q404" s="45" t="s">
        <v>268</v>
      </c>
      <c r="R404" s="45" t="s">
        <v>1931</v>
      </c>
      <c r="S404" s="3" t="s">
        <v>518</v>
      </c>
      <c r="T404" s="3" t="s">
        <v>103</v>
      </c>
      <c r="U404" s="55">
        <v>46055</v>
      </c>
      <c r="V404" s="55">
        <v>46055</v>
      </c>
      <c r="AJ404" s="83"/>
      <c r="AK404" s="83"/>
      <c r="AL404" s="84"/>
      <c r="AM404" s="84"/>
      <c r="AN404" s="83"/>
      <c r="AO404" s="83"/>
      <c r="AP404" s="83"/>
      <c r="AQ404" s="83"/>
      <c r="AR404" s="83"/>
      <c r="AS404" s="84"/>
    </row>
    <row r="405" spans="1:46" ht="14.45">
      <c r="A405" s="3" t="s">
        <v>122</v>
      </c>
      <c r="B405" s="3" t="s">
        <v>236</v>
      </c>
      <c r="C405" s="102" t="str">
        <f>IF(ISBLANK(B405),"",_xlfn.XLOOKUP(B405,Recruiter!A:A,Recruiter!B:B))</f>
        <v>Pooja</v>
      </c>
      <c r="D405" s="102" t="str">
        <f>IF(ISBLANK(A405),"",_xlfn.XLOOKUP(A405,'Requirement Overview'!C:C,'Requirement Overview'!E:E))</f>
        <v>Talme</v>
      </c>
      <c r="E405" s="102" t="str">
        <f>IF(ISBLANK(A405),"",_xlfn.XLOOKUP(A405,'Requirement Overview'!C:C,'Requirement Overview'!H:H))</f>
        <v>IT</v>
      </c>
      <c r="F405" s="3" t="str">
        <f>IF(ISBLANK(A405),"",_xlfn.XLOOKUP(A405,'Requirement Overview'!C:C,'Requirement Overview'!I:I))</f>
        <v>QA Analyst</v>
      </c>
      <c r="G405" s="4" t="str">
        <f>IF(ISBLANK(A405),"",_xlfn.XLOOKUP(A405,'Requirement Overview'!C:C,'Requirement Overview'!G:G))</f>
        <v>GNA</v>
      </c>
      <c r="H405" s="190" t="s">
        <v>1932</v>
      </c>
      <c r="I405" s="61" t="s">
        <v>1933</v>
      </c>
      <c r="J405" s="210" t="s">
        <v>1934</v>
      </c>
      <c r="K405" s="235">
        <v>8746015311</v>
      </c>
      <c r="L405" s="61" t="s">
        <v>922</v>
      </c>
      <c r="M405" s="3" t="s">
        <v>1935</v>
      </c>
      <c r="N405" s="45" t="s">
        <v>1936</v>
      </c>
      <c r="O405" s="3" t="s">
        <v>368</v>
      </c>
      <c r="P405" s="45" t="s">
        <v>268</v>
      </c>
      <c r="Q405" s="3" t="s">
        <v>837</v>
      </c>
      <c r="R405" s="45" t="s">
        <v>1937</v>
      </c>
      <c r="S405" s="3" t="s">
        <v>518</v>
      </c>
      <c r="T405" s="3" t="s">
        <v>103</v>
      </c>
      <c r="U405" s="55">
        <v>46055</v>
      </c>
      <c r="V405" s="55">
        <v>46055</v>
      </c>
      <c r="AP405" s="83"/>
      <c r="AQ405" s="83"/>
      <c r="AR405" s="83"/>
      <c r="AS405" s="84"/>
      <c r="AT405" s="83"/>
    </row>
    <row r="406" spans="1:46" ht="14.45">
      <c r="A406" s="3" t="s">
        <v>122</v>
      </c>
      <c r="B406" s="3" t="s">
        <v>236</v>
      </c>
      <c r="C406" s="102" t="str">
        <f>IF(ISBLANK(B406),"",_xlfn.XLOOKUP(B406,Recruiter!A:A,Recruiter!B:B))</f>
        <v>Pooja</v>
      </c>
      <c r="D406" s="102" t="str">
        <f>IF(ISBLANK(A406),"",_xlfn.XLOOKUP(A406,'Requirement Overview'!C:C,'Requirement Overview'!E:E))</f>
        <v>Talme</v>
      </c>
      <c r="E406" s="102" t="str">
        <f>IF(ISBLANK(A406),"",_xlfn.XLOOKUP(A406,'Requirement Overview'!C:C,'Requirement Overview'!H:H))</f>
        <v>IT</v>
      </c>
      <c r="F406" s="3" t="str">
        <f>IF(ISBLANK(A406),"",_xlfn.XLOOKUP(A406,'Requirement Overview'!C:C,'Requirement Overview'!I:I))</f>
        <v>QA Analyst</v>
      </c>
      <c r="G406" s="4" t="str">
        <f>IF(ISBLANK(A406),"",_xlfn.XLOOKUP(A406,'Requirement Overview'!C:C,'Requirement Overview'!G:G))</f>
        <v>GNA</v>
      </c>
      <c r="H406" s="190" t="s">
        <v>1938</v>
      </c>
      <c r="I406" s="176" t="s">
        <v>1908</v>
      </c>
      <c r="J406" s="203" t="s">
        <v>1939</v>
      </c>
      <c r="K406" s="24">
        <v>8247462866</v>
      </c>
      <c r="L406" s="232" t="s">
        <v>1815</v>
      </c>
      <c r="M406" s="124" t="s">
        <v>1940</v>
      </c>
      <c r="N406" s="124" t="s">
        <v>1941</v>
      </c>
      <c r="O406" s="3" t="s">
        <v>730</v>
      </c>
      <c r="P406" s="3" t="s">
        <v>904</v>
      </c>
      <c r="Q406" s="45" t="s">
        <v>268</v>
      </c>
      <c r="R406" s="3" t="s">
        <v>1942</v>
      </c>
      <c r="S406" s="3" t="s">
        <v>612</v>
      </c>
      <c r="T406" s="3" t="s">
        <v>103</v>
      </c>
      <c r="U406" s="55">
        <v>46055</v>
      </c>
      <c r="V406" s="55">
        <v>46055</v>
      </c>
      <c r="W406" s="24" t="s">
        <v>1943</v>
      </c>
      <c r="X406" s="29">
        <v>46058</v>
      </c>
      <c r="Y406" s="24" t="s">
        <v>784</v>
      </c>
      <c r="AJ406" s="83"/>
      <c r="AK406" s="83"/>
      <c r="AL406" s="84"/>
      <c r="AM406" s="84"/>
      <c r="AN406" s="83"/>
      <c r="AO406" s="83"/>
      <c r="AT406" s="83"/>
    </row>
    <row r="407" spans="1:46" ht="14.45">
      <c r="A407" s="3" t="s">
        <v>124</v>
      </c>
      <c r="B407" s="3" t="s">
        <v>236</v>
      </c>
      <c r="C407" s="102" t="str">
        <f>IF(ISBLANK(B407),"",_xlfn.XLOOKUP(B407,Recruiter!A:A,Recruiter!B:B))</f>
        <v>Pooja</v>
      </c>
      <c r="D407" s="102" t="str">
        <f>IF(ISBLANK(A407),"",_xlfn.XLOOKUP(A407,'Requirement Overview'!C:C,'Requirement Overview'!E:E))</f>
        <v>Talme</v>
      </c>
      <c r="E407" s="102" t="str">
        <f>IF(ISBLANK(A407),"",_xlfn.XLOOKUP(A407,'Requirement Overview'!C:C,'Requirement Overview'!H:H))</f>
        <v>IT</v>
      </c>
      <c r="F407" s="3" t="str">
        <f>IF(ISBLANK(A407),"",_xlfn.XLOOKUP(A407,'Requirement Overview'!C:C,'Requirement Overview'!I:I))</f>
        <v>Full Stack Developer</v>
      </c>
      <c r="G407" s="4" t="str">
        <f>IF(ISBLANK(A407),"",_xlfn.XLOOKUP(A407,'Requirement Overview'!C:C,'Requirement Overview'!G:G))</f>
        <v>GNA</v>
      </c>
      <c r="H407" s="190" t="s">
        <v>1944</v>
      </c>
      <c r="I407" s="176" t="s">
        <v>1945</v>
      </c>
      <c r="J407" s="210" t="s">
        <v>1946</v>
      </c>
      <c r="K407" s="235">
        <v>7483613652</v>
      </c>
      <c r="L407" s="61" t="s">
        <v>311</v>
      </c>
      <c r="M407" s="3" t="s">
        <v>1947</v>
      </c>
      <c r="N407" s="3" t="s">
        <v>1782</v>
      </c>
      <c r="O407" s="3" t="s">
        <v>1948</v>
      </c>
      <c r="P407" s="45" t="s">
        <v>268</v>
      </c>
      <c r="Q407" s="45" t="s">
        <v>268</v>
      </c>
      <c r="R407" s="45" t="s">
        <v>1949</v>
      </c>
      <c r="S407" s="3" t="s">
        <v>270</v>
      </c>
      <c r="T407" s="3" t="s">
        <v>103</v>
      </c>
      <c r="U407" s="55">
        <v>46055</v>
      </c>
      <c r="V407" s="55">
        <v>46055</v>
      </c>
      <c r="AP407" s="83"/>
      <c r="AQ407" s="83"/>
      <c r="AR407" s="83"/>
      <c r="AS407" s="84"/>
    </row>
    <row r="408" spans="1:46" ht="14.45">
      <c r="A408" s="3" t="s">
        <v>124</v>
      </c>
      <c r="B408" s="3" t="s">
        <v>236</v>
      </c>
      <c r="C408" s="102" t="str">
        <f>IF(ISBLANK(B408),"",_xlfn.XLOOKUP(B408,Recruiter!A:A,Recruiter!B:B))</f>
        <v>Pooja</v>
      </c>
      <c r="D408" s="102" t="str">
        <f>IF(ISBLANK(A408),"",_xlfn.XLOOKUP(A408,'Requirement Overview'!C:C,'Requirement Overview'!E:E))</f>
        <v>Talme</v>
      </c>
      <c r="E408" s="102" t="str">
        <f>IF(ISBLANK(A408),"",_xlfn.XLOOKUP(A408,'Requirement Overview'!C:C,'Requirement Overview'!H:H))</f>
        <v>IT</v>
      </c>
      <c r="F408" s="3" t="str">
        <f>IF(ISBLANK(A408),"",_xlfn.XLOOKUP(A408,'Requirement Overview'!C:C,'Requirement Overview'!I:I))</f>
        <v>Full Stack Developer</v>
      </c>
      <c r="G408" s="4" t="str">
        <f>IF(ISBLANK(A408),"",_xlfn.XLOOKUP(A408,'Requirement Overview'!C:C,'Requirement Overview'!G:G))</f>
        <v>GNA</v>
      </c>
      <c r="H408" s="190" t="s">
        <v>1950</v>
      </c>
      <c r="I408" s="61" t="s">
        <v>892</v>
      </c>
      <c r="J408" s="210" t="s">
        <v>1951</v>
      </c>
      <c r="K408" s="235">
        <v>8962343506</v>
      </c>
      <c r="L408" s="61" t="s">
        <v>695</v>
      </c>
      <c r="M408" s="3" t="s">
        <v>1940</v>
      </c>
      <c r="N408" s="45" t="s">
        <v>1952</v>
      </c>
      <c r="O408" s="3" t="s">
        <v>367</v>
      </c>
      <c r="P408" s="45" t="s">
        <v>268</v>
      </c>
      <c r="Q408" s="45" t="s">
        <v>268</v>
      </c>
      <c r="R408" s="45" t="s">
        <v>368</v>
      </c>
      <c r="S408" s="3" t="s">
        <v>270</v>
      </c>
      <c r="T408" s="3" t="s">
        <v>103</v>
      </c>
      <c r="U408" s="55">
        <v>46055</v>
      </c>
      <c r="V408" s="55">
        <v>46055</v>
      </c>
      <c r="AJ408" s="83"/>
      <c r="AK408" s="83"/>
      <c r="AL408" s="84"/>
      <c r="AM408" s="84"/>
      <c r="AN408" s="83"/>
      <c r="AO408" s="83"/>
      <c r="AT408" s="83"/>
    </row>
    <row r="409" spans="1:46" ht="14.45">
      <c r="A409" s="24" t="s">
        <v>120</v>
      </c>
      <c r="B409" s="24" t="s">
        <v>340</v>
      </c>
      <c r="C409" s="83" t="str">
        <f>IF(ISBLANK(B409),"",_xlfn.XLOOKUP(B409,Recruiter!A:A,Recruiter!B:B))</f>
        <v>Harshitha</v>
      </c>
      <c r="D409" s="83" t="str">
        <f>IF(ISBLANK(A409),"",_xlfn.XLOOKUP(A409,'Requirement Overview'!C:C,'Requirement Overview'!E:E))</f>
        <v>Talme</v>
      </c>
      <c r="E409" s="83" t="str">
        <f>IF(ISBLANK(A409),"",_xlfn.XLOOKUP(A409,'Requirement Overview'!C:C,'Requirement Overview'!H:H))</f>
        <v>IT</v>
      </c>
      <c r="F409" s="24" t="str">
        <f>IF(ISBLANK(A409),"",_xlfn.XLOOKUP(A409,'Requirement Overview'!C:C,'Requirement Overview'!I:I))</f>
        <v>Java Script Developer</v>
      </c>
      <c r="G409" s="58" t="str">
        <f>IF(ISBLANK(A409),"",_xlfn.XLOOKUP(A409,'Requirement Overview'!C:C,'Requirement Overview'!G:G))</f>
        <v>EMIDS</v>
      </c>
      <c r="H409" s="187" t="s">
        <v>1953</v>
      </c>
      <c r="I409" s="170" t="s">
        <v>1954</v>
      </c>
      <c r="J409" s="205" t="s">
        <v>1955</v>
      </c>
      <c r="K409" s="234">
        <v>8095678022</v>
      </c>
      <c r="L409" s="170" t="s">
        <v>305</v>
      </c>
      <c r="M409" s="44" t="s">
        <v>1284</v>
      </c>
      <c r="N409" s="126" t="s">
        <v>1956</v>
      </c>
      <c r="O409" s="24" t="s">
        <v>374</v>
      </c>
      <c r="P409" s="44" t="s">
        <v>268</v>
      </c>
      <c r="Q409" s="44" t="s">
        <v>268</v>
      </c>
      <c r="R409" s="24" t="s">
        <v>757</v>
      </c>
      <c r="S409" s="24" t="s">
        <v>601</v>
      </c>
      <c r="T409" s="3" t="s">
        <v>103</v>
      </c>
      <c r="U409" s="29">
        <v>46055</v>
      </c>
      <c r="V409" s="118">
        <v>46055</v>
      </c>
      <c r="AJ409" s="83"/>
      <c r="AK409" s="83"/>
      <c r="AL409" s="84"/>
      <c r="AM409" s="84"/>
      <c r="AN409" s="83"/>
      <c r="AO409" s="83"/>
      <c r="AP409" s="83"/>
      <c r="AQ409" s="83"/>
      <c r="AR409" s="83"/>
      <c r="AS409" s="84"/>
    </row>
    <row r="410" spans="1:46" ht="14.45">
      <c r="A410" s="47" t="s">
        <v>120</v>
      </c>
      <c r="B410" s="47" t="s">
        <v>340</v>
      </c>
      <c r="C410" s="83" t="str">
        <f>IF(ISBLANK(B410),"",_xlfn.XLOOKUP(B410,Recruiter!A:A,Recruiter!B:B))</f>
        <v>Harshitha</v>
      </c>
      <c r="D410" s="83" t="str">
        <f>IF(ISBLANK(A410),"",_xlfn.XLOOKUP(A410,'Requirement Overview'!C:C,'Requirement Overview'!E:E))</f>
        <v>Talme</v>
      </c>
      <c r="E410" s="83" t="str">
        <f>IF(ISBLANK(A410),"",_xlfn.XLOOKUP(A410,'Requirement Overview'!C:C,'Requirement Overview'!H:H))</f>
        <v>IT</v>
      </c>
      <c r="F410" s="24" t="str">
        <f>IF(ISBLANK(A410),"",_xlfn.XLOOKUP(A410,'Requirement Overview'!C:C,'Requirement Overview'!I:I))</f>
        <v>Java Script Developer</v>
      </c>
      <c r="G410" s="58" t="str">
        <f>IF(ISBLANK(A410),"",_xlfn.XLOOKUP(A410,'Requirement Overview'!C:C,'Requirement Overview'!G:G))</f>
        <v>EMIDS</v>
      </c>
      <c r="H410" s="187" t="s">
        <v>1957</v>
      </c>
      <c r="I410" s="170" t="s">
        <v>519</v>
      </c>
      <c r="J410" s="205" t="s">
        <v>1958</v>
      </c>
      <c r="K410" s="234">
        <v>7339326363</v>
      </c>
      <c r="L410" s="170" t="s">
        <v>404</v>
      </c>
      <c r="M410" s="44" t="s">
        <v>279</v>
      </c>
      <c r="N410" s="44" t="s">
        <v>1959</v>
      </c>
      <c r="O410" s="24" t="s">
        <v>1960</v>
      </c>
      <c r="P410" s="44" t="s">
        <v>268</v>
      </c>
      <c r="Q410" s="44" t="s">
        <v>268</v>
      </c>
      <c r="R410" s="24" t="s">
        <v>368</v>
      </c>
      <c r="S410" s="47" t="s">
        <v>601</v>
      </c>
      <c r="T410" s="3" t="s">
        <v>103</v>
      </c>
      <c r="U410" s="118">
        <v>46055</v>
      </c>
      <c r="V410" s="118">
        <v>46055</v>
      </c>
      <c r="AT410" s="83"/>
    </row>
    <row r="411" spans="1:46" ht="14.45">
      <c r="A411" s="47" t="s">
        <v>120</v>
      </c>
      <c r="B411" s="47" t="s">
        <v>340</v>
      </c>
      <c r="C411" s="83" t="str">
        <f>IF(ISBLANK(B411),"",_xlfn.XLOOKUP(B411,Recruiter!A:A,Recruiter!B:B))</f>
        <v>Harshitha</v>
      </c>
      <c r="D411" s="83" t="str">
        <f>IF(ISBLANK(A411),"",_xlfn.XLOOKUP(A411,'Requirement Overview'!C:C,'Requirement Overview'!E:E))</f>
        <v>Talme</v>
      </c>
      <c r="E411" s="83" t="str">
        <f>IF(ISBLANK(A411),"",_xlfn.XLOOKUP(A411,'Requirement Overview'!C:C,'Requirement Overview'!H:H))</f>
        <v>IT</v>
      </c>
      <c r="F411" s="24" t="str">
        <f>IF(ISBLANK(A411),"",_xlfn.XLOOKUP(A411,'Requirement Overview'!C:C,'Requirement Overview'!I:I))</f>
        <v>Java Script Developer</v>
      </c>
      <c r="G411" s="58" t="str">
        <f>IF(ISBLANK(A411),"",_xlfn.XLOOKUP(A411,'Requirement Overview'!C:C,'Requirement Overview'!G:G))</f>
        <v>EMIDS</v>
      </c>
      <c r="H411" s="187" t="s">
        <v>1961</v>
      </c>
      <c r="I411" s="170" t="s">
        <v>519</v>
      </c>
      <c r="J411" s="205" t="s">
        <v>1962</v>
      </c>
      <c r="K411" s="234">
        <v>8904509122</v>
      </c>
      <c r="L411" s="170" t="s">
        <v>305</v>
      </c>
      <c r="M411" s="44" t="s">
        <v>1001</v>
      </c>
      <c r="N411" s="126" t="s">
        <v>1963</v>
      </c>
      <c r="O411" s="24" t="s">
        <v>374</v>
      </c>
      <c r="P411" s="44" t="s">
        <v>268</v>
      </c>
      <c r="Q411" s="44" t="s">
        <v>268</v>
      </c>
      <c r="R411" s="24" t="s">
        <v>1144</v>
      </c>
      <c r="S411" s="47" t="s">
        <v>601</v>
      </c>
      <c r="T411" s="3" t="s">
        <v>103</v>
      </c>
      <c r="U411" s="118">
        <v>46055</v>
      </c>
      <c r="V411" s="118">
        <v>46055</v>
      </c>
      <c r="AJ411" s="83"/>
      <c r="AK411" s="83"/>
      <c r="AL411" s="84"/>
      <c r="AM411" s="84"/>
      <c r="AN411" s="83"/>
      <c r="AO411" s="83"/>
      <c r="AP411" s="83"/>
      <c r="AQ411" s="83"/>
      <c r="AR411" s="83"/>
      <c r="AS411" s="84"/>
    </row>
    <row r="412" spans="1:46" ht="14.45">
      <c r="A412" s="47" t="s">
        <v>120</v>
      </c>
      <c r="B412" s="47" t="s">
        <v>340</v>
      </c>
      <c r="C412" s="83" t="str">
        <f>IF(ISBLANK(B412),"",_xlfn.XLOOKUP(B412,Recruiter!A:A,Recruiter!B:B))</f>
        <v>Harshitha</v>
      </c>
      <c r="D412" s="83" t="str">
        <f>IF(ISBLANK(A412),"",_xlfn.XLOOKUP(A412,'Requirement Overview'!C:C,'Requirement Overview'!E:E))</f>
        <v>Talme</v>
      </c>
      <c r="E412" s="83" t="str">
        <f>IF(ISBLANK(A412),"",_xlfn.XLOOKUP(A412,'Requirement Overview'!C:C,'Requirement Overview'!H:H))</f>
        <v>IT</v>
      </c>
      <c r="F412" s="24" t="s">
        <v>121</v>
      </c>
      <c r="G412" s="58" t="str">
        <f>IF(ISBLANK(A412),"",_xlfn.XLOOKUP(A412,'Requirement Overview'!C:C,'Requirement Overview'!G:G))</f>
        <v>EMIDS</v>
      </c>
      <c r="H412" s="187" t="s">
        <v>1964</v>
      </c>
      <c r="I412" s="170" t="s">
        <v>519</v>
      </c>
      <c r="J412" s="205" t="s">
        <v>1965</v>
      </c>
      <c r="K412" s="234">
        <v>7457097271</v>
      </c>
      <c r="L412" s="170" t="s">
        <v>305</v>
      </c>
      <c r="M412" s="44" t="s">
        <v>1966</v>
      </c>
      <c r="N412" s="126" t="s">
        <v>1967</v>
      </c>
      <c r="O412" s="24" t="s">
        <v>367</v>
      </c>
      <c r="P412" s="44" t="s">
        <v>806</v>
      </c>
      <c r="Q412" s="44" t="s">
        <v>806</v>
      </c>
      <c r="R412" s="24" t="s">
        <v>374</v>
      </c>
      <c r="S412" s="47" t="s">
        <v>601</v>
      </c>
      <c r="T412" s="3" t="s">
        <v>103</v>
      </c>
      <c r="U412" s="118">
        <v>46055</v>
      </c>
      <c r="V412" s="118">
        <v>46055</v>
      </c>
      <c r="AP412" s="83"/>
      <c r="AQ412" s="83"/>
      <c r="AR412" s="83"/>
      <c r="AS412" s="84"/>
      <c r="AT412" s="83"/>
    </row>
    <row r="413" spans="1:46" ht="14.45">
      <c r="A413" s="47" t="s">
        <v>120</v>
      </c>
      <c r="B413" s="47" t="s">
        <v>340</v>
      </c>
      <c r="C413" s="83" t="str">
        <f>IF(ISBLANK(B413),"",_xlfn.XLOOKUP(B413,Recruiter!A:A,Recruiter!B:B))</f>
        <v>Harshitha</v>
      </c>
      <c r="D413" s="83" t="str">
        <f>IF(ISBLANK(A413),"",_xlfn.XLOOKUP(A413,'Requirement Overview'!C:C,'Requirement Overview'!E:E))</f>
        <v>Talme</v>
      </c>
      <c r="E413" s="83" t="str">
        <f>IF(ISBLANK(A413),"",_xlfn.XLOOKUP(A413,'Requirement Overview'!C:C,'Requirement Overview'!H:H))</f>
        <v>IT</v>
      </c>
      <c r="F413" s="24" t="s">
        <v>121</v>
      </c>
      <c r="G413" s="58" t="str">
        <f>IF(ISBLANK(A413),"",_xlfn.XLOOKUP(A413,'Requirement Overview'!C:C,'Requirement Overview'!G:G))</f>
        <v>EMIDS</v>
      </c>
      <c r="H413" s="187" t="s">
        <v>1968</v>
      </c>
      <c r="I413" s="170" t="s">
        <v>519</v>
      </c>
      <c r="J413" s="205" t="s">
        <v>1969</v>
      </c>
      <c r="K413" s="234">
        <v>8400791234</v>
      </c>
      <c r="L413" s="170" t="s">
        <v>378</v>
      </c>
      <c r="M413" s="44" t="s">
        <v>1864</v>
      </c>
      <c r="N413" s="126" t="s">
        <v>1970</v>
      </c>
      <c r="O413" s="24" t="s">
        <v>373</v>
      </c>
      <c r="P413" s="44" t="s">
        <v>806</v>
      </c>
      <c r="Q413" s="44" t="s">
        <v>806</v>
      </c>
      <c r="R413" s="24" t="s">
        <v>540</v>
      </c>
      <c r="S413" s="47" t="s">
        <v>601</v>
      </c>
      <c r="T413" s="3" t="s">
        <v>103</v>
      </c>
      <c r="U413" s="118">
        <v>46055</v>
      </c>
      <c r="V413" s="118">
        <v>46055</v>
      </c>
      <c r="AJ413" s="83"/>
      <c r="AK413" s="83"/>
      <c r="AL413" s="84"/>
      <c r="AM413" s="84"/>
      <c r="AN413" s="83"/>
      <c r="AO413" s="83"/>
      <c r="AT413" s="83"/>
    </row>
    <row r="414" spans="1:46" ht="14.45">
      <c r="A414" s="47" t="s">
        <v>120</v>
      </c>
      <c r="B414" s="47" t="s">
        <v>340</v>
      </c>
      <c r="C414" s="83" t="str">
        <f>IF(ISBLANK(B414),"",_xlfn.XLOOKUP(B414,Recruiter!A:A,Recruiter!B:B))</f>
        <v>Harshitha</v>
      </c>
      <c r="D414" s="83" t="str">
        <f>IF(ISBLANK(A414),"",_xlfn.XLOOKUP(A414,'Requirement Overview'!C:C,'Requirement Overview'!E:E))</f>
        <v>Talme</v>
      </c>
      <c r="E414" s="83" t="str">
        <f>IF(ISBLANK(A414),"",_xlfn.XLOOKUP(A414,'Requirement Overview'!C:C,'Requirement Overview'!H:H))</f>
        <v>IT</v>
      </c>
      <c r="F414" s="24" t="str">
        <f>IF(ISBLANK(A414),"",_xlfn.XLOOKUP(A414,'Requirement Overview'!C:C,'Requirement Overview'!I:I))</f>
        <v>Java Script Developer</v>
      </c>
      <c r="G414" s="58" t="str">
        <f>IF(ISBLANK(A414),"",_xlfn.XLOOKUP(A414,'Requirement Overview'!C:C,'Requirement Overview'!G:G))</f>
        <v>EMIDS</v>
      </c>
      <c r="H414" s="187" t="s">
        <v>1971</v>
      </c>
      <c r="I414" s="170" t="s">
        <v>519</v>
      </c>
      <c r="J414" s="205" t="s">
        <v>1972</v>
      </c>
      <c r="K414" s="234">
        <v>8630454319</v>
      </c>
      <c r="L414" s="170" t="s">
        <v>305</v>
      </c>
      <c r="M414" s="44" t="s">
        <v>279</v>
      </c>
      <c r="N414" s="126" t="s">
        <v>1973</v>
      </c>
      <c r="O414" s="24" t="s">
        <v>1974</v>
      </c>
      <c r="P414" s="44" t="s">
        <v>806</v>
      </c>
      <c r="Q414" s="44" t="s">
        <v>806</v>
      </c>
      <c r="R414" s="24" t="s">
        <v>678</v>
      </c>
      <c r="S414" s="47" t="s">
        <v>601</v>
      </c>
      <c r="T414" s="3" t="s">
        <v>103</v>
      </c>
      <c r="U414" s="118">
        <v>46055</v>
      </c>
      <c r="V414" s="118">
        <v>46055</v>
      </c>
      <c r="AP414" s="83"/>
      <c r="AQ414" s="83"/>
      <c r="AR414" s="83"/>
      <c r="AS414" s="84"/>
    </row>
    <row r="415" spans="1:46" ht="14.45">
      <c r="A415" s="47" t="s">
        <v>120</v>
      </c>
      <c r="B415" s="47" t="s">
        <v>340</v>
      </c>
      <c r="C415" s="83" t="str">
        <f>IF(ISBLANK(B415),"",_xlfn.XLOOKUP(B415,Recruiter!A:A,Recruiter!B:B))</f>
        <v>Harshitha</v>
      </c>
      <c r="D415" s="83" t="str">
        <f>IF(ISBLANK(A415),"",_xlfn.XLOOKUP(A415,'Requirement Overview'!C:C,'Requirement Overview'!E:E))</f>
        <v>Talme</v>
      </c>
      <c r="E415" s="83" t="str">
        <f>IF(ISBLANK(A415),"",_xlfn.XLOOKUP(A415,'Requirement Overview'!C:C,'Requirement Overview'!H:H))</f>
        <v>IT</v>
      </c>
      <c r="F415" s="24" t="str">
        <f>IF(ISBLANK(A415),"",_xlfn.XLOOKUP(A415,'Requirement Overview'!C:C,'Requirement Overview'!I:I))</f>
        <v>Java Script Developer</v>
      </c>
      <c r="G415" s="58" t="str">
        <f>IF(ISBLANK(A415),"",_xlfn.XLOOKUP(A415,'Requirement Overview'!C:C,'Requirement Overview'!G:G))</f>
        <v>EMIDS</v>
      </c>
      <c r="H415" s="187" t="s">
        <v>1975</v>
      </c>
      <c r="I415" s="170" t="s">
        <v>519</v>
      </c>
      <c r="J415" s="205" t="s">
        <v>1976</v>
      </c>
      <c r="K415" s="234">
        <v>9399753929</v>
      </c>
      <c r="L415" s="170" t="s">
        <v>350</v>
      </c>
      <c r="M415" s="44" t="s">
        <v>279</v>
      </c>
      <c r="N415" s="126" t="s">
        <v>1977</v>
      </c>
      <c r="O415" s="24" t="s">
        <v>1978</v>
      </c>
      <c r="P415" s="44" t="s">
        <v>268</v>
      </c>
      <c r="Q415" s="44" t="s">
        <v>268</v>
      </c>
      <c r="R415" s="24" t="s">
        <v>540</v>
      </c>
      <c r="S415" s="47" t="s">
        <v>601</v>
      </c>
      <c r="T415" s="3" t="s">
        <v>103</v>
      </c>
      <c r="U415" s="118">
        <v>46055</v>
      </c>
      <c r="V415" s="118">
        <v>46055</v>
      </c>
      <c r="AJ415" s="83"/>
      <c r="AK415" s="83"/>
      <c r="AL415" s="84"/>
      <c r="AM415" s="84"/>
      <c r="AN415" s="83"/>
      <c r="AO415" s="83"/>
      <c r="AT415" s="83"/>
    </row>
    <row r="416" spans="1:46" s="51" customFormat="1" ht="14.45">
      <c r="A416" s="49" t="s">
        <v>120</v>
      </c>
      <c r="B416" s="49" t="s">
        <v>340</v>
      </c>
      <c r="C416" s="87" t="str">
        <f>IF(ISBLANK(B416),"",_xlfn.XLOOKUP(B416,Recruiter!A:A,Recruiter!B:B))</f>
        <v>Harshitha</v>
      </c>
      <c r="D416" s="87" t="str">
        <f>IF(ISBLANK(A416),"",_xlfn.XLOOKUP(A416,'Requirement Overview'!C:C,'Requirement Overview'!E:E))</f>
        <v>Talme</v>
      </c>
      <c r="E416" s="87" t="str">
        <f>IF(ISBLANK(A416),"",_xlfn.XLOOKUP(A416,'Requirement Overview'!C:C,'Requirement Overview'!H:H))</f>
        <v>IT</v>
      </c>
      <c r="F416" s="51" t="str">
        <f>IF(ISBLANK(A416),"",_xlfn.XLOOKUP(A416,'Requirement Overview'!C:C,'Requirement Overview'!I:I))</f>
        <v>Java Script Developer</v>
      </c>
      <c r="G416" s="58" t="str">
        <f>IF(ISBLANK(A416),"",_xlfn.XLOOKUP(A416,'Requirement Overview'!C:C,'Requirement Overview'!G:G))</f>
        <v>EMIDS</v>
      </c>
      <c r="H416" s="187" t="s">
        <v>1979</v>
      </c>
      <c r="I416" s="179" t="s">
        <v>519</v>
      </c>
      <c r="J416" s="213" t="s">
        <v>1980</v>
      </c>
      <c r="K416" s="234">
        <v>7669251821</v>
      </c>
      <c r="L416" s="179" t="s">
        <v>378</v>
      </c>
      <c r="M416" s="60" t="s">
        <v>279</v>
      </c>
      <c r="N416" s="127" t="s">
        <v>1981</v>
      </c>
      <c r="O416" s="51" t="s">
        <v>429</v>
      </c>
      <c r="P416" s="60" t="s">
        <v>806</v>
      </c>
      <c r="Q416" s="60" t="s">
        <v>806</v>
      </c>
      <c r="R416" s="51" t="s">
        <v>368</v>
      </c>
      <c r="S416" s="49" t="s">
        <v>601</v>
      </c>
      <c r="T416" s="50" t="s">
        <v>103</v>
      </c>
      <c r="U416" s="128">
        <v>46055</v>
      </c>
      <c r="V416" s="128">
        <v>46055</v>
      </c>
      <c r="AJ416" s="87"/>
      <c r="AK416" s="87"/>
      <c r="AL416" s="88"/>
      <c r="AM416" s="88"/>
      <c r="AN416" s="87"/>
      <c r="AO416" s="87"/>
      <c r="AP416" s="87"/>
      <c r="AQ416" s="87"/>
      <c r="AR416" s="87"/>
      <c r="AS416" s="88"/>
    </row>
    <row r="417" spans="1:46" s="19" customFormat="1" ht="14.45">
      <c r="A417" s="19" t="s">
        <v>124</v>
      </c>
      <c r="B417" s="19" t="s">
        <v>520</v>
      </c>
      <c r="C417" s="84" t="str">
        <f>IF(ISBLANK(B417),"",_xlfn.XLOOKUP(B417,Recruiter!A:A,Recruiter!B:B))</f>
        <v>Narthana</v>
      </c>
      <c r="D417" s="84" t="str">
        <f>IF(ISBLANK(A417),"",_xlfn.XLOOKUP(A417,'Requirement Overview'!C:C,'Requirement Overview'!E:E))</f>
        <v>Talme</v>
      </c>
      <c r="E417" s="84" t="str">
        <f>IF(ISBLANK(A417),"",_xlfn.XLOOKUP(A417,'Requirement Overview'!C:C,'Requirement Overview'!H:H))</f>
        <v>IT</v>
      </c>
      <c r="F417" s="19" t="str">
        <f>IF(ISBLANK(A417),"",_xlfn.XLOOKUP(A417,'Requirement Overview'!C:C,'Requirement Overview'!I:I))</f>
        <v>Full Stack Developer</v>
      </c>
      <c r="G417" s="58" t="str">
        <f>IF(ISBLANK(A417),"",_xlfn.XLOOKUP(A417,'Requirement Overview'!C:C,'Requirement Overview'!G:G))</f>
        <v>GNA</v>
      </c>
      <c r="H417" s="131" t="s">
        <v>1982</v>
      </c>
      <c r="I417" s="182" t="s">
        <v>1983</v>
      </c>
      <c r="J417" s="220" t="s">
        <v>1984</v>
      </c>
      <c r="K417" s="131">
        <v>8296795176</v>
      </c>
      <c r="L417" s="182" t="s">
        <v>311</v>
      </c>
      <c r="M417" s="131" t="s">
        <v>1985</v>
      </c>
      <c r="N417" s="30" t="s">
        <v>415</v>
      </c>
      <c r="O417" s="131" t="s">
        <v>726</v>
      </c>
      <c r="P417" s="131" t="s">
        <v>1042</v>
      </c>
      <c r="Q417" s="131" t="s">
        <v>1042</v>
      </c>
      <c r="R417" s="131" t="s">
        <v>368</v>
      </c>
      <c r="S417" s="19" t="s">
        <v>601</v>
      </c>
      <c r="T417" s="19" t="s">
        <v>103</v>
      </c>
      <c r="U417" s="31">
        <v>46053</v>
      </c>
      <c r="V417" s="31">
        <v>46053</v>
      </c>
      <c r="AT417" s="84"/>
    </row>
    <row r="418" spans="1:46" s="19" customFormat="1" ht="14.45">
      <c r="A418" s="19" t="s">
        <v>124</v>
      </c>
      <c r="B418" s="19" t="s">
        <v>520</v>
      </c>
      <c r="C418" s="84" t="str">
        <f>IF(ISBLANK(B418),"",_xlfn.XLOOKUP(B418,Recruiter!A:A,Recruiter!B:B))</f>
        <v>Narthana</v>
      </c>
      <c r="D418" s="84" t="str">
        <f>IF(ISBLANK(A418),"",_xlfn.XLOOKUP(A418,'Requirement Overview'!C:C,'Requirement Overview'!E:E))</f>
        <v>Talme</v>
      </c>
      <c r="E418" s="84" t="str">
        <f>IF(ISBLANK(A418),"",_xlfn.XLOOKUP(A418,'Requirement Overview'!C:C,'Requirement Overview'!H:H))</f>
        <v>IT</v>
      </c>
      <c r="F418" s="19" t="str">
        <f>IF(ISBLANK(A418),"",_xlfn.XLOOKUP(A418,'Requirement Overview'!C:C,'Requirement Overview'!I:I))</f>
        <v>Full Stack Developer</v>
      </c>
      <c r="G418" s="58" t="str">
        <f>IF(ISBLANK(A418),"",_xlfn.XLOOKUP(A418,'Requirement Overview'!C:C,'Requirement Overview'!G:G))</f>
        <v>GNA</v>
      </c>
      <c r="H418" s="131" t="s">
        <v>1986</v>
      </c>
      <c r="I418" s="182" t="s">
        <v>262</v>
      </c>
      <c r="J418" s="221" t="s">
        <v>1987</v>
      </c>
      <c r="K418" s="131">
        <v>8050776063</v>
      </c>
      <c r="L418" s="182" t="s">
        <v>305</v>
      </c>
      <c r="M418" s="131" t="s">
        <v>1230</v>
      </c>
      <c r="N418" s="131" t="s">
        <v>1988</v>
      </c>
      <c r="O418" s="131" t="s">
        <v>381</v>
      </c>
      <c r="P418" s="131" t="s">
        <v>1042</v>
      </c>
      <c r="Q418" s="131" t="s">
        <v>1042</v>
      </c>
      <c r="R418" s="131" t="s">
        <v>382</v>
      </c>
      <c r="S418" s="19" t="s">
        <v>601</v>
      </c>
      <c r="T418" s="19" t="s">
        <v>103</v>
      </c>
      <c r="U418" s="31">
        <v>46053</v>
      </c>
      <c r="V418" s="31">
        <v>46053</v>
      </c>
      <c r="AJ418" s="84"/>
      <c r="AK418" s="84"/>
      <c r="AL418" s="84"/>
      <c r="AM418" s="84"/>
      <c r="AN418" s="84"/>
      <c r="AO418" s="84"/>
      <c r="AP418" s="84"/>
      <c r="AQ418" s="84"/>
      <c r="AR418" s="84"/>
      <c r="AS418" s="84"/>
    </row>
    <row r="419" spans="1:46" s="19" customFormat="1" ht="14.45">
      <c r="A419" s="19" t="s">
        <v>124</v>
      </c>
      <c r="B419" s="19" t="s">
        <v>520</v>
      </c>
      <c r="C419" s="19" t="str">
        <f>IF(ISBLANK(B419),"",_xlfn.XLOOKUP(B419,Recruiter!A:A,Recruiter!B:B))</f>
        <v>Narthana</v>
      </c>
      <c r="D419" s="19" t="str">
        <f>IF(ISBLANK(A419),"",_xlfn.XLOOKUP(A419,'Requirement Overview'!C:C,'Requirement Overview'!E:E))</f>
        <v>Talme</v>
      </c>
      <c r="E419" s="19" t="str">
        <f>IF(ISBLANK(A419),"",_xlfn.XLOOKUP(A419,'Requirement Overview'!C:C,'Requirement Overview'!H:H))</f>
        <v>IT</v>
      </c>
      <c r="F419" s="19" t="str">
        <f>IF(ISBLANK(A419),"",_xlfn.XLOOKUP(A419,'Requirement Overview'!C:C,'Requirement Overview'!I:I))</f>
        <v>Full Stack Developer</v>
      </c>
      <c r="G419" s="58" t="str">
        <f>IF(ISBLANK(A419),"",_xlfn.XLOOKUP(A419,'Requirement Overview'!C:C,'Requirement Overview'!G:G))</f>
        <v>GNA</v>
      </c>
      <c r="H419" s="324" t="s">
        <v>1989</v>
      </c>
      <c r="I419" s="347" t="s">
        <v>1990</v>
      </c>
      <c r="J419" s="348" t="s">
        <v>1991</v>
      </c>
      <c r="K419" s="324">
        <v>8555879086</v>
      </c>
      <c r="L419" s="347" t="s">
        <v>305</v>
      </c>
      <c r="M419" s="324" t="s">
        <v>1733</v>
      </c>
      <c r="N419" s="30" t="s">
        <v>1992</v>
      </c>
      <c r="O419" s="324" t="s">
        <v>434</v>
      </c>
      <c r="P419" s="324" t="s">
        <v>1042</v>
      </c>
      <c r="Q419" s="324" t="s">
        <v>1042</v>
      </c>
      <c r="R419" s="324" t="s">
        <v>678</v>
      </c>
      <c r="S419" s="19" t="s">
        <v>1993</v>
      </c>
      <c r="T419" s="19" t="s">
        <v>103</v>
      </c>
      <c r="U419" s="31">
        <v>46055</v>
      </c>
      <c r="V419" s="31">
        <v>46055</v>
      </c>
      <c r="W419" s="19" t="s">
        <v>1994</v>
      </c>
      <c r="X419" s="29">
        <v>46059</v>
      </c>
      <c r="Y419" s="19" t="s">
        <v>784</v>
      </c>
      <c r="Z419" s="31">
        <v>46079</v>
      </c>
      <c r="AB419" s="31">
        <v>46079</v>
      </c>
    </row>
    <row r="420" spans="1:46" s="19" customFormat="1" ht="14.45">
      <c r="A420" s="19" t="s">
        <v>124</v>
      </c>
      <c r="B420" s="19" t="s">
        <v>520</v>
      </c>
      <c r="C420" s="19" t="str">
        <f>IF(ISBLANK(B420),"",_xlfn.XLOOKUP(B420,Recruiter!A:A,Recruiter!B:B))</f>
        <v>Narthana</v>
      </c>
      <c r="D420" s="19" t="str">
        <f>IF(ISBLANK(A420),"",_xlfn.XLOOKUP(A420,'Requirement Overview'!C:C,'Requirement Overview'!E:E))</f>
        <v>Talme</v>
      </c>
      <c r="E420" s="19" t="str">
        <f>IF(ISBLANK(A420),"",_xlfn.XLOOKUP(A420,'Requirement Overview'!C:C,'Requirement Overview'!H:H))</f>
        <v>IT</v>
      </c>
      <c r="F420" s="19" t="str">
        <f>IF(ISBLANK(A420),"",_xlfn.XLOOKUP(A420,'Requirement Overview'!C:C,'Requirement Overview'!I:I))</f>
        <v>Full Stack Developer</v>
      </c>
      <c r="G420" s="58" t="str">
        <f>IF(ISBLANK(A420),"",_xlfn.XLOOKUP(A420,'Requirement Overview'!C:C,'Requirement Overview'!G:G))</f>
        <v>GNA</v>
      </c>
      <c r="H420" s="324" t="s">
        <v>1995</v>
      </c>
      <c r="I420" s="347" t="s">
        <v>519</v>
      </c>
      <c r="J420" s="349" t="s">
        <v>1996</v>
      </c>
      <c r="K420" s="324">
        <v>8431760158</v>
      </c>
      <c r="L420" s="347" t="s">
        <v>311</v>
      </c>
      <c r="M420" s="324" t="s">
        <v>1997</v>
      </c>
      <c r="N420" s="324" t="s">
        <v>1998</v>
      </c>
      <c r="O420" s="324" t="s">
        <v>429</v>
      </c>
      <c r="P420" s="324" t="s">
        <v>1042</v>
      </c>
      <c r="Q420" s="324" t="s">
        <v>1042</v>
      </c>
      <c r="R420" s="324" t="s">
        <v>382</v>
      </c>
      <c r="S420" s="19" t="s">
        <v>270</v>
      </c>
      <c r="T420" s="19" t="s">
        <v>103</v>
      </c>
      <c r="U420" s="31">
        <v>46055</v>
      </c>
      <c r="V420" s="31">
        <v>46055</v>
      </c>
    </row>
    <row r="421" spans="1:46" s="19" customFormat="1" ht="14.45">
      <c r="A421" s="19" t="s">
        <v>124</v>
      </c>
      <c r="B421" s="19" t="s">
        <v>520</v>
      </c>
      <c r="C421" s="19" t="str">
        <f>IF(ISBLANK(B421),"",_xlfn.XLOOKUP(B421,Recruiter!A:A,Recruiter!B:B))</f>
        <v>Narthana</v>
      </c>
      <c r="D421" s="19" t="str">
        <f>IF(ISBLANK(A421),"",_xlfn.XLOOKUP(A421,'Requirement Overview'!C:C,'Requirement Overview'!E:E))</f>
        <v>Talme</v>
      </c>
      <c r="E421" s="19" t="str">
        <f>IF(ISBLANK(A421),"",_xlfn.XLOOKUP(A421,'Requirement Overview'!C:C,'Requirement Overview'!H:H))</f>
        <v>IT</v>
      </c>
      <c r="F421" s="19" t="str">
        <f>IF(ISBLANK(A421),"",_xlfn.XLOOKUP(A421,'Requirement Overview'!C:C,'Requirement Overview'!I:I))</f>
        <v>Full Stack Developer</v>
      </c>
      <c r="G421" s="59" t="str">
        <f>IF(ISBLANK(A421),"",_xlfn.XLOOKUP(A421,'Requirement Overview'!C:C,'Requirement Overview'!G:G))</f>
        <v>GNA</v>
      </c>
      <c r="H421" s="324" t="s">
        <v>1999</v>
      </c>
      <c r="I421" s="347" t="s">
        <v>2000</v>
      </c>
      <c r="J421" s="350" t="s">
        <v>2001</v>
      </c>
      <c r="K421" s="324">
        <v>8660621623</v>
      </c>
      <c r="L421" s="347" t="s">
        <v>305</v>
      </c>
      <c r="M421" s="324" t="s">
        <v>1284</v>
      </c>
      <c r="N421" s="324" t="s">
        <v>2002</v>
      </c>
      <c r="O421" s="324" t="s">
        <v>434</v>
      </c>
      <c r="P421" s="324" t="s">
        <v>1042</v>
      </c>
      <c r="Q421" s="324" t="s">
        <v>1042</v>
      </c>
      <c r="R421" s="324" t="s">
        <v>368</v>
      </c>
      <c r="S421" s="19" t="s">
        <v>612</v>
      </c>
      <c r="T421" s="19" t="s">
        <v>103</v>
      </c>
      <c r="U421" s="31">
        <v>46055</v>
      </c>
      <c r="V421" s="31">
        <v>46055</v>
      </c>
      <c r="X421" s="31"/>
    </row>
    <row r="422" spans="1:46" s="19" customFormat="1" ht="14.45">
      <c r="A422" s="19" t="s">
        <v>122</v>
      </c>
      <c r="B422" s="19" t="s">
        <v>520</v>
      </c>
      <c r="C422" s="19" t="str">
        <f>IF(ISBLANK(B422),"",_xlfn.XLOOKUP(B422,Recruiter!A:A,Recruiter!B:B))</f>
        <v>Narthana</v>
      </c>
      <c r="D422" s="19" t="str">
        <f>IF(ISBLANK(A422),"",_xlfn.XLOOKUP(A422,'Requirement Overview'!C:C,'Requirement Overview'!E:E))</f>
        <v>Talme</v>
      </c>
      <c r="E422" s="19" t="str">
        <f>IF(ISBLANK(A422),"",_xlfn.XLOOKUP(A422,'Requirement Overview'!C:C,'Requirement Overview'!H:H))</f>
        <v>IT</v>
      </c>
      <c r="F422" s="19" t="str">
        <f>IF(ISBLANK(A422),"",_xlfn.XLOOKUP(A422,'Requirement Overview'!C:C,'Requirement Overview'!I:I))</f>
        <v>QA Analyst</v>
      </c>
      <c r="G422" s="58" t="str">
        <f>IF(ISBLANK(A422),"",_xlfn.XLOOKUP(A422,'Requirement Overview'!C:C,'Requirement Overview'!G:G))</f>
        <v>GNA</v>
      </c>
      <c r="H422" s="30" t="s">
        <v>2003</v>
      </c>
      <c r="I422" s="159" t="s">
        <v>497</v>
      </c>
      <c r="J422" s="348" t="s">
        <v>2004</v>
      </c>
      <c r="K422" s="30">
        <v>9980098510</v>
      </c>
      <c r="L422" s="159" t="s">
        <v>311</v>
      </c>
      <c r="M422" s="30" t="s">
        <v>1985</v>
      </c>
      <c r="N422" s="30" t="s">
        <v>2005</v>
      </c>
      <c r="O422" s="30" t="s">
        <v>295</v>
      </c>
      <c r="P422" s="324" t="s">
        <v>1042</v>
      </c>
      <c r="Q422" s="324" t="s">
        <v>1042</v>
      </c>
      <c r="R422" s="30" t="s">
        <v>429</v>
      </c>
      <c r="S422" s="19" t="s">
        <v>1021</v>
      </c>
      <c r="T422" s="19" t="s">
        <v>103</v>
      </c>
      <c r="U422" s="31">
        <v>46055</v>
      </c>
      <c r="V422" s="31">
        <v>46055</v>
      </c>
      <c r="W422" s="19" t="s">
        <v>2006</v>
      </c>
      <c r="X422" s="29">
        <v>46060</v>
      </c>
      <c r="Y422" s="19" t="s">
        <v>784</v>
      </c>
      <c r="Z422" s="31">
        <v>46079</v>
      </c>
      <c r="AB422" s="31">
        <v>46078</v>
      </c>
    </row>
    <row r="423" spans="1:46" s="19" customFormat="1" ht="14.45">
      <c r="A423" s="19" t="s">
        <v>122</v>
      </c>
      <c r="B423" s="19" t="s">
        <v>520</v>
      </c>
      <c r="C423" s="19" t="str">
        <f>IF(ISBLANK(B423),"",_xlfn.XLOOKUP(B423,Recruiter!A:A,Recruiter!B:B))</f>
        <v>Narthana</v>
      </c>
      <c r="D423" s="19" t="str">
        <f>IF(ISBLANK(A423),"",_xlfn.XLOOKUP(A423,'Requirement Overview'!C:C,'Requirement Overview'!E:E))</f>
        <v>Talme</v>
      </c>
      <c r="E423" s="19" t="str">
        <f>IF(ISBLANK(A423),"",_xlfn.XLOOKUP(A423,'Requirement Overview'!C:C,'Requirement Overview'!H:H))</f>
        <v>IT</v>
      </c>
      <c r="F423" s="19" t="str">
        <f>IF(ISBLANK(A423),"",_xlfn.XLOOKUP(A423,'Requirement Overview'!C:C,'Requirement Overview'!I:I))</f>
        <v>QA Analyst</v>
      </c>
      <c r="G423" s="58" t="str">
        <f>IF(ISBLANK(A423),"",_xlfn.XLOOKUP(A423,'Requirement Overview'!C:C,'Requirement Overview'!G:G))</f>
        <v>GNA</v>
      </c>
      <c r="H423" s="30" t="s">
        <v>2007</v>
      </c>
      <c r="I423" s="159" t="s">
        <v>2008</v>
      </c>
      <c r="J423" s="348" t="s">
        <v>2009</v>
      </c>
      <c r="K423" s="351">
        <v>9110607170</v>
      </c>
      <c r="L423" s="159" t="s">
        <v>1679</v>
      </c>
      <c r="M423" s="30" t="s">
        <v>279</v>
      </c>
      <c r="N423" s="30" t="s">
        <v>653</v>
      </c>
      <c r="O423" s="30" t="s">
        <v>654</v>
      </c>
      <c r="P423" s="324" t="s">
        <v>1042</v>
      </c>
      <c r="Q423" s="324" t="s">
        <v>1042</v>
      </c>
      <c r="R423" s="30" t="s">
        <v>368</v>
      </c>
      <c r="S423" s="19" t="s">
        <v>270</v>
      </c>
      <c r="T423" s="19" t="s">
        <v>103</v>
      </c>
      <c r="U423" s="31">
        <v>46055</v>
      </c>
      <c r="V423" s="31">
        <v>46055</v>
      </c>
    </row>
    <row r="424" spans="1:46" s="19" customFormat="1" ht="14.45">
      <c r="A424" s="19" t="s">
        <v>110</v>
      </c>
      <c r="B424" s="19" t="s">
        <v>520</v>
      </c>
      <c r="C424" s="84" t="str">
        <f>IF(ISBLANK(B424),"",_xlfn.XLOOKUP(B424,Recruiter!A:A,Recruiter!B:B))</f>
        <v>Narthana</v>
      </c>
      <c r="D424" s="84" t="str">
        <f>IF(ISBLANK(A424),"",_xlfn.XLOOKUP(A424,'Requirement Overview'!C:C,'Requirement Overview'!E:E))</f>
        <v>Talme</v>
      </c>
      <c r="E424" s="84" t="str">
        <f>IF(ISBLANK(A424),"",_xlfn.XLOOKUP(A424,'Requirement Overview'!C:C,'Requirement Overview'!H:H))</f>
        <v>IT</v>
      </c>
      <c r="F424" s="19" t="str">
        <f>IF(ISBLANK(A424),"",_xlfn.XLOOKUP(A424,'Requirement Overview'!C:C,'Requirement Overview'!I:I))</f>
        <v>Technical Lead - Mobile Development</v>
      </c>
      <c r="G424" s="58" t="str">
        <f>IF(ISBLANK(A424),"",_xlfn.XLOOKUP(A424,'Requirement Overview'!C:C,'Requirement Overview'!G:G))</f>
        <v>Semnox Solutions</v>
      </c>
      <c r="H424" s="19" t="s">
        <v>2010</v>
      </c>
      <c r="I424" s="109" t="s">
        <v>2011</v>
      </c>
      <c r="J424" s="222" t="s">
        <v>2012</v>
      </c>
      <c r="K424" s="19">
        <v>6364254961</v>
      </c>
      <c r="L424" s="109" t="s">
        <v>305</v>
      </c>
      <c r="M424" s="19" t="s">
        <v>487</v>
      </c>
      <c r="N424" s="19" t="s">
        <v>2013</v>
      </c>
      <c r="O424" s="19" t="s">
        <v>540</v>
      </c>
      <c r="P424" s="19" t="s">
        <v>1042</v>
      </c>
      <c r="Q424" s="19" t="s">
        <v>1042</v>
      </c>
      <c r="R424" s="19" t="s">
        <v>541</v>
      </c>
      <c r="S424" s="19" t="s">
        <v>601</v>
      </c>
      <c r="T424" s="19" t="s">
        <v>103</v>
      </c>
      <c r="U424" s="31">
        <v>46056</v>
      </c>
      <c r="V424" s="31">
        <v>46056</v>
      </c>
      <c r="AT424" s="84"/>
    </row>
    <row r="425" spans="1:46" s="19" customFormat="1" ht="14.45">
      <c r="A425" s="19" t="s">
        <v>124</v>
      </c>
      <c r="B425" s="19" t="s">
        <v>520</v>
      </c>
      <c r="C425" s="19" t="str">
        <f>IF(ISBLANK(B425),"",_xlfn.XLOOKUP(B425,Recruiter!A:A,Recruiter!B:B))</f>
        <v>Narthana</v>
      </c>
      <c r="D425" s="19" t="str">
        <f>IF(ISBLANK(A425),"",_xlfn.XLOOKUP(A425,'Requirement Overview'!C:C,'Requirement Overview'!E:E))</f>
        <v>Talme</v>
      </c>
      <c r="E425" s="19" t="str">
        <f>IF(ISBLANK(A425),"",_xlfn.XLOOKUP(A425,'Requirement Overview'!C:C,'Requirement Overview'!H:H))</f>
        <v>IT</v>
      </c>
      <c r="F425" s="19" t="str">
        <f>IF(ISBLANK(A425),"",_xlfn.XLOOKUP(A425,'Requirement Overview'!C:C,'Requirement Overview'!I:I))</f>
        <v>Full Stack Developer</v>
      </c>
      <c r="G425" s="58" t="str">
        <f>IF(ISBLANK(A425),"",_xlfn.XLOOKUP(A425,'Requirement Overview'!C:C,'Requirement Overview'!G:G))</f>
        <v>GNA</v>
      </c>
      <c r="H425" s="92" t="s">
        <v>2014</v>
      </c>
      <c r="I425" s="177" t="s">
        <v>2015</v>
      </c>
      <c r="J425" s="348" t="s">
        <v>2016</v>
      </c>
      <c r="K425" s="92">
        <v>9663523350</v>
      </c>
      <c r="L425" s="177" t="s">
        <v>311</v>
      </c>
      <c r="M425" s="92" t="s">
        <v>1490</v>
      </c>
      <c r="N425" s="92" t="s">
        <v>2017</v>
      </c>
      <c r="O425" s="92" t="s">
        <v>367</v>
      </c>
      <c r="P425" s="19" t="s">
        <v>1042</v>
      </c>
      <c r="Q425" s="19" t="s">
        <v>1042</v>
      </c>
      <c r="R425" s="92" t="s">
        <v>2018</v>
      </c>
      <c r="S425" s="19" t="s">
        <v>270</v>
      </c>
      <c r="T425" s="19" t="s">
        <v>271</v>
      </c>
      <c r="U425" s="31">
        <v>46056</v>
      </c>
      <c r="V425" s="31">
        <v>46056</v>
      </c>
    </row>
    <row r="426" spans="1:46" s="19" customFormat="1" ht="14.45">
      <c r="A426" s="19" t="s">
        <v>124</v>
      </c>
      <c r="B426" s="19" t="s">
        <v>520</v>
      </c>
      <c r="C426" s="19" t="str">
        <f>IF(ISBLANK(B426),"",_xlfn.XLOOKUP(B426,Recruiter!A:A,Recruiter!B:B))</f>
        <v>Narthana</v>
      </c>
      <c r="D426" s="19" t="str">
        <f>IF(ISBLANK(A426),"",_xlfn.XLOOKUP(A426,'Requirement Overview'!C:C,'Requirement Overview'!E:E))</f>
        <v>Talme</v>
      </c>
      <c r="E426" s="19" t="str">
        <f>IF(ISBLANK(A426),"",_xlfn.XLOOKUP(A426,'Requirement Overview'!C:C,'Requirement Overview'!H:H))</f>
        <v>IT</v>
      </c>
      <c r="F426" s="19" t="str">
        <f>IF(ISBLANK(A426),"",_xlfn.XLOOKUP(A426,'Requirement Overview'!C:C,'Requirement Overview'!I:I))</f>
        <v>Full Stack Developer</v>
      </c>
      <c r="G426" s="58" t="str">
        <f>IF(ISBLANK(A426),"",_xlfn.XLOOKUP(A426,'Requirement Overview'!C:C,'Requirement Overview'!G:G))</f>
        <v>GNA</v>
      </c>
      <c r="H426" s="92" t="s">
        <v>2019</v>
      </c>
      <c r="I426" s="177" t="s">
        <v>1874</v>
      </c>
      <c r="J426" s="348" t="s">
        <v>2020</v>
      </c>
      <c r="K426" s="132">
        <v>9170385991</v>
      </c>
      <c r="L426" s="177" t="s">
        <v>1679</v>
      </c>
      <c r="M426" s="92" t="s">
        <v>2021</v>
      </c>
      <c r="N426" s="92" t="s">
        <v>2022</v>
      </c>
      <c r="O426" s="92" t="s">
        <v>429</v>
      </c>
      <c r="P426" s="19" t="s">
        <v>1042</v>
      </c>
      <c r="Q426" s="19" t="s">
        <v>1042</v>
      </c>
      <c r="R426" s="92" t="s">
        <v>2018</v>
      </c>
      <c r="S426" s="19" t="s">
        <v>270</v>
      </c>
      <c r="T426" s="19" t="s">
        <v>103</v>
      </c>
      <c r="U426" s="31">
        <v>46056</v>
      </c>
      <c r="V426" s="31">
        <v>46056</v>
      </c>
    </row>
    <row r="427" spans="1:46" s="19" customFormat="1" ht="14.45">
      <c r="A427" s="19" t="s">
        <v>124</v>
      </c>
      <c r="B427" s="19" t="s">
        <v>520</v>
      </c>
      <c r="C427" s="19" t="str">
        <f>IF(ISBLANK(B427),"",_xlfn.XLOOKUP(B427,Recruiter!A:A,Recruiter!B:B))</f>
        <v>Narthana</v>
      </c>
      <c r="D427" s="19" t="str">
        <f>IF(ISBLANK(A427),"",_xlfn.XLOOKUP(A427,'Requirement Overview'!C:C,'Requirement Overview'!E:E))</f>
        <v>Talme</v>
      </c>
      <c r="E427" s="19" t="str">
        <f>IF(ISBLANK(A427),"",_xlfn.XLOOKUP(A427,'Requirement Overview'!C:C,'Requirement Overview'!H:H))</f>
        <v>IT</v>
      </c>
      <c r="F427" s="19" t="str">
        <f>IF(ISBLANK(A427),"",_xlfn.XLOOKUP(A427,'Requirement Overview'!C:C,'Requirement Overview'!I:I))</f>
        <v>Full Stack Developer</v>
      </c>
      <c r="G427" s="58" t="str">
        <f>IF(ISBLANK(A427),"",_xlfn.XLOOKUP(A427,'Requirement Overview'!C:C,'Requirement Overview'!G:G))</f>
        <v>GNA</v>
      </c>
      <c r="H427" s="92" t="s">
        <v>2023</v>
      </c>
      <c r="I427" s="177" t="s">
        <v>1593</v>
      </c>
      <c r="J427" s="348" t="s">
        <v>2024</v>
      </c>
      <c r="K427" s="92">
        <v>9207175992</v>
      </c>
      <c r="L427" s="177" t="s">
        <v>305</v>
      </c>
      <c r="M427" s="92" t="s">
        <v>1708</v>
      </c>
      <c r="N427" s="92" t="s">
        <v>2025</v>
      </c>
      <c r="O427" s="92" t="s">
        <v>654</v>
      </c>
      <c r="P427" s="19" t="s">
        <v>1042</v>
      </c>
      <c r="Q427" s="19" t="s">
        <v>1042</v>
      </c>
      <c r="R427" s="92" t="s">
        <v>368</v>
      </c>
      <c r="S427" s="19" t="s">
        <v>270</v>
      </c>
      <c r="T427" s="19" t="s">
        <v>103</v>
      </c>
      <c r="U427" s="31">
        <v>46056</v>
      </c>
      <c r="V427" s="31">
        <v>46056</v>
      </c>
    </row>
    <row r="428" spans="1:46" s="19" customFormat="1" ht="14.45">
      <c r="A428" s="19" t="s">
        <v>122</v>
      </c>
      <c r="B428" s="19" t="s">
        <v>520</v>
      </c>
      <c r="C428" s="19" t="str">
        <f>IF(ISBLANK(B428),"",_xlfn.XLOOKUP(B428,Recruiter!A:A,Recruiter!B:B))</f>
        <v>Narthana</v>
      </c>
      <c r="D428" s="19" t="str">
        <f>IF(ISBLANK(A428),"",_xlfn.XLOOKUP(A428,'Requirement Overview'!C:C,'Requirement Overview'!E:E))</f>
        <v>Talme</v>
      </c>
      <c r="E428" s="19" t="str">
        <f>IF(ISBLANK(A428),"",_xlfn.XLOOKUP(A428,'Requirement Overview'!C:C,'Requirement Overview'!H:H))</f>
        <v>IT</v>
      </c>
      <c r="F428" s="19" t="str">
        <f>IF(ISBLANK(A428),"",_xlfn.XLOOKUP(A428,'Requirement Overview'!C:C,'Requirement Overview'!I:I))</f>
        <v>QA Analyst</v>
      </c>
      <c r="G428" s="58" t="str">
        <f>IF(ISBLANK(A428),"",_xlfn.XLOOKUP(A428,'Requirement Overview'!C:C,'Requirement Overview'!G:G))</f>
        <v>GNA</v>
      </c>
      <c r="H428" s="92" t="s">
        <v>2026</v>
      </c>
      <c r="I428" s="177" t="s">
        <v>786</v>
      </c>
      <c r="J428" s="272" t="s">
        <v>2027</v>
      </c>
      <c r="K428" s="92">
        <v>8008238573</v>
      </c>
      <c r="L428" s="177" t="s">
        <v>305</v>
      </c>
      <c r="M428" s="92" t="s">
        <v>1230</v>
      </c>
      <c r="N428" s="92" t="s">
        <v>400</v>
      </c>
      <c r="O428" s="92" t="s">
        <v>726</v>
      </c>
      <c r="P428" s="19" t="s">
        <v>1042</v>
      </c>
      <c r="Q428" s="19" t="s">
        <v>1042</v>
      </c>
      <c r="R428" s="92" t="s">
        <v>382</v>
      </c>
      <c r="S428" s="19" t="s">
        <v>1993</v>
      </c>
      <c r="T428" s="19" t="s">
        <v>103</v>
      </c>
      <c r="U428" s="31">
        <v>46056</v>
      </c>
      <c r="V428" s="31">
        <v>46056</v>
      </c>
      <c r="W428" s="19" t="s">
        <v>2028</v>
      </c>
      <c r="X428" s="29">
        <v>46058</v>
      </c>
      <c r="Y428" s="19" t="s">
        <v>784</v>
      </c>
      <c r="Z428" s="31">
        <v>46080</v>
      </c>
      <c r="AB428" s="31">
        <v>46078</v>
      </c>
    </row>
    <row r="429" spans="1:46" s="19" customFormat="1" ht="14.45">
      <c r="A429" s="19" t="s">
        <v>122</v>
      </c>
      <c r="B429" s="19" t="s">
        <v>520</v>
      </c>
      <c r="C429" s="84" t="str">
        <f>IF(ISBLANK(B429),"",_xlfn.XLOOKUP(B429,Recruiter!A:A,Recruiter!B:B))</f>
        <v>Narthana</v>
      </c>
      <c r="D429" s="84" t="str">
        <f>IF(ISBLANK(A429),"",_xlfn.XLOOKUP(A429,'Requirement Overview'!C:C,'Requirement Overview'!E:E))</f>
        <v>Talme</v>
      </c>
      <c r="E429" s="84" t="str">
        <f>IF(ISBLANK(A429),"",_xlfn.XLOOKUP(A429,'Requirement Overview'!C:C,'Requirement Overview'!H:H))</f>
        <v>IT</v>
      </c>
      <c r="F429" s="19" t="str">
        <f>IF(ISBLANK(A429),"",_xlfn.XLOOKUP(A429,'Requirement Overview'!C:C,'Requirement Overview'!I:I))</f>
        <v>QA Analyst</v>
      </c>
      <c r="G429" s="58" t="str">
        <f>IF(ISBLANK(A429),"",_xlfn.XLOOKUP(A429,'Requirement Overview'!C:C,'Requirement Overview'!G:G))</f>
        <v>GNA</v>
      </c>
      <c r="H429" s="92" t="s">
        <v>2029</v>
      </c>
      <c r="I429" s="177" t="s">
        <v>2030</v>
      </c>
      <c r="J429" s="220" t="s">
        <v>2031</v>
      </c>
      <c r="K429" s="132">
        <v>9114343404</v>
      </c>
      <c r="L429" s="177" t="s">
        <v>311</v>
      </c>
      <c r="M429" s="92" t="s">
        <v>1230</v>
      </c>
      <c r="N429" s="92" t="s">
        <v>2032</v>
      </c>
      <c r="O429" s="92" t="s">
        <v>367</v>
      </c>
      <c r="P429" s="19" t="s">
        <v>1042</v>
      </c>
      <c r="Q429" s="19" t="s">
        <v>1042</v>
      </c>
      <c r="R429" s="92" t="s">
        <v>407</v>
      </c>
      <c r="S429" s="19" t="s">
        <v>270</v>
      </c>
      <c r="T429" s="19" t="s">
        <v>103</v>
      </c>
      <c r="U429" s="31">
        <v>46056</v>
      </c>
      <c r="V429" s="31">
        <v>46056</v>
      </c>
      <c r="AJ429" s="84"/>
      <c r="AK429" s="84"/>
      <c r="AL429" s="84"/>
      <c r="AM429" s="84"/>
      <c r="AN429" s="84"/>
      <c r="AO429" s="84"/>
      <c r="AT429" s="84"/>
    </row>
    <row r="430" spans="1:46" s="47" customFormat="1" ht="14.45">
      <c r="A430" s="47" t="s">
        <v>122</v>
      </c>
      <c r="B430" s="47" t="s">
        <v>236</v>
      </c>
      <c r="C430" s="90" t="str">
        <f>IF(ISBLANK(B430),"",_xlfn.XLOOKUP(B430,Recruiter!A:A,Recruiter!B:B))</f>
        <v>Pooja</v>
      </c>
      <c r="D430" s="90" t="str">
        <f>IF(ISBLANK(A430),"",_xlfn.XLOOKUP(A430,'Requirement Overview'!C:C,'Requirement Overview'!E:E))</f>
        <v>Talme</v>
      </c>
      <c r="E430" s="90" t="str">
        <f>IF(ISBLANK(A430),"",_xlfn.XLOOKUP(A430,'Requirement Overview'!C:C,'Requirement Overview'!H:H))</f>
        <v>IT</v>
      </c>
      <c r="F430" s="47" t="str">
        <f>IF(ISBLANK(A430),"",_xlfn.XLOOKUP(A430,'Requirement Overview'!C:C,'Requirement Overview'!I:I))</f>
        <v>QA Analyst</v>
      </c>
      <c r="G430" s="58" t="str">
        <f>IF(ISBLANK(A430),"",_xlfn.XLOOKUP(A430,'Requirement Overview'!C:C,'Requirement Overview'!G:G))</f>
        <v>GNA</v>
      </c>
      <c r="H430" s="190" t="s">
        <v>2033</v>
      </c>
      <c r="I430" s="61" t="s">
        <v>519</v>
      </c>
      <c r="J430" s="210" t="s">
        <v>2034</v>
      </c>
      <c r="K430" s="24">
        <v>9500561836</v>
      </c>
      <c r="L430" s="61" t="s">
        <v>311</v>
      </c>
      <c r="M430" s="3" t="s">
        <v>923</v>
      </c>
      <c r="N430" s="3" t="s">
        <v>2035</v>
      </c>
      <c r="O430" s="3" t="s">
        <v>367</v>
      </c>
      <c r="P430" s="3" t="s">
        <v>268</v>
      </c>
      <c r="Q430" s="3" t="s">
        <v>268</v>
      </c>
      <c r="R430" s="3" t="s">
        <v>2036</v>
      </c>
      <c r="S430" s="47" t="s">
        <v>470</v>
      </c>
      <c r="T430" s="47" t="s">
        <v>103</v>
      </c>
      <c r="U430" s="118">
        <v>46056</v>
      </c>
      <c r="V430" s="118">
        <v>46056</v>
      </c>
      <c r="AJ430" s="90"/>
      <c r="AK430" s="90"/>
      <c r="AL430" s="129"/>
      <c r="AM430" s="129"/>
      <c r="AN430" s="90"/>
      <c r="AO430" s="90"/>
      <c r="AP430" s="90"/>
      <c r="AQ430" s="90"/>
      <c r="AR430" s="90"/>
      <c r="AS430" s="129"/>
    </row>
    <row r="431" spans="1:46" ht="14.45">
      <c r="A431" s="24" t="s">
        <v>122</v>
      </c>
      <c r="B431" s="24" t="s">
        <v>236</v>
      </c>
      <c r="C431" s="83" t="str">
        <f>IF(ISBLANK(B431),"",_xlfn.XLOOKUP(B431,Recruiter!A:A,Recruiter!B:B))</f>
        <v>Pooja</v>
      </c>
      <c r="D431" s="83" t="str">
        <f>IF(ISBLANK(A431),"",_xlfn.XLOOKUP(A431,'Requirement Overview'!C:C,'Requirement Overview'!E:E))</f>
        <v>Talme</v>
      </c>
      <c r="E431" s="83" t="str">
        <f>IF(ISBLANK(A431),"",_xlfn.XLOOKUP(A431,'Requirement Overview'!C:C,'Requirement Overview'!H:H))</f>
        <v>IT</v>
      </c>
      <c r="F431" s="24" t="str">
        <f>IF(ISBLANK(A431),"",_xlfn.XLOOKUP(A431,'Requirement Overview'!C:C,'Requirement Overview'!I:I))</f>
        <v>QA Analyst</v>
      </c>
      <c r="G431" s="59" t="str">
        <f>IF(ISBLANK(A431),"",_xlfn.XLOOKUP(A431,'Requirement Overview'!C:C,'Requirement Overview'!G:G))</f>
        <v>GNA</v>
      </c>
      <c r="H431" s="190" t="s">
        <v>2037</v>
      </c>
      <c r="I431" s="61" t="s">
        <v>1908</v>
      </c>
      <c r="J431" s="210" t="s">
        <v>2038</v>
      </c>
      <c r="K431" s="24">
        <v>8660424858</v>
      </c>
      <c r="L431" s="61" t="s">
        <v>311</v>
      </c>
      <c r="M431" s="3" t="s">
        <v>2039</v>
      </c>
      <c r="N431" s="3" t="s">
        <v>2040</v>
      </c>
      <c r="O431" s="3" t="s">
        <v>434</v>
      </c>
      <c r="P431" s="3" t="s">
        <v>268</v>
      </c>
      <c r="Q431" s="3" t="s">
        <v>268</v>
      </c>
      <c r="R431" s="3" t="s">
        <v>368</v>
      </c>
      <c r="S431" s="24" t="s">
        <v>470</v>
      </c>
      <c r="T431" s="24" t="s">
        <v>103</v>
      </c>
      <c r="U431" s="29">
        <v>46056</v>
      </c>
      <c r="V431" s="29">
        <v>46056</v>
      </c>
      <c r="AT431" s="83"/>
    </row>
    <row r="432" spans="1:46" ht="14.45">
      <c r="A432" s="24" t="s">
        <v>122</v>
      </c>
      <c r="B432" s="24" t="s">
        <v>236</v>
      </c>
      <c r="C432" s="83" t="str">
        <f>IF(ISBLANK(B432),"",_xlfn.XLOOKUP(B432,Recruiter!A:A,Recruiter!B:B))</f>
        <v>Pooja</v>
      </c>
      <c r="D432" s="83" t="str">
        <f>IF(ISBLANK(A432),"",_xlfn.XLOOKUP(A432,'Requirement Overview'!C:C,'Requirement Overview'!E:E))</f>
        <v>Talme</v>
      </c>
      <c r="E432" s="83" t="str">
        <f>IF(ISBLANK(A432),"",_xlfn.XLOOKUP(A432,'Requirement Overview'!C:C,'Requirement Overview'!H:H))</f>
        <v>IT</v>
      </c>
      <c r="F432" s="24" t="str">
        <f>IF(ISBLANK(A432),"",_xlfn.XLOOKUP(A432,'Requirement Overview'!C:C,'Requirement Overview'!I:I))</f>
        <v>QA Analyst</v>
      </c>
      <c r="G432" s="58" t="str">
        <f>IF(ISBLANK(A432),"",_xlfn.XLOOKUP(A432,'Requirement Overview'!C:C,'Requirement Overview'!G:G))</f>
        <v>GNA</v>
      </c>
      <c r="H432" s="190" t="s">
        <v>2041</v>
      </c>
      <c r="I432" s="61" t="s">
        <v>1895</v>
      </c>
      <c r="J432" s="210" t="s">
        <v>2042</v>
      </c>
      <c r="K432" s="24">
        <v>9848751130</v>
      </c>
      <c r="L432" s="61" t="s">
        <v>305</v>
      </c>
      <c r="M432" s="3" t="s">
        <v>2043</v>
      </c>
      <c r="N432" s="3" t="s">
        <v>2044</v>
      </c>
      <c r="O432" s="3" t="s">
        <v>407</v>
      </c>
      <c r="P432" s="3" t="s">
        <v>268</v>
      </c>
      <c r="Q432" s="3" t="s">
        <v>268</v>
      </c>
      <c r="R432" s="3" t="s">
        <v>1919</v>
      </c>
      <c r="S432" s="24" t="s">
        <v>470</v>
      </c>
      <c r="T432" s="24" t="s">
        <v>103</v>
      </c>
      <c r="U432" s="29">
        <v>46056</v>
      </c>
      <c r="V432" s="29">
        <v>46056</v>
      </c>
      <c r="AJ432" s="83"/>
      <c r="AK432" s="83"/>
      <c r="AL432" s="84"/>
      <c r="AM432" s="84"/>
      <c r="AN432" s="83"/>
      <c r="AO432" s="83"/>
      <c r="AP432" s="83"/>
      <c r="AQ432" s="83"/>
      <c r="AR432" s="83"/>
      <c r="AS432" s="84"/>
    </row>
    <row r="433" spans="1:46" ht="14.45">
      <c r="A433" s="24" t="s">
        <v>122</v>
      </c>
      <c r="B433" s="24" t="s">
        <v>236</v>
      </c>
      <c r="C433" s="83" t="str">
        <f>IF(ISBLANK(B433),"",_xlfn.XLOOKUP(B433,Recruiter!A:A,Recruiter!B:B))</f>
        <v>Pooja</v>
      </c>
      <c r="D433" s="83" t="str">
        <f>IF(ISBLANK(A433),"",_xlfn.XLOOKUP(A433,'Requirement Overview'!C:C,'Requirement Overview'!E:E))</f>
        <v>Talme</v>
      </c>
      <c r="E433" s="83" t="str">
        <f>IF(ISBLANK(A433),"",_xlfn.XLOOKUP(A433,'Requirement Overview'!C:C,'Requirement Overview'!H:H))</f>
        <v>IT</v>
      </c>
      <c r="F433" s="24" t="str">
        <f>IF(ISBLANK(A433),"",_xlfn.XLOOKUP(A433,'Requirement Overview'!C:C,'Requirement Overview'!I:I))</f>
        <v>QA Analyst</v>
      </c>
      <c r="G433" s="58" t="str">
        <f>IF(ISBLANK(A433),"",_xlfn.XLOOKUP(A433,'Requirement Overview'!C:C,'Requirement Overview'!G:G))</f>
        <v>GNA</v>
      </c>
      <c r="H433" s="190" t="s">
        <v>2045</v>
      </c>
      <c r="I433" s="61" t="s">
        <v>2046</v>
      </c>
      <c r="J433" s="210" t="s">
        <v>2047</v>
      </c>
      <c r="K433" s="24">
        <v>9325924004</v>
      </c>
      <c r="L433" s="61" t="s">
        <v>421</v>
      </c>
      <c r="M433" s="3" t="s">
        <v>2048</v>
      </c>
      <c r="N433" s="3" t="s">
        <v>831</v>
      </c>
      <c r="O433" s="3" t="s">
        <v>1591</v>
      </c>
      <c r="P433" s="3" t="s">
        <v>268</v>
      </c>
      <c r="Q433" s="3" t="s">
        <v>268</v>
      </c>
      <c r="R433" s="3" t="s">
        <v>244</v>
      </c>
      <c r="S433" s="24" t="s">
        <v>470</v>
      </c>
      <c r="T433" s="24" t="s">
        <v>103</v>
      </c>
      <c r="U433" s="29">
        <v>46056</v>
      </c>
      <c r="V433" s="29">
        <v>46056</v>
      </c>
      <c r="AP433" s="83"/>
      <c r="AQ433" s="83"/>
      <c r="AR433" s="83"/>
      <c r="AS433" s="84"/>
      <c r="AT433" s="83"/>
    </row>
    <row r="434" spans="1:46" ht="14.45">
      <c r="A434" s="24" t="s">
        <v>110</v>
      </c>
      <c r="B434" s="24" t="s">
        <v>236</v>
      </c>
      <c r="C434" s="83" t="str">
        <f>IF(ISBLANK(B434),"",_xlfn.XLOOKUP(B434,Recruiter!A:A,Recruiter!B:B))</f>
        <v>Pooja</v>
      </c>
      <c r="D434" s="83" t="str">
        <f>IF(ISBLANK(A434),"",_xlfn.XLOOKUP(A434,'Requirement Overview'!C:C,'Requirement Overview'!E:E))</f>
        <v>Talme</v>
      </c>
      <c r="E434" s="83" t="str">
        <f>IF(ISBLANK(A434),"",_xlfn.XLOOKUP(A434,'Requirement Overview'!C:C,'Requirement Overview'!H:H))</f>
        <v>IT</v>
      </c>
      <c r="F434" s="24" t="str">
        <f>IF(ISBLANK(A434),"",_xlfn.XLOOKUP(A434,'Requirement Overview'!C:C,'Requirement Overview'!I:I))</f>
        <v>Technical Lead - Mobile Development</v>
      </c>
      <c r="G434" s="59" t="str">
        <f>IF(ISBLANK(A434),"",_xlfn.XLOOKUP(A434,'Requirement Overview'!C:C,'Requirement Overview'!G:G))</f>
        <v>Semnox Solutions</v>
      </c>
      <c r="H434" s="190" t="s">
        <v>2049</v>
      </c>
      <c r="I434" s="61" t="s">
        <v>519</v>
      </c>
      <c r="J434" s="210" t="s">
        <v>2050</v>
      </c>
      <c r="K434" s="24">
        <v>9900756647</v>
      </c>
      <c r="L434" s="61" t="s">
        <v>2051</v>
      </c>
      <c r="M434" s="3" t="s">
        <v>2052</v>
      </c>
      <c r="N434" s="3" t="s">
        <v>2053</v>
      </c>
      <c r="O434" s="3" t="s">
        <v>554</v>
      </c>
      <c r="P434" s="3" t="s">
        <v>268</v>
      </c>
      <c r="Q434" s="3" t="s">
        <v>1347</v>
      </c>
      <c r="R434" s="3" t="s">
        <v>517</v>
      </c>
      <c r="S434" s="24" t="s">
        <v>470</v>
      </c>
      <c r="T434" s="24" t="s">
        <v>103</v>
      </c>
      <c r="U434" s="29">
        <v>46056</v>
      </c>
      <c r="V434" s="29">
        <v>46056</v>
      </c>
      <c r="AJ434" s="83"/>
      <c r="AK434" s="83"/>
      <c r="AL434" s="84"/>
      <c r="AM434" s="84"/>
      <c r="AN434" s="83"/>
      <c r="AO434" s="83"/>
      <c r="AT434" s="83"/>
    </row>
    <row r="435" spans="1:46" ht="14.45">
      <c r="A435" s="24" t="s">
        <v>110</v>
      </c>
      <c r="B435" s="24" t="s">
        <v>236</v>
      </c>
      <c r="C435" s="83" t="str">
        <f>IF(ISBLANK(B435),"",_xlfn.XLOOKUP(B435,Recruiter!A:A,Recruiter!B:B))</f>
        <v>Pooja</v>
      </c>
      <c r="D435" s="83" t="str">
        <f>IF(ISBLANK(A435),"",_xlfn.XLOOKUP(A435,'Requirement Overview'!C:C,'Requirement Overview'!E:E))</f>
        <v>Talme</v>
      </c>
      <c r="E435" s="83" t="str">
        <f>IF(ISBLANK(A435),"",_xlfn.XLOOKUP(A435,'Requirement Overview'!C:C,'Requirement Overview'!H:H))</f>
        <v>IT</v>
      </c>
      <c r="F435" s="24" t="str">
        <f>IF(ISBLANK(A435),"",_xlfn.XLOOKUP(A435,'Requirement Overview'!C:C,'Requirement Overview'!I:I))</f>
        <v>Technical Lead - Mobile Development</v>
      </c>
      <c r="G435" s="58" t="str">
        <f>IF(ISBLANK(A435),"",_xlfn.XLOOKUP(A435,'Requirement Overview'!C:C,'Requirement Overview'!G:G))</f>
        <v>Semnox Solutions</v>
      </c>
      <c r="H435" s="190" t="s">
        <v>2054</v>
      </c>
      <c r="I435" s="61" t="s">
        <v>519</v>
      </c>
      <c r="J435" s="210" t="s">
        <v>2055</v>
      </c>
      <c r="K435" s="24">
        <v>8667644520</v>
      </c>
      <c r="L435" s="61" t="s">
        <v>311</v>
      </c>
      <c r="M435" s="3" t="s">
        <v>598</v>
      </c>
      <c r="N435" s="3" t="s">
        <v>2056</v>
      </c>
      <c r="O435" s="3" t="s">
        <v>715</v>
      </c>
      <c r="P435" s="3" t="s">
        <v>268</v>
      </c>
      <c r="Q435" s="3" t="s">
        <v>1471</v>
      </c>
      <c r="R435" s="3" t="s">
        <v>244</v>
      </c>
      <c r="S435" s="24" t="s">
        <v>470</v>
      </c>
      <c r="T435" s="24" t="s">
        <v>103</v>
      </c>
      <c r="U435" s="29">
        <v>46056</v>
      </c>
      <c r="V435" s="29">
        <v>46056</v>
      </c>
      <c r="AP435" s="83"/>
      <c r="AQ435" s="83"/>
      <c r="AR435" s="83"/>
      <c r="AS435" s="84"/>
    </row>
    <row r="436" spans="1:46" ht="14.45">
      <c r="A436" s="24" t="s">
        <v>110</v>
      </c>
      <c r="B436" s="24" t="s">
        <v>236</v>
      </c>
      <c r="C436" s="83" t="str">
        <f>IF(ISBLANK(B436),"",_xlfn.XLOOKUP(B436,Recruiter!A:A,Recruiter!B:B))</f>
        <v>Pooja</v>
      </c>
      <c r="D436" s="83" t="str">
        <f>IF(ISBLANK(A436),"",_xlfn.XLOOKUP(A436,'Requirement Overview'!C:C,'Requirement Overview'!E:E))</f>
        <v>Talme</v>
      </c>
      <c r="E436" s="83" t="str">
        <f>IF(ISBLANK(A436),"",_xlfn.XLOOKUP(A436,'Requirement Overview'!C:C,'Requirement Overview'!H:H))</f>
        <v>IT</v>
      </c>
      <c r="F436" s="24" t="str">
        <f>IF(ISBLANK(A436),"",_xlfn.XLOOKUP(A436,'Requirement Overview'!C:C,'Requirement Overview'!I:I))</f>
        <v>Technical Lead - Mobile Development</v>
      </c>
      <c r="G436" s="58" t="str">
        <f>IF(ISBLANK(A436),"",_xlfn.XLOOKUP(A436,'Requirement Overview'!C:C,'Requirement Overview'!G:G))</f>
        <v>Semnox Solutions</v>
      </c>
      <c r="H436" s="190" t="s">
        <v>2057</v>
      </c>
      <c r="I436" s="61" t="s">
        <v>2058</v>
      </c>
      <c r="J436" s="203" t="s">
        <v>2059</v>
      </c>
      <c r="K436" s="24">
        <v>7092911752</v>
      </c>
      <c r="L436" s="61" t="s">
        <v>311</v>
      </c>
      <c r="M436" s="3" t="s">
        <v>696</v>
      </c>
      <c r="N436" s="133" t="s">
        <v>2060</v>
      </c>
      <c r="O436" s="3" t="s">
        <v>386</v>
      </c>
      <c r="P436" s="3" t="s">
        <v>268</v>
      </c>
      <c r="Q436" s="3" t="s">
        <v>1471</v>
      </c>
      <c r="R436" s="3" t="s">
        <v>715</v>
      </c>
      <c r="S436" s="24" t="s">
        <v>470</v>
      </c>
      <c r="T436" s="24" t="s">
        <v>103</v>
      </c>
      <c r="U436" s="29">
        <v>46056</v>
      </c>
      <c r="V436" s="29">
        <v>46056</v>
      </c>
      <c r="AJ436" s="83"/>
      <c r="AK436" s="83"/>
      <c r="AL436" s="84"/>
      <c r="AM436" s="84"/>
      <c r="AN436" s="83"/>
      <c r="AO436" s="83"/>
      <c r="AT436" s="83"/>
    </row>
    <row r="437" spans="1:46" ht="14.45">
      <c r="A437" s="24" t="s">
        <v>110</v>
      </c>
      <c r="B437" s="24" t="s">
        <v>236</v>
      </c>
      <c r="C437" s="83" t="str">
        <f>IF(ISBLANK(B437),"",_xlfn.XLOOKUP(B437,Recruiter!A:A,Recruiter!B:B))</f>
        <v>Pooja</v>
      </c>
      <c r="D437" s="83" t="str">
        <f>IF(ISBLANK(A437),"",_xlfn.XLOOKUP(A437,'Requirement Overview'!C:C,'Requirement Overview'!E:E))</f>
        <v>Talme</v>
      </c>
      <c r="E437" s="83" t="str">
        <f>IF(ISBLANK(A437),"",_xlfn.XLOOKUP(A437,'Requirement Overview'!C:C,'Requirement Overview'!H:H))</f>
        <v>IT</v>
      </c>
      <c r="F437" s="24" t="str">
        <f>IF(ISBLANK(A437),"",_xlfn.XLOOKUP(A437,'Requirement Overview'!C:C,'Requirement Overview'!I:I))</f>
        <v>Technical Lead - Mobile Development</v>
      </c>
      <c r="G437" s="59" t="str">
        <f>IF(ISBLANK(A437),"",_xlfn.XLOOKUP(A437,'Requirement Overview'!C:C,'Requirement Overview'!G:G))</f>
        <v>Semnox Solutions</v>
      </c>
      <c r="H437" s="190" t="s">
        <v>2061</v>
      </c>
      <c r="I437" s="61" t="s">
        <v>1895</v>
      </c>
      <c r="J437" s="210" t="s">
        <v>2062</v>
      </c>
      <c r="K437" s="24">
        <v>9916182242</v>
      </c>
      <c r="L437" s="61" t="s">
        <v>311</v>
      </c>
      <c r="M437" s="3" t="s">
        <v>453</v>
      </c>
      <c r="N437" s="3" t="s">
        <v>2063</v>
      </c>
      <c r="O437" s="3" t="s">
        <v>2064</v>
      </c>
      <c r="P437" s="3" t="s">
        <v>268</v>
      </c>
      <c r="Q437" s="3" t="s">
        <v>1471</v>
      </c>
      <c r="R437" s="3" t="s">
        <v>2065</v>
      </c>
      <c r="S437" s="24" t="s">
        <v>470</v>
      </c>
      <c r="T437" s="24" t="s">
        <v>103</v>
      </c>
      <c r="U437" s="29">
        <v>46056</v>
      </c>
      <c r="V437" s="29">
        <v>46056</v>
      </c>
      <c r="AJ437" s="83"/>
      <c r="AK437" s="83"/>
      <c r="AL437" s="84"/>
      <c r="AM437" s="84"/>
      <c r="AN437" s="83"/>
      <c r="AO437" s="83"/>
      <c r="AP437" s="83"/>
      <c r="AQ437" s="83"/>
      <c r="AR437" s="83"/>
      <c r="AS437" s="84"/>
    </row>
    <row r="438" spans="1:46" ht="14.45">
      <c r="A438" s="51" t="s">
        <v>124</v>
      </c>
      <c r="B438" s="51" t="s">
        <v>520</v>
      </c>
      <c r="C438" s="87" t="str">
        <f>IF(ISBLANK(B438),"",_xlfn.XLOOKUP(B438,Recruiter!A:A,Recruiter!B:B))</f>
        <v>Narthana</v>
      </c>
      <c r="D438" s="87" t="str">
        <f>IF(ISBLANK(A438),"",_xlfn.XLOOKUP(A438,'Requirement Overview'!C:C,'Requirement Overview'!E:E))</f>
        <v>Talme</v>
      </c>
      <c r="E438" s="87" t="str">
        <f>IF(ISBLANK(A438),"",_xlfn.XLOOKUP(A438,'Requirement Overview'!C:C,'Requirement Overview'!H:H))</f>
        <v>IT</v>
      </c>
      <c r="F438" s="51" t="str">
        <f>IF(ISBLANK(A438),"",_xlfn.XLOOKUP(A438,'Requirement Overview'!C:C,'Requirement Overview'!I:I))</f>
        <v>Full Stack Developer</v>
      </c>
      <c r="G438" s="62" t="str">
        <f>IF(ISBLANK(A438),"",_xlfn.XLOOKUP(A438,'Requirement Overview'!C:C,'Requirement Overview'!G:G))</f>
        <v>GNA</v>
      </c>
      <c r="H438" s="51" t="s">
        <v>2066</v>
      </c>
      <c r="I438" s="108" t="s">
        <v>945</v>
      </c>
      <c r="J438" s="76" t="s">
        <v>2067</v>
      </c>
      <c r="K438" s="51">
        <v>8143291462</v>
      </c>
      <c r="L438" s="108" t="s">
        <v>404</v>
      </c>
      <c r="M438" s="51" t="s">
        <v>306</v>
      </c>
      <c r="N438" s="2" t="s">
        <v>2068</v>
      </c>
      <c r="O438" s="51" t="s">
        <v>1020</v>
      </c>
      <c r="P438" s="51" t="s">
        <v>268</v>
      </c>
      <c r="Q438" s="51" t="s">
        <v>268</v>
      </c>
      <c r="R438" s="51" t="s">
        <v>407</v>
      </c>
      <c r="S438" s="51" t="s">
        <v>601</v>
      </c>
      <c r="T438" s="51" t="s">
        <v>103</v>
      </c>
      <c r="U438" s="89">
        <v>46056</v>
      </c>
      <c r="V438" s="89">
        <v>46056</v>
      </c>
      <c r="W438" s="51"/>
      <c r="X438" s="51"/>
      <c r="Y438" s="73"/>
      <c r="Z438" s="51"/>
      <c r="AA438" s="51"/>
      <c r="AB438" s="51"/>
      <c r="AC438" s="51"/>
      <c r="AD438" s="51"/>
      <c r="AT438" s="83"/>
    </row>
    <row r="439" spans="1:46" ht="14.45">
      <c r="A439" s="702" t="s">
        <v>124</v>
      </c>
      <c r="B439" s="702" t="s">
        <v>258</v>
      </c>
      <c r="C439" s="715" t="str">
        <f>IF(ISBLANK(B439),"",_xlfn.XLOOKUP(B439,Recruiter!A:A,Recruiter!B:B))</f>
        <v>Bhoomika</v>
      </c>
      <c r="D439" s="715" t="str">
        <f>IF(ISBLANK(A439),"",_xlfn.XLOOKUP(A439,'Requirement Overview'!C:C,'Requirement Overview'!E:E))</f>
        <v>Talme</v>
      </c>
      <c r="E439" s="715" t="str">
        <f>IF(ISBLANK(A439),"",_xlfn.XLOOKUP(A439,'Requirement Overview'!C:C,'Requirement Overview'!H:H))</f>
        <v>IT</v>
      </c>
      <c r="F439" s="702" t="str">
        <f>IF(ISBLANK(A439),"",_xlfn.XLOOKUP(A439,'Requirement Overview'!C:C,'Requirement Overview'!I:I))</f>
        <v>Full Stack Developer</v>
      </c>
      <c r="G439" s="702" t="str">
        <f>IF(ISBLANK(A439),"",_xlfn.XLOOKUP(A439,'Requirement Overview'!C:C,'Requirement Overview'!G:G))</f>
        <v>GNA</v>
      </c>
      <c r="H439" s="702" t="s">
        <v>1880</v>
      </c>
      <c r="I439" s="702" t="s">
        <v>262</v>
      </c>
      <c r="J439" s="478" t="s">
        <v>1881</v>
      </c>
      <c r="K439" s="702">
        <v>7036163339</v>
      </c>
      <c r="L439" s="702" t="s">
        <v>305</v>
      </c>
      <c r="M439" s="702" t="s">
        <v>1284</v>
      </c>
      <c r="N439" s="702" t="s">
        <v>1882</v>
      </c>
      <c r="O439" s="702" t="s">
        <v>1883</v>
      </c>
      <c r="P439" s="702" t="s">
        <v>294</v>
      </c>
      <c r="Q439" s="702" t="s">
        <v>294</v>
      </c>
      <c r="R439" s="702" t="s">
        <v>368</v>
      </c>
      <c r="S439" s="702" t="s">
        <v>270</v>
      </c>
      <c r="T439" s="702" t="s">
        <v>103</v>
      </c>
      <c r="U439" s="703">
        <v>46053</v>
      </c>
      <c r="V439" s="703">
        <v>46053</v>
      </c>
      <c r="W439" s="702"/>
      <c r="X439" s="702"/>
      <c r="Y439" s="702"/>
      <c r="Z439" s="702"/>
      <c r="AA439" s="702"/>
      <c r="AB439" s="702"/>
      <c r="AC439" s="702"/>
      <c r="AD439" s="702"/>
      <c r="AE439" s="46"/>
      <c r="AJ439" s="83"/>
      <c r="AK439" s="83"/>
      <c r="AL439" s="84"/>
      <c r="AM439" s="84"/>
      <c r="AN439" s="83"/>
      <c r="AO439" s="83"/>
      <c r="AP439" s="83"/>
      <c r="AQ439" s="83"/>
      <c r="AR439" s="83"/>
      <c r="AS439" s="84"/>
    </row>
    <row r="440" spans="1:46" ht="14.45">
      <c r="A440" s="702" t="s">
        <v>124</v>
      </c>
      <c r="B440" s="702" t="s">
        <v>258</v>
      </c>
      <c r="C440" s="715" t="str">
        <f>IF(ISBLANK(B440),"",_xlfn.XLOOKUP(B440,Recruiter!A:A,Recruiter!B:B))</f>
        <v>Bhoomika</v>
      </c>
      <c r="D440" s="715" t="str">
        <f>IF(ISBLANK(A440),"",_xlfn.XLOOKUP(A440,'Requirement Overview'!C:C,'Requirement Overview'!E:E))</f>
        <v>Talme</v>
      </c>
      <c r="E440" s="715" t="str">
        <f>IF(ISBLANK(A440),"",_xlfn.XLOOKUP(A440,'Requirement Overview'!C:C,'Requirement Overview'!H:H))</f>
        <v>IT</v>
      </c>
      <c r="F440" s="702" t="str">
        <f>IF(ISBLANK(A440),"",_xlfn.XLOOKUP(A440,'Requirement Overview'!C:C,'Requirement Overview'!I:I))</f>
        <v>Full Stack Developer</v>
      </c>
      <c r="G440" s="476" t="str">
        <f>IF(ISBLANK(A440),"",_xlfn.XLOOKUP(A440,'Requirement Overview'!C:C,'Requirement Overview'!G:G))</f>
        <v>GNA</v>
      </c>
      <c r="H440" s="480" t="s">
        <v>1884</v>
      </c>
      <c r="I440" s="702" t="s">
        <v>262</v>
      </c>
      <c r="J440" s="478" t="s">
        <v>1885</v>
      </c>
      <c r="K440" s="702">
        <v>8088171022</v>
      </c>
      <c r="L440" s="702" t="s">
        <v>421</v>
      </c>
      <c r="M440" s="702" t="s">
        <v>1230</v>
      </c>
      <c r="N440" s="702" t="s">
        <v>1886</v>
      </c>
      <c r="O440" s="702" t="s">
        <v>381</v>
      </c>
      <c r="P440" s="702" t="s">
        <v>294</v>
      </c>
      <c r="Q440" s="702" t="s">
        <v>294</v>
      </c>
      <c r="R440" s="702" t="s">
        <v>1011</v>
      </c>
      <c r="S440" s="702" t="s">
        <v>270</v>
      </c>
      <c r="T440" s="702" t="s">
        <v>103</v>
      </c>
      <c r="U440" s="703">
        <v>46053</v>
      </c>
      <c r="V440" s="703">
        <v>46053</v>
      </c>
      <c r="W440" s="702"/>
      <c r="X440" s="702"/>
      <c r="Y440" s="702"/>
      <c r="Z440" s="702"/>
      <c r="AA440" s="702"/>
      <c r="AB440" s="702"/>
      <c r="AC440" s="702"/>
      <c r="AD440" s="702"/>
      <c r="AE440" s="46"/>
      <c r="AP440" s="83"/>
      <c r="AQ440" s="83"/>
      <c r="AR440" s="83"/>
      <c r="AS440" s="84"/>
      <c r="AT440" s="83"/>
    </row>
    <row r="441" spans="1:46" ht="14.45">
      <c r="A441" s="702" t="s">
        <v>124</v>
      </c>
      <c r="B441" s="702" t="s">
        <v>258</v>
      </c>
      <c r="C441" s="715" t="str">
        <f>IF(ISBLANK(B441),"",_xlfn.XLOOKUP(B441,Recruiter!A:A,Recruiter!B:B))</f>
        <v>Bhoomika</v>
      </c>
      <c r="D441" s="715" t="str">
        <f>IF(ISBLANK(A441),"",_xlfn.XLOOKUP(A441,'Requirement Overview'!C:C,'Requirement Overview'!E:E))</f>
        <v>Talme</v>
      </c>
      <c r="E441" s="715" t="str">
        <f>IF(ISBLANK(A441),"",_xlfn.XLOOKUP(A441,'Requirement Overview'!C:C,'Requirement Overview'!H:H))</f>
        <v>IT</v>
      </c>
      <c r="F441" s="702" t="str">
        <f>IF(ISBLANK(A441),"",_xlfn.XLOOKUP(A441,'Requirement Overview'!C:C,'Requirement Overview'!I:I))</f>
        <v>Full Stack Developer</v>
      </c>
      <c r="G441" s="702" t="str">
        <f>IF(ISBLANK(A441),"",_xlfn.XLOOKUP(A441,'Requirement Overview'!C:C,'Requirement Overview'!G:G))</f>
        <v>GNA</v>
      </c>
      <c r="H441" s="480" t="s">
        <v>1887</v>
      </c>
      <c r="I441" s="702" t="s">
        <v>497</v>
      </c>
      <c r="J441" s="478" t="s">
        <v>1888</v>
      </c>
      <c r="K441" s="702">
        <v>9663041213</v>
      </c>
      <c r="L441" s="702" t="s">
        <v>305</v>
      </c>
      <c r="M441" s="702" t="s">
        <v>1284</v>
      </c>
      <c r="N441" s="702" t="s">
        <v>1889</v>
      </c>
      <c r="O441" s="702" t="s">
        <v>429</v>
      </c>
      <c r="P441" s="702" t="s">
        <v>294</v>
      </c>
      <c r="Q441" s="702" t="s">
        <v>294</v>
      </c>
      <c r="R441" s="702" t="s">
        <v>1919</v>
      </c>
      <c r="S441" s="702" t="s">
        <v>270</v>
      </c>
      <c r="T441" s="702" t="s">
        <v>103</v>
      </c>
      <c r="U441" s="703">
        <v>46053</v>
      </c>
      <c r="V441" s="703">
        <v>46053</v>
      </c>
      <c r="W441" s="702"/>
      <c r="X441" s="702"/>
      <c r="Y441" s="702"/>
      <c r="Z441" s="702"/>
      <c r="AA441" s="702"/>
      <c r="AB441" s="702"/>
      <c r="AC441" s="702"/>
      <c r="AD441" s="702"/>
      <c r="AE441" s="46"/>
      <c r="AJ441" s="83"/>
      <c r="AK441" s="83"/>
      <c r="AL441" s="84"/>
      <c r="AM441" s="84"/>
      <c r="AN441" s="83"/>
      <c r="AO441" s="83"/>
      <c r="AT441" s="83"/>
    </row>
    <row r="442" spans="1:46" ht="14.45">
      <c r="A442" s="702" t="s">
        <v>124</v>
      </c>
      <c r="B442" s="702" t="s">
        <v>258</v>
      </c>
      <c r="C442" s="715" t="str">
        <f>IF(ISBLANK(B442),"",_xlfn.XLOOKUP(B442,Recruiter!A:A,Recruiter!B:B))</f>
        <v>Bhoomika</v>
      </c>
      <c r="D442" s="715" t="str">
        <f>IF(ISBLANK(A442),"",_xlfn.XLOOKUP(A442,'Requirement Overview'!C:C,'Requirement Overview'!E:E))</f>
        <v>Talme</v>
      </c>
      <c r="E442" s="715" t="str">
        <f>IF(ISBLANK(A442),"",_xlfn.XLOOKUP(A442,'Requirement Overview'!C:C,'Requirement Overview'!H:H))</f>
        <v>IT</v>
      </c>
      <c r="F442" s="702" t="str">
        <f>IF(ISBLANK(A442),"",_xlfn.XLOOKUP(A442,'Requirement Overview'!C:C,'Requirement Overview'!I:I))</f>
        <v>Full Stack Developer</v>
      </c>
      <c r="G442" s="702" t="str">
        <f>IF(ISBLANK(A442),"",_xlfn.XLOOKUP(A442,'Requirement Overview'!C:C,'Requirement Overview'!G:G))</f>
        <v>GNA</v>
      </c>
      <c r="H442" s="713" t="s">
        <v>2069</v>
      </c>
      <c r="I442" s="702" t="s">
        <v>497</v>
      </c>
      <c r="J442" s="514" t="s">
        <v>2070</v>
      </c>
      <c r="K442" s="702">
        <v>7078470303</v>
      </c>
      <c r="L442" s="702" t="s">
        <v>305</v>
      </c>
      <c r="M442" s="702" t="s">
        <v>2071</v>
      </c>
      <c r="N442" s="702" t="s">
        <v>2072</v>
      </c>
      <c r="O442" s="702" t="s">
        <v>429</v>
      </c>
      <c r="P442" s="702" t="s">
        <v>294</v>
      </c>
      <c r="Q442" s="702" t="s">
        <v>294</v>
      </c>
      <c r="R442" s="702" t="s">
        <v>386</v>
      </c>
      <c r="S442" s="702" t="s">
        <v>270</v>
      </c>
      <c r="T442" s="702" t="s">
        <v>103</v>
      </c>
      <c r="U442" s="703">
        <v>46055</v>
      </c>
      <c r="V442" s="703">
        <v>46055</v>
      </c>
      <c r="W442" s="702"/>
      <c r="X442" s="702"/>
      <c r="Y442" s="702"/>
      <c r="Z442" s="702"/>
      <c r="AA442" s="702"/>
      <c r="AB442" s="702"/>
      <c r="AC442" s="702"/>
      <c r="AD442" s="702"/>
      <c r="AE442" s="46"/>
      <c r="AP442" s="83"/>
      <c r="AQ442" s="83"/>
      <c r="AR442" s="83"/>
      <c r="AS442" s="84"/>
    </row>
    <row r="443" spans="1:46" ht="14.45">
      <c r="A443" s="702" t="s">
        <v>124</v>
      </c>
      <c r="B443" s="702" t="s">
        <v>258</v>
      </c>
      <c r="C443" s="715" t="str">
        <f>IF(ISBLANK(B443),"",_xlfn.XLOOKUP(B443,Recruiter!A:A,Recruiter!B:B))</f>
        <v>Bhoomika</v>
      </c>
      <c r="D443" s="715" t="str">
        <f>IF(ISBLANK(A443),"",_xlfn.XLOOKUP(A443,'Requirement Overview'!C:C,'Requirement Overview'!E:E))</f>
        <v>Talme</v>
      </c>
      <c r="E443" s="715" t="str">
        <f>IF(ISBLANK(A443),"",_xlfn.XLOOKUP(A443,'Requirement Overview'!C:C,'Requirement Overview'!H:H))</f>
        <v>IT</v>
      </c>
      <c r="F443" s="702" t="str">
        <f>IF(ISBLANK(A443),"",_xlfn.XLOOKUP(A443,'Requirement Overview'!C:C,'Requirement Overview'!I:I))</f>
        <v>Full Stack Developer</v>
      </c>
      <c r="G443" s="476" t="str">
        <f>IF(ISBLANK(A443),"",_xlfn.XLOOKUP(A443,'Requirement Overview'!C:C,'Requirement Overview'!G:G))</f>
        <v>GNA</v>
      </c>
      <c r="H443" s="713" t="s">
        <v>2073</v>
      </c>
      <c r="I443" s="702" t="s">
        <v>2074</v>
      </c>
      <c r="J443" s="514" t="s">
        <v>2075</v>
      </c>
      <c r="K443" s="702">
        <v>8340975310</v>
      </c>
      <c r="L443" s="702" t="s">
        <v>311</v>
      </c>
      <c r="M443" s="702" t="s">
        <v>1454</v>
      </c>
      <c r="N443" s="702" t="s">
        <v>1491</v>
      </c>
      <c r="O443" s="702" t="s">
        <v>2076</v>
      </c>
      <c r="P443" s="702" t="s">
        <v>294</v>
      </c>
      <c r="Q443" s="702" t="s">
        <v>294</v>
      </c>
      <c r="R443" s="702" t="s">
        <v>368</v>
      </c>
      <c r="S443" s="702" t="s">
        <v>270</v>
      </c>
      <c r="T443" s="702" t="s">
        <v>103</v>
      </c>
      <c r="U443" s="703">
        <v>46055</v>
      </c>
      <c r="V443" s="703">
        <v>46055</v>
      </c>
      <c r="W443" s="702"/>
      <c r="X443" s="702"/>
      <c r="Y443" s="702"/>
      <c r="Z443" s="702"/>
      <c r="AA443" s="702"/>
      <c r="AB443" s="702"/>
      <c r="AC443" s="702"/>
      <c r="AD443" s="702"/>
      <c r="AE443" s="46"/>
      <c r="AJ443" s="83"/>
      <c r="AK443" s="83"/>
      <c r="AL443" s="84"/>
      <c r="AM443" s="84"/>
      <c r="AN443" s="83"/>
      <c r="AO443" s="83"/>
      <c r="AT443" s="83"/>
    </row>
    <row r="444" spans="1:46" ht="14.45">
      <c r="A444" s="702" t="s">
        <v>124</v>
      </c>
      <c r="B444" s="702" t="s">
        <v>258</v>
      </c>
      <c r="C444" s="715" t="str">
        <f>IF(ISBLANK(B444),"",_xlfn.XLOOKUP(B444,Recruiter!A:A,Recruiter!B:B))</f>
        <v>Bhoomika</v>
      </c>
      <c r="D444" s="715" t="str">
        <f>IF(ISBLANK(A444),"",_xlfn.XLOOKUP(A444,'Requirement Overview'!C:C,'Requirement Overview'!E:E))</f>
        <v>Talme</v>
      </c>
      <c r="E444" s="715" t="str">
        <f>IF(ISBLANK(A444),"",_xlfn.XLOOKUP(A444,'Requirement Overview'!C:C,'Requirement Overview'!H:H))</f>
        <v>IT</v>
      </c>
      <c r="F444" s="702" t="str">
        <f>IF(ISBLANK(A444),"",_xlfn.XLOOKUP(A444,'Requirement Overview'!C:C,'Requirement Overview'!I:I))</f>
        <v>Full Stack Developer</v>
      </c>
      <c r="G444" s="702" t="str">
        <f>IF(ISBLANK(A444),"",_xlfn.XLOOKUP(A444,'Requirement Overview'!C:C,'Requirement Overview'!G:G))</f>
        <v>GNA</v>
      </c>
      <c r="H444" s="713" t="s">
        <v>2077</v>
      </c>
      <c r="I444" s="702" t="s">
        <v>316</v>
      </c>
      <c r="J444" s="514" t="s">
        <v>2078</v>
      </c>
      <c r="K444" s="702">
        <v>7852999606</v>
      </c>
      <c r="L444" s="702" t="s">
        <v>305</v>
      </c>
      <c r="M444" s="702" t="s">
        <v>2079</v>
      </c>
      <c r="N444" s="702" t="s">
        <v>2080</v>
      </c>
      <c r="O444" s="702" t="s">
        <v>654</v>
      </c>
      <c r="P444" s="702" t="s">
        <v>294</v>
      </c>
      <c r="Q444" s="702" t="s">
        <v>294</v>
      </c>
      <c r="R444" s="702" t="s">
        <v>368</v>
      </c>
      <c r="S444" s="702" t="s">
        <v>1511</v>
      </c>
      <c r="T444" s="702" t="s">
        <v>103</v>
      </c>
      <c r="U444" s="703">
        <v>46055</v>
      </c>
      <c r="V444" s="703">
        <v>46055</v>
      </c>
      <c r="W444" s="702" t="s">
        <v>2081</v>
      </c>
      <c r="X444" s="716">
        <v>46175</v>
      </c>
      <c r="Y444" s="702" t="s">
        <v>784</v>
      </c>
      <c r="Z444" s="702" t="s">
        <v>1512</v>
      </c>
      <c r="AA444" s="702"/>
      <c r="AB444" s="716"/>
      <c r="AC444" s="702"/>
      <c r="AD444" s="702"/>
      <c r="AE444" s="46"/>
      <c r="AJ444" s="83"/>
      <c r="AK444" s="83"/>
      <c r="AL444" s="84"/>
      <c r="AM444" s="84"/>
      <c r="AN444" s="83"/>
      <c r="AO444" s="83"/>
      <c r="AP444" s="83"/>
      <c r="AQ444" s="83"/>
      <c r="AR444" s="83"/>
      <c r="AS444" s="84"/>
    </row>
    <row r="445" spans="1:46" ht="14.45">
      <c r="A445" s="702" t="s">
        <v>124</v>
      </c>
      <c r="B445" s="702" t="s">
        <v>258</v>
      </c>
      <c r="C445" s="715" t="str">
        <f>IF(ISBLANK(B445),"",_xlfn.XLOOKUP(B445,Recruiter!A:A,Recruiter!B:B))</f>
        <v>Bhoomika</v>
      </c>
      <c r="D445" s="715" t="str">
        <f>IF(ISBLANK(A445),"",_xlfn.XLOOKUP(A445,'Requirement Overview'!C:C,'Requirement Overview'!E:E))</f>
        <v>Talme</v>
      </c>
      <c r="E445" s="715" t="str">
        <f>IF(ISBLANK(A445),"",_xlfn.XLOOKUP(A445,'Requirement Overview'!C:C,'Requirement Overview'!H:H))</f>
        <v>IT</v>
      </c>
      <c r="F445" s="702" t="str">
        <f>IF(ISBLANK(A445),"",_xlfn.XLOOKUP(A445,'Requirement Overview'!C:C,'Requirement Overview'!I:I))</f>
        <v>Full Stack Developer</v>
      </c>
      <c r="G445" s="702" t="str">
        <f>IF(ISBLANK(A445),"",_xlfn.XLOOKUP(A445,'Requirement Overview'!C:C,'Requirement Overview'!G:G))</f>
        <v>GNA</v>
      </c>
      <c r="H445" s="713" t="s">
        <v>2082</v>
      </c>
      <c r="I445" s="702" t="s">
        <v>2083</v>
      </c>
      <c r="J445" s="514" t="s">
        <v>2084</v>
      </c>
      <c r="K445" s="702">
        <v>9187366724</v>
      </c>
      <c r="L445" s="702" t="s">
        <v>311</v>
      </c>
      <c r="M445" s="702" t="s">
        <v>1230</v>
      </c>
      <c r="N445" s="702" t="s">
        <v>2085</v>
      </c>
      <c r="O445" s="702" t="s">
        <v>381</v>
      </c>
      <c r="P445" s="702" t="s">
        <v>294</v>
      </c>
      <c r="Q445" s="702" t="s">
        <v>294</v>
      </c>
      <c r="R445" s="702" t="s">
        <v>1926</v>
      </c>
      <c r="S445" s="702" t="s">
        <v>270</v>
      </c>
      <c r="T445" s="702" t="s">
        <v>103</v>
      </c>
      <c r="U445" s="703">
        <v>46055</v>
      </c>
      <c r="V445" s="703">
        <v>46055</v>
      </c>
      <c r="W445" s="702"/>
      <c r="X445" s="702"/>
      <c r="Y445" s="702"/>
      <c r="Z445" s="702"/>
      <c r="AA445" s="702"/>
      <c r="AB445" s="702"/>
      <c r="AC445" s="702"/>
      <c r="AD445" s="702"/>
      <c r="AE445" s="46"/>
      <c r="AT445" s="83"/>
    </row>
    <row r="446" spans="1:46" ht="14.45">
      <c r="A446" s="702" t="s">
        <v>124</v>
      </c>
      <c r="B446" s="702" t="s">
        <v>258</v>
      </c>
      <c r="C446" s="715" t="str">
        <f>IF(ISBLANK(B446),"",_xlfn.XLOOKUP(B446,Recruiter!A:A,Recruiter!B:B))</f>
        <v>Bhoomika</v>
      </c>
      <c r="D446" s="715" t="str">
        <f>IF(ISBLANK(A446),"",_xlfn.XLOOKUP(A446,'Requirement Overview'!C:C,'Requirement Overview'!E:E))</f>
        <v>Talme</v>
      </c>
      <c r="E446" s="715" t="str">
        <f>IF(ISBLANK(A446),"",_xlfn.XLOOKUP(A446,'Requirement Overview'!C:C,'Requirement Overview'!H:H))</f>
        <v>IT</v>
      </c>
      <c r="F446" s="702" t="str">
        <f>IF(ISBLANK(A446),"",_xlfn.XLOOKUP(A446,'Requirement Overview'!C:C,'Requirement Overview'!I:I))</f>
        <v>Full Stack Developer</v>
      </c>
      <c r="G446" s="476" t="str">
        <f>IF(ISBLANK(A446),"",_xlfn.XLOOKUP(A446,'Requirement Overview'!C:C,'Requirement Overview'!G:G))</f>
        <v>GNA</v>
      </c>
      <c r="H446" s="713" t="s">
        <v>2086</v>
      </c>
      <c r="I446" s="702" t="s">
        <v>2087</v>
      </c>
      <c r="J446" s="514" t="s">
        <v>2088</v>
      </c>
      <c r="K446" s="702">
        <v>9347760473</v>
      </c>
      <c r="L446" s="702" t="s">
        <v>305</v>
      </c>
      <c r="M446" s="702" t="s">
        <v>1230</v>
      </c>
      <c r="N446" s="702" t="s">
        <v>948</v>
      </c>
      <c r="O446" s="702" t="s">
        <v>903</v>
      </c>
      <c r="P446" s="702" t="s">
        <v>294</v>
      </c>
      <c r="Q446" s="702" t="s">
        <v>294</v>
      </c>
      <c r="R446" s="702" t="s">
        <v>368</v>
      </c>
      <c r="S446" s="702" t="s">
        <v>375</v>
      </c>
      <c r="T446" s="702" t="s">
        <v>103</v>
      </c>
      <c r="U446" s="703">
        <v>46055</v>
      </c>
      <c r="V446" s="703">
        <v>46055</v>
      </c>
      <c r="W446" s="702"/>
      <c r="X446" s="716">
        <v>46297</v>
      </c>
      <c r="Y446" s="702" t="s">
        <v>54</v>
      </c>
      <c r="Z446" s="702"/>
      <c r="AA446" s="702"/>
      <c r="AB446" s="702"/>
      <c r="AC446" s="702"/>
      <c r="AD446" s="702"/>
      <c r="AE446" s="46"/>
      <c r="AJ446" s="83"/>
      <c r="AK446" s="83"/>
      <c r="AL446" s="84"/>
      <c r="AM446" s="84"/>
      <c r="AN446" s="83"/>
      <c r="AO446" s="83"/>
      <c r="AP446" s="83"/>
      <c r="AQ446" s="83"/>
      <c r="AR446" s="83"/>
      <c r="AS446" s="84"/>
    </row>
    <row r="447" spans="1:46" ht="15.6">
      <c r="A447" s="702" t="s">
        <v>120</v>
      </c>
      <c r="B447" s="702" t="s">
        <v>258</v>
      </c>
      <c r="C447" s="715" t="str">
        <f>IF(ISBLANK(B447),"",_xlfn.XLOOKUP(B447,Recruiter!A:A,Recruiter!B:B))</f>
        <v>Bhoomika</v>
      </c>
      <c r="D447" s="715" t="str">
        <f>IF(ISBLANK(A447),"",_xlfn.XLOOKUP(A447,'Requirement Overview'!C:C,'Requirement Overview'!E:E))</f>
        <v>Talme</v>
      </c>
      <c r="E447" s="715" t="str">
        <f>IF(ISBLANK(A447),"",_xlfn.XLOOKUP(A447,'Requirement Overview'!C:C,'Requirement Overview'!H:H))</f>
        <v>IT</v>
      </c>
      <c r="F447" s="702" t="str">
        <f>IF(ISBLANK(A447),"",_xlfn.XLOOKUP(A447,'Requirement Overview'!C:C,'Requirement Overview'!I:I))</f>
        <v>Java Script Developer</v>
      </c>
      <c r="G447" s="702" t="str">
        <f>IF(ISBLANK(A447),"",_xlfn.XLOOKUP(A447,'Requirement Overview'!C:C,'Requirement Overview'!G:G))</f>
        <v>EMIDS</v>
      </c>
      <c r="H447" s="472" t="s">
        <v>2089</v>
      </c>
      <c r="I447" s="702" t="s">
        <v>316</v>
      </c>
      <c r="J447" s="514" t="s">
        <v>2090</v>
      </c>
      <c r="K447" s="702">
        <v>9353015051</v>
      </c>
      <c r="L447" s="702" t="s">
        <v>305</v>
      </c>
      <c r="M447" s="702" t="s">
        <v>1454</v>
      </c>
      <c r="N447" s="702" t="s">
        <v>2091</v>
      </c>
      <c r="O447" s="702" t="s">
        <v>1583</v>
      </c>
      <c r="P447" s="702" t="s">
        <v>268</v>
      </c>
      <c r="Q447" s="702" t="s">
        <v>294</v>
      </c>
      <c r="R447" s="702" t="s">
        <v>374</v>
      </c>
      <c r="S447" s="702" t="s">
        <v>270</v>
      </c>
      <c r="T447" s="702" t="s">
        <v>271</v>
      </c>
      <c r="U447" s="703">
        <v>46055</v>
      </c>
      <c r="V447" s="703">
        <v>46055</v>
      </c>
      <c r="W447" s="702" t="s">
        <v>2092</v>
      </c>
      <c r="X447" s="702"/>
      <c r="Y447" s="702"/>
      <c r="Z447" s="702"/>
      <c r="AA447" s="702"/>
      <c r="AB447" s="702"/>
      <c r="AC447" s="702"/>
      <c r="AD447" s="702"/>
      <c r="AE447" s="46"/>
      <c r="AP447" s="83"/>
      <c r="AQ447" s="83"/>
      <c r="AR447" s="83"/>
      <c r="AS447" s="84"/>
      <c r="AT447" s="83"/>
    </row>
    <row r="448" spans="1:46" ht="14.45">
      <c r="A448" s="702" t="s">
        <v>120</v>
      </c>
      <c r="B448" s="702" t="s">
        <v>258</v>
      </c>
      <c r="C448" s="715" t="str">
        <f>IF(ISBLANK(B448),"",_xlfn.XLOOKUP(B448,Recruiter!A:A,Recruiter!B:B))</f>
        <v>Bhoomika</v>
      </c>
      <c r="D448" s="715" t="str">
        <f>IF(ISBLANK(A448),"",_xlfn.XLOOKUP(A448,'Requirement Overview'!C:C,'Requirement Overview'!E:E))</f>
        <v>Talme</v>
      </c>
      <c r="E448" s="715" t="str">
        <f>IF(ISBLANK(A448),"",_xlfn.XLOOKUP(A448,'Requirement Overview'!C:C,'Requirement Overview'!H:H))</f>
        <v>IT</v>
      </c>
      <c r="F448" s="702" t="str">
        <f>IF(ISBLANK(A448),"",_xlfn.XLOOKUP(A448,'Requirement Overview'!C:C,'Requirement Overview'!I:I))</f>
        <v>Java Script Developer</v>
      </c>
      <c r="G448" s="702" t="str">
        <f>IF(ISBLANK(A448),"",_xlfn.XLOOKUP(A448,'Requirement Overview'!C:C,'Requirement Overview'!G:G))</f>
        <v>EMIDS</v>
      </c>
      <c r="H448" s="713" t="s">
        <v>2093</v>
      </c>
      <c r="I448" s="702" t="s">
        <v>316</v>
      </c>
      <c r="J448" s="514" t="s">
        <v>2094</v>
      </c>
      <c r="K448" s="702">
        <v>8277177029</v>
      </c>
      <c r="L448" s="702" t="s">
        <v>330</v>
      </c>
      <c r="M448" s="702" t="s">
        <v>1454</v>
      </c>
      <c r="N448" s="702" t="s">
        <v>1137</v>
      </c>
      <c r="O448" s="702" t="s">
        <v>429</v>
      </c>
      <c r="P448" s="702" t="s">
        <v>268</v>
      </c>
      <c r="Q448" s="702" t="s">
        <v>294</v>
      </c>
      <c r="R448" s="702" t="s">
        <v>374</v>
      </c>
      <c r="S448" s="702" t="s">
        <v>270</v>
      </c>
      <c r="T448" s="702" t="s">
        <v>271</v>
      </c>
      <c r="U448" s="703">
        <v>46055</v>
      </c>
      <c r="V448" s="703">
        <v>46055</v>
      </c>
      <c r="W448" s="702" t="s">
        <v>2092</v>
      </c>
      <c r="X448" s="702"/>
      <c r="Y448" s="702"/>
      <c r="Z448" s="702"/>
      <c r="AA448" s="702"/>
      <c r="AB448" s="702"/>
      <c r="AC448" s="702"/>
      <c r="AD448" s="702"/>
      <c r="AE448" s="46"/>
      <c r="AJ448" s="83"/>
      <c r="AK448" s="83"/>
      <c r="AL448" s="84"/>
      <c r="AM448" s="84"/>
      <c r="AN448" s="83"/>
      <c r="AO448" s="83"/>
      <c r="AT448" s="83"/>
    </row>
    <row r="449" spans="1:46" ht="14.45">
      <c r="A449" s="702" t="s">
        <v>120</v>
      </c>
      <c r="B449" s="702" t="s">
        <v>258</v>
      </c>
      <c r="C449" s="715" t="str">
        <f>IF(ISBLANK(B449),"",_xlfn.XLOOKUP(B449,Recruiter!A:A,Recruiter!B:B))</f>
        <v>Bhoomika</v>
      </c>
      <c r="D449" s="715" t="str">
        <f>IF(ISBLANK(A449),"",_xlfn.XLOOKUP(A449,'Requirement Overview'!C:C,'Requirement Overview'!E:E))</f>
        <v>Talme</v>
      </c>
      <c r="E449" s="715" t="str">
        <f>IF(ISBLANK(A449),"",_xlfn.XLOOKUP(A449,'Requirement Overview'!C:C,'Requirement Overview'!H:H))</f>
        <v>IT</v>
      </c>
      <c r="F449" s="702" t="str">
        <f>IF(ISBLANK(A449),"",_xlfn.XLOOKUP(A449,'Requirement Overview'!C:C,'Requirement Overview'!I:I))</f>
        <v>Java Script Developer</v>
      </c>
      <c r="G449" s="476" t="str">
        <f>IF(ISBLANK(A449),"",_xlfn.XLOOKUP(A449,'Requirement Overview'!C:C,'Requirement Overview'!G:G))</f>
        <v>EMIDS</v>
      </c>
      <c r="H449" s="702" t="s">
        <v>2095</v>
      </c>
      <c r="I449" s="702" t="s">
        <v>262</v>
      </c>
      <c r="J449" s="514" t="s">
        <v>2096</v>
      </c>
      <c r="K449" s="702">
        <v>9881121779</v>
      </c>
      <c r="L449" s="702" t="s">
        <v>311</v>
      </c>
      <c r="M449" s="702" t="s">
        <v>1230</v>
      </c>
      <c r="N449" s="702" t="s">
        <v>2097</v>
      </c>
      <c r="O449" s="702" t="s">
        <v>429</v>
      </c>
      <c r="P449" s="702" t="s">
        <v>1055</v>
      </c>
      <c r="Q449" s="702" t="s">
        <v>294</v>
      </c>
      <c r="R449" s="702" t="s">
        <v>374</v>
      </c>
      <c r="S449" s="702" t="s">
        <v>270</v>
      </c>
      <c r="T449" s="702" t="s">
        <v>271</v>
      </c>
      <c r="U449" s="703">
        <v>46055</v>
      </c>
      <c r="V449" s="703">
        <v>46055</v>
      </c>
      <c r="W449" s="702" t="s">
        <v>2092</v>
      </c>
      <c r="X449" s="702"/>
      <c r="Y449" s="702"/>
      <c r="Z449" s="702"/>
      <c r="AA449" s="702"/>
      <c r="AB449" s="702"/>
      <c r="AC449" s="702"/>
      <c r="AD449" s="702"/>
      <c r="AE449" s="46"/>
      <c r="AP449" s="83"/>
      <c r="AQ449" s="83"/>
      <c r="AR449" s="83"/>
      <c r="AS449" s="84"/>
    </row>
    <row r="450" spans="1:46" ht="14.45">
      <c r="A450" s="702" t="s">
        <v>120</v>
      </c>
      <c r="B450" s="702" t="s">
        <v>258</v>
      </c>
      <c r="C450" s="715" t="str">
        <f>IF(ISBLANK(B450),"",_xlfn.XLOOKUP(B450,Recruiter!A:A,Recruiter!B:B))</f>
        <v>Bhoomika</v>
      </c>
      <c r="D450" s="715" t="str">
        <f>IF(ISBLANK(A450),"",_xlfn.XLOOKUP(A450,'Requirement Overview'!C:C,'Requirement Overview'!E:E))</f>
        <v>Talme</v>
      </c>
      <c r="E450" s="715" t="str">
        <f>IF(ISBLANK(A450),"",_xlfn.XLOOKUP(A450,'Requirement Overview'!C:C,'Requirement Overview'!H:H))</f>
        <v>IT</v>
      </c>
      <c r="F450" s="702" t="str">
        <f>IF(ISBLANK(A450),"",_xlfn.XLOOKUP(A450,'Requirement Overview'!C:C,'Requirement Overview'!I:I))</f>
        <v>Java Script Developer</v>
      </c>
      <c r="G450" s="702" t="str">
        <f>IF(ISBLANK(A450),"",_xlfn.XLOOKUP(A450,'Requirement Overview'!C:C,'Requirement Overview'!G:G))</f>
        <v>EMIDS</v>
      </c>
      <c r="H450" s="702" t="s">
        <v>2098</v>
      </c>
      <c r="I450" s="702" t="s">
        <v>2074</v>
      </c>
      <c r="J450" s="514" t="s">
        <v>2099</v>
      </c>
      <c r="K450" s="702">
        <v>8018823385</v>
      </c>
      <c r="L450" s="702" t="s">
        <v>378</v>
      </c>
      <c r="M450" s="702" t="s">
        <v>279</v>
      </c>
      <c r="N450" s="702" t="s">
        <v>2100</v>
      </c>
      <c r="O450" s="702" t="s">
        <v>373</v>
      </c>
      <c r="P450" s="702" t="s">
        <v>268</v>
      </c>
      <c r="Q450" s="702" t="s">
        <v>294</v>
      </c>
      <c r="R450" s="702" t="s">
        <v>2101</v>
      </c>
      <c r="S450" s="702" t="s">
        <v>270</v>
      </c>
      <c r="T450" s="702" t="s">
        <v>271</v>
      </c>
      <c r="U450" s="703">
        <v>46055</v>
      </c>
      <c r="V450" s="703">
        <v>46055</v>
      </c>
      <c r="W450" s="702" t="s">
        <v>2092</v>
      </c>
      <c r="X450" s="702"/>
      <c r="Y450" s="702"/>
      <c r="Z450" s="702"/>
      <c r="AA450" s="702"/>
      <c r="AB450" s="702"/>
      <c r="AC450" s="702"/>
      <c r="AD450" s="702"/>
      <c r="AE450" s="46"/>
      <c r="AJ450" s="83"/>
      <c r="AK450" s="83"/>
      <c r="AL450" s="84"/>
      <c r="AM450" s="84"/>
      <c r="AN450" s="83"/>
      <c r="AO450" s="83"/>
      <c r="AT450" s="83"/>
    </row>
    <row r="451" spans="1:46" ht="14.45">
      <c r="A451" s="702" t="s">
        <v>120</v>
      </c>
      <c r="B451" s="702" t="s">
        <v>258</v>
      </c>
      <c r="C451" s="715" t="str">
        <f>IF(ISBLANK(B451),"",_xlfn.XLOOKUP(B451,Recruiter!A:A,Recruiter!B:B))</f>
        <v>Bhoomika</v>
      </c>
      <c r="D451" s="715" t="str">
        <f>IF(ISBLANK(A451),"",_xlfn.XLOOKUP(A451,'Requirement Overview'!C:C,'Requirement Overview'!E:E))</f>
        <v>Talme</v>
      </c>
      <c r="E451" s="715" t="str">
        <f>IF(ISBLANK(A451),"",_xlfn.XLOOKUP(A451,'Requirement Overview'!C:C,'Requirement Overview'!H:H))</f>
        <v>IT</v>
      </c>
      <c r="F451" s="702" t="str">
        <f>IF(ISBLANK(A451),"",_xlfn.XLOOKUP(A451,'Requirement Overview'!C:C,'Requirement Overview'!I:I))</f>
        <v>Java Script Developer</v>
      </c>
      <c r="G451" s="702" t="str">
        <f>IF(ISBLANK(A451),"",_xlfn.XLOOKUP(A451,'Requirement Overview'!C:C,'Requirement Overview'!G:G))</f>
        <v>EMIDS</v>
      </c>
      <c r="H451" s="702" t="s">
        <v>2102</v>
      </c>
      <c r="I451" s="702" t="s">
        <v>316</v>
      </c>
      <c r="J451" s="478" t="s">
        <v>2103</v>
      </c>
      <c r="K451" s="702">
        <v>8489477215</v>
      </c>
      <c r="L451" s="702" t="s">
        <v>378</v>
      </c>
      <c r="M451" s="702" t="s">
        <v>279</v>
      </c>
      <c r="N451" s="702" t="s">
        <v>2104</v>
      </c>
      <c r="O451" s="702" t="s">
        <v>654</v>
      </c>
      <c r="P451" s="702" t="s">
        <v>1128</v>
      </c>
      <c r="Q451" s="702" t="s">
        <v>294</v>
      </c>
      <c r="R451" s="702" t="s">
        <v>368</v>
      </c>
      <c r="S451" s="702" t="s">
        <v>270</v>
      </c>
      <c r="T451" s="702" t="s">
        <v>271</v>
      </c>
      <c r="U451" s="703">
        <v>46056</v>
      </c>
      <c r="V451" s="703">
        <v>46056</v>
      </c>
      <c r="W451" s="702" t="s">
        <v>2092</v>
      </c>
      <c r="X451" s="702"/>
      <c r="Y451" s="702"/>
      <c r="Z451" s="702"/>
      <c r="AA451" s="702"/>
      <c r="AB451" s="702"/>
      <c r="AC451" s="702"/>
      <c r="AD451" s="702"/>
      <c r="AE451" s="46"/>
      <c r="AJ451" s="83"/>
      <c r="AK451" s="83"/>
      <c r="AL451" s="84"/>
      <c r="AM451" s="84"/>
      <c r="AN451" s="83"/>
      <c r="AO451" s="83"/>
      <c r="AP451" s="83"/>
      <c r="AQ451" s="83"/>
      <c r="AR451" s="83"/>
      <c r="AS451" s="84"/>
    </row>
    <row r="452" spans="1:46" ht="14.45">
      <c r="A452" s="702" t="s">
        <v>120</v>
      </c>
      <c r="B452" s="702" t="s">
        <v>258</v>
      </c>
      <c r="C452" s="715" t="str">
        <f>IF(ISBLANK(B452),"",_xlfn.XLOOKUP(B452,Recruiter!A:A,Recruiter!B:B))</f>
        <v>Bhoomika</v>
      </c>
      <c r="D452" s="715" t="str">
        <f>IF(ISBLANK(A452),"",_xlfn.XLOOKUP(A452,'Requirement Overview'!C:C,'Requirement Overview'!E:E))</f>
        <v>Talme</v>
      </c>
      <c r="E452" s="715" t="str">
        <f>IF(ISBLANK(A452),"",_xlfn.XLOOKUP(A452,'Requirement Overview'!C:C,'Requirement Overview'!H:H))</f>
        <v>IT</v>
      </c>
      <c r="F452" s="702" t="str">
        <f>IF(ISBLANK(A452),"",_xlfn.XLOOKUP(A452,'Requirement Overview'!C:C,'Requirement Overview'!I:I))</f>
        <v>Java Script Developer</v>
      </c>
      <c r="G452" s="476" t="str">
        <f>IF(ISBLANK(A452),"",_xlfn.XLOOKUP(A452,'Requirement Overview'!C:C,'Requirement Overview'!G:G))</f>
        <v>EMIDS</v>
      </c>
      <c r="H452" s="702" t="s">
        <v>2105</v>
      </c>
      <c r="I452" s="702" t="s">
        <v>316</v>
      </c>
      <c r="J452" s="478" t="s">
        <v>2106</v>
      </c>
      <c r="K452" s="702">
        <v>6369154650</v>
      </c>
      <c r="L452" s="702" t="s">
        <v>305</v>
      </c>
      <c r="M452" s="702" t="s">
        <v>2107</v>
      </c>
      <c r="N452" s="702" t="s">
        <v>995</v>
      </c>
      <c r="O452" s="702" t="s">
        <v>2108</v>
      </c>
      <c r="P452" s="702" t="s">
        <v>1128</v>
      </c>
      <c r="Q452" s="702" t="s">
        <v>294</v>
      </c>
      <c r="R452" s="702" t="s">
        <v>589</v>
      </c>
      <c r="S452" s="702" t="s">
        <v>270</v>
      </c>
      <c r="T452" s="702" t="s">
        <v>271</v>
      </c>
      <c r="U452" s="703">
        <v>46056</v>
      </c>
      <c r="V452" s="703">
        <v>46056</v>
      </c>
      <c r="W452" s="702" t="s">
        <v>2092</v>
      </c>
      <c r="X452" s="702"/>
      <c r="Y452" s="702"/>
      <c r="Z452" s="702"/>
      <c r="AA452" s="702"/>
      <c r="AB452" s="702"/>
      <c r="AC452" s="702"/>
      <c r="AD452" s="702"/>
      <c r="AE452" s="46"/>
      <c r="AT452" s="83"/>
    </row>
    <row r="453" spans="1:46" ht="14.45">
      <c r="A453" s="702" t="s">
        <v>110</v>
      </c>
      <c r="B453" s="702" t="s">
        <v>258</v>
      </c>
      <c r="C453" s="715" t="str">
        <f>IF(ISBLANK(B453),"",_xlfn.XLOOKUP(B453,Recruiter!A:A,Recruiter!B:B))</f>
        <v>Bhoomika</v>
      </c>
      <c r="D453" s="715" t="str">
        <f>IF(ISBLANK(A453),"",_xlfn.XLOOKUP(A453,'Requirement Overview'!C:C,'Requirement Overview'!E:E))</f>
        <v>Talme</v>
      </c>
      <c r="E453" s="715" t="str">
        <f>IF(ISBLANK(A453),"",_xlfn.XLOOKUP(A453,'Requirement Overview'!C:C,'Requirement Overview'!H:H))</f>
        <v>IT</v>
      </c>
      <c r="F453" s="702" t="str">
        <f>IF(ISBLANK(A453),"",_xlfn.XLOOKUP(A453,'Requirement Overview'!C:C,'Requirement Overview'!I:I))</f>
        <v>Technical Lead - Mobile Development</v>
      </c>
      <c r="G453" s="702" t="str">
        <f>IF(ISBLANK(A453),"",_xlfn.XLOOKUP(A453,'Requirement Overview'!C:C,'Requirement Overview'!G:G))</f>
        <v>Semnox Solutions</v>
      </c>
      <c r="H453" s="713" t="s">
        <v>2109</v>
      </c>
      <c r="I453" s="702" t="s">
        <v>316</v>
      </c>
      <c r="J453" s="514" t="s">
        <v>2110</v>
      </c>
      <c r="K453" s="702">
        <v>9767609895</v>
      </c>
      <c r="L453" s="702" t="s">
        <v>1024</v>
      </c>
      <c r="M453" s="702" t="s">
        <v>2111</v>
      </c>
      <c r="N453" s="702" t="s">
        <v>433</v>
      </c>
      <c r="O453" s="702" t="s">
        <v>1652</v>
      </c>
      <c r="P453" s="702" t="s">
        <v>569</v>
      </c>
      <c r="Q453" s="702" t="s">
        <v>1078</v>
      </c>
      <c r="R453" s="702" t="s">
        <v>2112</v>
      </c>
      <c r="S453" s="702" t="s">
        <v>270</v>
      </c>
      <c r="T453" s="476" t="s">
        <v>103</v>
      </c>
      <c r="U453" s="703">
        <v>46056</v>
      </c>
      <c r="V453" s="703">
        <v>46056</v>
      </c>
      <c r="W453" s="702" t="s">
        <v>2092</v>
      </c>
      <c r="X453" s="702"/>
      <c r="Y453" s="702"/>
      <c r="Z453" s="702"/>
      <c r="AA453" s="702"/>
      <c r="AB453" s="702"/>
      <c r="AC453" s="702"/>
      <c r="AD453" s="702"/>
      <c r="AE453" s="46"/>
      <c r="AJ453" s="83"/>
      <c r="AK453" s="83"/>
      <c r="AL453" s="84"/>
      <c r="AM453" s="84"/>
      <c r="AN453" s="83"/>
      <c r="AO453" s="83"/>
      <c r="AP453" s="83"/>
      <c r="AQ453" s="83"/>
      <c r="AR453" s="83"/>
      <c r="AS453" s="84"/>
    </row>
    <row r="454" spans="1:46" ht="14.45">
      <c r="A454" s="702" t="s">
        <v>110</v>
      </c>
      <c r="B454" s="702" t="s">
        <v>258</v>
      </c>
      <c r="C454" s="715" t="str">
        <f>IF(ISBLANK(B454),"",_xlfn.XLOOKUP(B454,Recruiter!A:A,Recruiter!B:B))</f>
        <v>Bhoomika</v>
      </c>
      <c r="D454" s="715" t="str">
        <f>IF(ISBLANK(A454),"",_xlfn.XLOOKUP(A454,'Requirement Overview'!C:C,'Requirement Overview'!E:E))</f>
        <v>Talme</v>
      </c>
      <c r="E454" s="715" t="str">
        <f>IF(ISBLANK(A454),"",_xlfn.XLOOKUP(A454,'Requirement Overview'!C:C,'Requirement Overview'!H:H))</f>
        <v>IT</v>
      </c>
      <c r="F454" s="702" t="str">
        <f>IF(ISBLANK(A454),"",_xlfn.XLOOKUP(A454,'Requirement Overview'!C:C,'Requirement Overview'!I:I))</f>
        <v>Technical Lead - Mobile Development</v>
      </c>
      <c r="G454" s="476" t="str">
        <f>IF(ISBLANK(A454),"",_xlfn.XLOOKUP(A454,'Requirement Overview'!C:C,'Requirement Overview'!G:G))</f>
        <v>Semnox Solutions</v>
      </c>
      <c r="H454" s="713" t="s">
        <v>2113</v>
      </c>
      <c r="I454" s="702" t="s">
        <v>262</v>
      </c>
      <c r="J454" s="514" t="s">
        <v>2114</v>
      </c>
      <c r="K454" s="702">
        <v>7891746418</v>
      </c>
      <c r="L454" s="702" t="s">
        <v>378</v>
      </c>
      <c r="M454" s="702" t="s">
        <v>788</v>
      </c>
      <c r="N454" s="702" t="s">
        <v>2115</v>
      </c>
      <c r="O454" s="702" t="s">
        <v>715</v>
      </c>
      <c r="P454" s="702" t="s">
        <v>294</v>
      </c>
      <c r="Q454" s="702" t="s">
        <v>1078</v>
      </c>
      <c r="R454" s="702" t="s">
        <v>716</v>
      </c>
      <c r="S454" s="702" t="s">
        <v>270</v>
      </c>
      <c r="T454" s="476" t="s">
        <v>103</v>
      </c>
      <c r="U454" s="703">
        <v>46056</v>
      </c>
      <c r="V454" s="703">
        <v>46056</v>
      </c>
      <c r="W454" s="702" t="s">
        <v>2092</v>
      </c>
      <c r="X454" s="702"/>
      <c r="Y454" s="702"/>
      <c r="Z454" s="702"/>
      <c r="AA454" s="702"/>
      <c r="AB454" s="702"/>
      <c r="AC454" s="702"/>
      <c r="AD454" s="702"/>
      <c r="AE454" s="46"/>
      <c r="AP454" s="83"/>
      <c r="AQ454" s="83"/>
      <c r="AR454" s="83"/>
      <c r="AS454" s="84"/>
      <c r="AT454" s="83"/>
    </row>
    <row r="455" spans="1:46" ht="14.45">
      <c r="A455" s="702" t="s">
        <v>110</v>
      </c>
      <c r="B455" s="702" t="s">
        <v>258</v>
      </c>
      <c r="C455" s="715" t="str">
        <f>IF(ISBLANK(B455),"",_xlfn.XLOOKUP(B455,Recruiter!A:A,Recruiter!B:B))</f>
        <v>Bhoomika</v>
      </c>
      <c r="D455" s="715" t="str">
        <f>IF(ISBLANK(A455),"",_xlfn.XLOOKUP(A455,'Requirement Overview'!C:C,'Requirement Overview'!E:E))</f>
        <v>Talme</v>
      </c>
      <c r="E455" s="715" t="str">
        <f>IF(ISBLANK(A455),"",_xlfn.XLOOKUP(A455,'Requirement Overview'!C:C,'Requirement Overview'!H:H))</f>
        <v>IT</v>
      </c>
      <c r="F455" s="702" t="str">
        <f>IF(ISBLANK(A455),"",_xlfn.XLOOKUP(A455,'Requirement Overview'!C:C,'Requirement Overview'!I:I))</f>
        <v>Technical Lead - Mobile Development</v>
      </c>
      <c r="G455" s="702" t="str">
        <f>IF(ISBLANK(A455),"",_xlfn.XLOOKUP(A455,'Requirement Overview'!C:C,'Requirement Overview'!G:G))</f>
        <v>Semnox Solutions</v>
      </c>
      <c r="H455" s="713" t="s">
        <v>2116</v>
      </c>
      <c r="I455" s="702" t="s">
        <v>316</v>
      </c>
      <c r="J455" s="514" t="s">
        <v>2117</v>
      </c>
      <c r="K455" s="702">
        <v>7358666640</v>
      </c>
      <c r="L455" s="702" t="s">
        <v>378</v>
      </c>
      <c r="M455" s="702" t="s">
        <v>351</v>
      </c>
      <c r="N455" s="702" t="s">
        <v>2118</v>
      </c>
      <c r="O455" s="702" t="s">
        <v>541</v>
      </c>
      <c r="P455" s="702" t="s">
        <v>1128</v>
      </c>
      <c r="Q455" s="702" t="s">
        <v>1078</v>
      </c>
      <c r="R455" s="702" t="s">
        <v>623</v>
      </c>
      <c r="S455" s="702" t="s">
        <v>270</v>
      </c>
      <c r="T455" s="476" t="s">
        <v>103</v>
      </c>
      <c r="U455" s="703">
        <v>46056</v>
      </c>
      <c r="V455" s="703">
        <v>46056</v>
      </c>
      <c r="W455" s="702" t="s">
        <v>2092</v>
      </c>
      <c r="X455" s="702"/>
      <c r="Y455" s="702"/>
      <c r="Z455" s="702"/>
      <c r="AA455" s="702"/>
      <c r="AB455" s="702"/>
      <c r="AC455" s="702"/>
      <c r="AD455" s="702"/>
      <c r="AE455" s="46"/>
      <c r="AJ455" s="83"/>
      <c r="AK455" s="83"/>
      <c r="AL455" s="84"/>
      <c r="AM455" s="84"/>
      <c r="AN455" s="83"/>
      <c r="AO455" s="83"/>
      <c r="AT455" s="83"/>
    </row>
    <row r="456" spans="1:46" ht="14.45">
      <c r="A456" s="702" t="s">
        <v>110</v>
      </c>
      <c r="B456" s="702" t="s">
        <v>258</v>
      </c>
      <c r="C456" s="715" t="str">
        <f>IF(ISBLANK(B456),"",_xlfn.XLOOKUP(B456,Recruiter!A:A,Recruiter!B:B))</f>
        <v>Bhoomika</v>
      </c>
      <c r="D456" s="715" t="str">
        <f>IF(ISBLANK(A456),"",_xlfn.XLOOKUP(A456,'Requirement Overview'!C:C,'Requirement Overview'!E:E))</f>
        <v>Talme</v>
      </c>
      <c r="E456" s="715" t="str">
        <f>IF(ISBLANK(A456),"",_xlfn.XLOOKUP(A456,'Requirement Overview'!C:C,'Requirement Overview'!H:H))</f>
        <v>IT</v>
      </c>
      <c r="F456" s="702" t="str">
        <f>IF(ISBLANK(A456),"",_xlfn.XLOOKUP(A456,'Requirement Overview'!C:C,'Requirement Overview'!I:I))</f>
        <v>Technical Lead - Mobile Development</v>
      </c>
      <c r="G456" s="702" t="str">
        <f>IF(ISBLANK(A456),"",_xlfn.XLOOKUP(A456,'Requirement Overview'!C:C,'Requirement Overview'!G:G))</f>
        <v>Semnox Solutions</v>
      </c>
      <c r="H456" s="713" t="s">
        <v>2119</v>
      </c>
      <c r="I456" s="702" t="s">
        <v>2074</v>
      </c>
      <c r="J456" s="514" t="s">
        <v>2120</v>
      </c>
      <c r="K456" s="702">
        <v>9962215572</v>
      </c>
      <c r="L456" s="702" t="s">
        <v>794</v>
      </c>
      <c r="M456" s="702" t="s">
        <v>365</v>
      </c>
      <c r="N456" s="702" t="s">
        <v>2121</v>
      </c>
      <c r="O456" s="702" t="s">
        <v>368</v>
      </c>
      <c r="P456" s="702" t="s">
        <v>1128</v>
      </c>
      <c r="Q456" s="702" t="s">
        <v>1078</v>
      </c>
      <c r="R456" s="702" t="s">
        <v>540</v>
      </c>
      <c r="S456" s="702" t="s">
        <v>270</v>
      </c>
      <c r="T456" s="476" t="s">
        <v>103</v>
      </c>
      <c r="U456" s="703">
        <v>46056</v>
      </c>
      <c r="V456" s="703">
        <v>46056</v>
      </c>
      <c r="W456" s="702" t="s">
        <v>2092</v>
      </c>
      <c r="X456" s="702"/>
      <c r="Y456" s="702"/>
      <c r="Z456" s="702"/>
      <c r="AA456" s="702"/>
      <c r="AB456" s="702"/>
      <c r="AC456" s="702"/>
      <c r="AD456" s="702"/>
      <c r="AE456" s="46"/>
      <c r="AP456" s="83"/>
      <c r="AQ456" s="83"/>
      <c r="AR456" s="83"/>
      <c r="AS456" s="84"/>
    </row>
    <row r="457" spans="1:46" ht="14.45">
      <c r="A457" s="702" t="s">
        <v>110</v>
      </c>
      <c r="B457" s="702" t="s">
        <v>258</v>
      </c>
      <c r="C457" s="715" t="str">
        <f>IF(ISBLANK(B457),"",_xlfn.XLOOKUP(B457,Recruiter!A:A,Recruiter!B:B))</f>
        <v>Bhoomika</v>
      </c>
      <c r="D457" s="715" t="str">
        <f>IF(ISBLANK(A457),"",_xlfn.XLOOKUP(A457,'Requirement Overview'!C:C,'Requirement Overview'!E:E))</f>
        <v>Talme</v>
      </c>
      <c r="E457" s="715" t="str">
        <f>IF(ISBLANK(A457),"",_xlfn.XLOOKUP(A457,'Requirement Overview'!C:C,'Requirement Overview'!H:H))</f>
        <v>IT</v>
      </c>
      <c r="F457" s="702" t="str">
        <f>IF(ISBLANK(A457),"",_xlfn.XLOOKUP(A457,'Requirement Overview'!C:C,'Requirement Overview'!I:I))</f>
        <v>Technical Lead - Mobile Development</v>
      </c>
      <c r="G457" s="476" t="str">
        <f>IF(ISBLANK(A457),"",_xlfn.XLOOKUP(A457,'Requirement Overview'!C:C,'Requirement Overview'!G:G))</f>
        <v>Semnox Solutions</v>
      </c>
      <c r="H457" s="702" t="s">
        <v>2122</v>
      </c>
      <c r="I457" s="702" t="s">
        <v>2123</v>
      </c>
      <c r="J457" s="478" t="s">
        <v>2124</v>
      </c>
      <c r="K457" s="702">
        <v>9940112467</v>
      </c>
      <c r="L457" s="702" t="s">
        <v>378</v>
      </c>
      <c r="M457" s="702" t="s">
        <v>2125</v>
      </c>
      <c r="N457" s="702" t="s">
        <v>2126</v>
      </c>
      <c r="O457" s="702" t="s">
        <v>1853</v>
      </c>
      <c r="P457" s="702" t="s">
        <v>1128</v>
      </c>
      <c r="Q457" s="702" t="s">
        <v>1078</v>
      </c>
      <c r="R457" s="702" t="s">
        <v>2112</v>
      </c>
      <c r="S457" s="702" t="s">
        <v>270</v>
      </c>
      <c r="T457" s="476" t="s">
        <v>103</v>
      </c>
      <c r="U457" s="703">
        <v>46056</v>
      </c>
      <c r="V457" s="703">
        <v>46056</v>
      </c>
      <c r="W457" s="702" t="s">
        <v>2092</v>
      </c>
      <c r="X457" s="702"/>
      <c r="Y457" s="702"/>
      <c r="Z457" s="702"/>
      <c r="AA457" s="702"/>
      <c r="AB457" s="702"/>
      <c r="AC457" s="702"/>
      <c r="AD457" s="702"/>
      <c r="AE457" s="46"/>
      <c r="AJ457" s="83"/>
      <c r="AK457" s="83"/>
      <c r="AL457" s="84"/>
      <c r="AM457" s="84"/>
      <c r="AN457" s="83"/>
      <c r="AO457" s="83"/>
      <c r="AT457" s="83"/>
    </row>
    <row r="458" spans="1:46" ht="14.45">
      <c r="A458" s="702" t="s">
        <v>93</v>
      </c>
      <c r="B458" s="702" t="s">
        <v>258</v>
      </c>
      <c r="C458" s="715" t="str">
        <f>IF(ISBLANK(B458),"",_xlfn.XLOOKUP(B458,Recruiter!A:A,Recruiter!B:B))</f>
        <v>Bhoomika</v>
      </c>
      <c r="D458" s="715" t="str">
        <f>IF(ISBLANK(A458),"",_xlfn.XLOOKUP(A458,'Requirement Overview'!C:C,'Requirement Overview'!E:E))</f>
        <v>Talme</v>
      </c>
      <c r="E458" s="715" t="str">
        <f>IF(ISBLANK(A458),"",_xlfn.XLOOKUP(A458,'Requirement Overview'!C:C,'Requirement Overview'!H:H))</f>
        <v>IT</v>
      </c>
      <c r="F458" s="702" t="str">
        <f>IF(ISBLANK(A458),"",_xlfn.XLOOKUP(A458,'Requirement Overview'!C:C,'Requirement Overview'!I:I))</f>
        <v>Angular JS developer</v>
      </c>
      <c r="G458" s="702" t="str">
        <f>IF(ISBLANK(A458),"",_xlfn.XLOOKUP(A458,'Requirement Overview'!C:C,'Requirement Overview'!G:G))</f>
        <v>EMIDS</v>
      </c>
      <c r="H458" s="702" t="s">
        <v>2127</v>
      </c>
      <c r="I458" s="702" t="s">
        <v>2128</v>
      </c>
      <c r="J458" s="514" t="s">
        <v>2129</v>
      </c>
      <c r="K458" s="702">
        <v>6263667210</v>
      </c>
      <c r="L458" s="702" t="s">
        <v>378</v>
      </c>
      <c r="M458" s="702" t="s">
        <v>1181</v>
      </c>
      <c r="N458" s="702" t="s">
        <v>995</v>
      </c>
      <c r="O458" s="702" t="s">
        <v>2130</v>
      </c>
      <c r="P458" s="702" t="s">
        <v>1499</v>
      </c>
      <c r="Q458" s="702" t="s">
        <v>294</v>
      </c>
      <c r="R458" s="702" t="s">
        <v>368</v>
      </c>
      <c r="S458" s="702" t="s">
        <v>270</v>
      </c>
      <c r="T458" s="702" t="s">
        <v>271</v>
      </c>
      <c r="U458" s="703">
        <v>46056</v>
      </c>
      <c r="V458" s="703">
        <v>46056</v>
      </c>
      <c r="W458" s="702"/>
      <c r="X458" s="702"/>
      <c r="Y458" s="702"/>
      <c r="Z458" s="702"/>
      <c r="AA458" s="702"/>
      <c r="AB458" s="702"/>
      <c r="AC458" s="702"/>
      <c r="AD458" s="702"/>
      <c r="AE458" s="46"/>
      <c r="AJ458" s="83"/>
      <c r="AK458" s="83"/>
      <c r="AL458" s="84"/>
      <c r="AM458" s="84"/>
      <c r="AN458" s="83"/>
      <c r="AO458" s="83"/>
      <c r="AP458" s="83"/>
      <c r="AQ458" s="83"/>
      <c r="AR458" s="83"/>
      <c r="AS458" s="84"/>
    </row>
    <row r="459" spans="1:46" ht="14.45">
      <c r="A459" s="702" t="s">
        <v>93</v>
      </c>
      <c r="B459" s="702" t="s">
        <v>258</v>
      </c>
      <c r="C459" s="715" t="str">
        <f>IF(ISBLANK(B459),"",_xlfn.XLOOKUP(B459,Recruiter!A:A,Recruiter!B:B))</f>
        <v>Bhoomika</v>
      </c>
      <c r="D459" s="715" t="str">
        <f>IF(ISBLANK(A459),"",_xlfn.XLOOKUP(A459,'Requirement Overview'!C:C,'Requirement Overview'!E:E))</f>
        <v>Talme</v>
      </c>
      <c r="E459" s="715" t="str">
        <f>IF(ISBLANK(A459),"",_xlfn.XLOOKUP(A459,'Requirement Overview'!C:C,'Requirement Overview'!H:H))</f>
        <v>IT</v>
      </c>
      <c r="F459" s="702" t="str">
        <f>IF(ISBLANK(A459),"",_xlfn.XLOOKUP(A459,'Requirement Overview'!C:C,'Requirement Overview'!I:I))</f>
        <v>Angular JS developer</v>
      </c>
      <c r="G459" s="702" t="str">
        <f>IF(ISBLANK(A459),"",_xlfn.XLOOKUP(A459,'Requirement Overview'!C:C,'Requirement Overview'!G:G))</f>
        <v>EMIDS</v>
      </c>
      <c r="H459" s="702" t="s">
        <v>2131</v>
      </c>
      <c r="I459" s="702" t="s">
        <v>316</v>
      </c>
      <c r="J459" s="514" t="s">
        <v>2132</v>
      </c>
      <c r="K459" s="702">
        <v>7780435280</v>
      </c>
      <c r="L459" s="702" t="s">
        <v>1024</v>
      </c>
      <c r="M459" s="702" t="s">
        <v>1454</v>
      </c>
      <c r="N459" s="702" t="s">
        <v>2133</v>
      </c>
      <c r="O459" s="702" t="s">
        <v>1020</v>
      </c>
      <c r="P459" s="702" t="s">
        <v>879</v>
      </c>
      <c r="Q459" s="702" t="s">
        <v>294</v>
      </c>
      <c r="R459" s="702" t="s">
        <v>368</v>
      </c>
      <c r="S459" s="702" t="s">
        <v>270</v>
      </c>
      <c r="T459" s="702" t="s">
        <v>271</v>
      </c>
      <c r="U459" s="703">
        <v>46056</v>
      </c>
      <c r="V459" s="703">
        <v>46056</v>
      </c>
      <c r="W459" s="702"/>
      <c r="X459" s="702"/>
      <c r="Y459" s="702"/>
      <c r="Z459" s="702"/>
      <c r="AA459" s="702"/>
      <c r="AB459" s="702"/>
      <c r="AC459" s="702"/>
      <c r="AD459" s="702"/>
      <c r="AE459" s="46"/>
      <c r="AT459" s="83"/>
    </row>
    <row r="460" spans="1:46" ht="14.45">
      <c r="A460" s="47" t="s">
        <v>55</v>
      </c>
      <c r="B460" s="47" t="s">
        <v>236</v>
      </c>
      <c r="C460" s="90" t="str">
        <f>IF(ISBLANK(B460),"",_xlfn.XLOOKUP(B460,Recruiter!A:A,Recruiter!B:B))</f>
        <v>Pooja</v>
      </c>
      <c r="D460" s="90" t="str">
        <f>IF(ISBLANK(A460),"",_xlfn.XLOOKUP(A460,'Requirement Overview'!C:C,'Requirement Overview'!E:E))</f>
        <v>Talme</v>
      </c>
      <c r="E460" s="90" t="str">
        <f>IF(ISBLANK(A460),"",_xlfn.XLOOKUP(A460,'Requirement Overview'!C:C,'Requirement Overview'!H:H))</f>
        <v>Non - IT</v>
      </c>
      <c r="F460" s="47" t="str">
        <f>IF(ISBLANK(A460),"",_xlfn.XLOOKUP(A460,'Requirement Overview'!C:C,'Requirement Overview'!I:I))</f>
        <v>Inside Sales Executive</v>
      </c>
      <c r="G460" s="255" t="str">
        <f>IF(ISBLANK(A460),"",_xlfn.XLOOKUP(A460,'Requirement Overview'!C:C,'Requirement Overview'!G:G))</f>
        <v>Peritas</v>
      </c>
      <c r="H460" s="610" t="s">
        <v>2134</v>
      </c>
      <c r="I460" s="584" t="s">
        <v>983</v>
      </c>
      <c r="J460" s="611" t="s">
        <v>2135</v>
      </c>
      <c r="K460" s="47">
        <v>8754178722</v>
      </c>
      <c r="L460" s="584" t="s">
        <v>421</v>
      </c>
      <c r="M460" s="5" t="s">
        <v>514</v>
      </c>
      <c r="N460" s="5" t="s">
        <v>2136</v>
      </c>
      <c r="O460" s="5" t="s">
        <v>2137</v>
      </c>
      <c r="P460" s="5" t="s">
        <v>268</v>
      </c>
      <c r="Q460" s="5" t="s">
        <v>268</v>
      </c>
      <c r="R460" s="5" t="s">
        <v>730</v>
      </c>
      <c r="S460" s="47" t="s">
        <v>601</v>
      </c>
      <c r="T460" s="47" t="s">
        <v>103</v>
      </c>
      <c r="U460" s="118">
        <v>46057</v>
      </c>
      <c r="V460" s="118">
        <v>46057</v>
      </c>
      <c r="W460" s="47"/>
      <c r="X460" s="47"/>
      <c r="Y460" s="47"/>
      <c r="Z460" s="47"/>
      <c r="AA460" s="47"/>
      <c r="AB460" s="47"/>
      <c r="AC460" s="47"/>
      <c r="AD460" s="47"/>
      <c r="AJ460" s="83"/>
      <c r="AK460" s="83"/>
      <c r="AL460" s="84"/>
      <c r="AM460" s="84"/>
      <c r="AN460" s="83"/>
      <c r="AO460" s="83"/>
      <c r="AP460" s="83"/>
      <c r="AQ460" s="83"/>
      <c r="AR460" s="83"/>
      <c r="AS460" s="84"/>
    </row>
    <row r="461" spans="1:46" ht="14.45">
      <c r="A461" s="24" t="s">
        <v>55</v>
      </c>
      <c r="B461" s="24" t="s">
        <v>236</v>
      </c>
      <c r="C461" s="83" t="str">
        <f>IF(ISBLANK(B461),"",_xlfn.XLOOKUP(B461,Recruiter!A:A,Recruiter!B:B))</f>
        <v>Pooja</v>
      </c>
      <c r="D461" s="83" t="str">
        <f>IF(ISBLANK(A461),"",_xlfn.XLOOKUP(A461,'Requirement Overview'!C:C,'Requirement Overview'!E:E))</f>
        <v>Talme</v>
      </c>
      <c r="E461" s="83" t="str">
        <f>IF(ISBLANK(A461),"",_xlfn.XLOOKUP(A461,'Requirement Overview'!C:C,'Requirement Overview'!H:H))</f>
        <v>Non - IT</v>
      </c>
      <c r="F461" s="24" t="str">
        <f>IF(ISBLANK(A461),"",_xlfn.XLOOKUP(A461,'Requirement Overview'!C:C,'Requirement Overview'!I:I))</f>
        <v>Inside Sales Executive</v>
      </c>
      <c r="G461" s="59" t="str">
        <f>IF(ISBLANK(A461),"",_xlfn.XLOOKUP(A461,'Requirement Overview'!C:C,'Requirement Overview'!G:G))</f>
        <v>Peritas</v>
      </c>
      <c r="H461" s="188" t="s">
        <v>2138</v>
      </c>
      <c r="I461" s="61" t="s">
        <v>2139</v>
      </c>
      <c r="J461" s="217" t="s">
        <v>2140</v>
      </c>
      <c r="K461" s="24">
        <v>7619136155</v>
      </c>
      <c r="L461" s="61" t="s">
        <v>311</v>
      </c>
      <c r="M461" s="3" t="s">
        <v>1253</v>
      </c>
      <c r="N461" s="3" t="s">
        <v>2141</v>
      </c>
      <c r="O461" s="3" t="s">
        <v>295</v>
      </c>
      <c r="P461" s="3" t="s">
        <v>268</v>
      </c>
      <c r="Q461" s="3" t="s">
        <v>268</v>
      </c>
      <c r="R461" s="3" t="s">
        <v>2142</v>
      </c>
      <c r="S461" s="24" t="s">
        <v>518</v>
      </c>
      <c r="T461" s="24" t="s">
        <v>103</v>
      </c>
      <c r="U461" s="29">
        <v>46057</v>
      </c>
      <c r="V461" s="29">
        <v>46057</v>
      </c>
      <c r="AP461" s="83"/>
      <c r="AQ461" s="83"/>
      <c r="AR461" s="83"/>
      <c r="AS461" s="84"/>
      <c r="AT461" s="83"/>
    </row>
    <row r="462" spans="1:46" ht="14.45">
      <c r="A462" s="24" t="s">
        <v>55</v>
      </c>
      <c r="B462" s="24" t="s">
        <v>236</v>
      </c>
      <c r="C462" s="83" t="str">
        <f>IF(ISBLANK(B462),"",_xlfn.XLOOKUP(B462,Recruiter!A:A,Recruiter!B:B))</f>
        <v>Pooja</v>
      </c>
      <c r="D462" s="83" t="str">
        <f>IF(ISBLANK(A462),"",_xlfn.XLOOKUP(A462,'Requirement Overview'!C:C,'Requirement Overview'!E:E))</f>
        <v>Talme</v>
      </c>
      <c r="E462" s="83" t="str">
        <f>IF(ISBLANK(A462),"",_xlfn.XLOOKUP(A462,'Requirement Overview'!C:C,'Requirement Overview'!H:H))</f>
        <v>Non - IT</v>
      </c>
      <c r="F462" s="24" t="str">
        <f>IF(ISBLANK(A462),"",_xlfn.XLOOKUP(A462,'Requirement Overview'!C:C,'Requirement Overview'!I:I))</f>
        <v>Inside Sales Executive</v>
      </c>
      <c r="G462" s="58" t="str">
        <f>IF(ISBLANK(A462),"",_xlfn.XLOOKUP(A462,'Requirement Overview'!C:C,'Requirement Overview'!G:G))</f>
        <v>Peritas</v>
      </c>
      <c r="H462" s="188" t="s">
        <v>2143</v>
      </c>
      <c r="I462" s="61" t="s">
        <v>262</v>
      </c>
      <c r="J462" s="217" t="s">
        <v>2144</v>
      </c>
      <c r="K462" s="24">
        <v>9945730595</v>
      </c>
      <c r="L462" s="61" t="s">
        <v>505</v>
      </c>
      <c r="M462" s="3" t="s">
        <v>514</v>
      </c>
      <c r="N462" s="3" t="s">
        <v>2145</v>
      </c>
      <c r="O462" s="3" t="s">
        <v>295</v>
      </c>
      <c r="P462" s="3" t="s">
        <v>268</v>
      </c>
      <c r="Q462" s="3" t="s">
        <v>268</v>
      </c>
      <c r="R462" s="3" t="s">
        <v>244</v>
      </c>
      <c r="S462" s="24" t="s">
        <v>601</v>
      </c>
      <c r="T462" s="24" t="s">
        <v>103</v>
      </c>
      <c r="U462" s="29">
        <v>46057</v>
      </c>
      <c r="V462" s="29">
        <v>46057</v>
      </c>
      <c r="AJ462" s="83"/>
      <c r="AK462" s="83"/>
      <c r="AL462" s="84"/>
      <c r="AM462" s="84"/>
      <c r="AN462" s="83"/>
      <c r="AO462" s="83"/>
      <c r="AT462" s="83"/>
    </row>
    <row r="463" spans="1:46" ht="14.45">
      <c r="A463" s="24" t="s">
        <v>55</v>
      </c>
      <c r="B463" s="24" t="s">
        <v>236</v>
      </c>
      <c r="C463" s="83" t="str">
        <f>IF(ISBLANK(B463),"",_xlfn.XLOOKUP(B463,Recruiter!A:A,Recruiter!B:B))</f>
        <v>Pooja</v>
      </c>
      <c r="D463" s="83" t="str">
        <f>IF(ISBLANK(A463),"",_xlfn.XLOOKUP(A463,'Requirement Overview'!C:C,'Requirement Overview'!E:E))</f>
        <v>Talme</v>
      </c>
      <c r="E463" s="83" t="str">
        <f>IF(ISBLANK(A463),"",_xlfn.XLOOKUP(A463,'Requirement Overview'!C:C,'Requirement Overview'!H:H))</f>
        <v>Non - IT</v>
      </c>
      <c r="F463" s="24" t="str">
        <f>IF(ISBLANK(A463),"",_xlfn.XLOOKUP(A463,'Requirement Overview'!C:C,'Requirement Overview'!I:I))</f>
        <v>Inside Sales Executive</v>
      </c>
      <c r="G463" s="58" t="str">
        <f>IF(ISBLANK(A463),"",_xlfn.XLOOKUP(A463,'Requirement Overview'!C:C,'Requirement Overview'!G:G))</f>
        <v>Peritas</v>
      </c>
      <c r="H463" s="188" t="s">
        <v>2146</v>
      </c>
      <c r="I463" s="61" t="s">
        <v>519</v>
      </c>
      <c r="J463" s="217" t="s">
        <v>2147</v>
      </c>
      <c r="K463" s="24">
        <v>8867427692</v>
      </c>
      <c r="L463" s="61" t="s">
        <v>330</v>
      </c>
      <c r="M463" s="3" t="s">
        <v>2148</v>
      </c>
      <c r="N463" s="3" t="s">
        <v>2149</v>
      </c>
      <c r="O463" s="3" t="s">
        <v>2150</v>
      </c>
      <c r="P463" s="3" t="s">
        <v>268</v>
      </c>
      <c r="Q463" s="3" t="s">
        <v>268</v>
      </c>
      <c r="R463" s="3" t="s">
        <v>327</v>
      </c>
      <c r="S463" s="24" t="s">
        <v>601</v>
      </c>
      <c r="T463" s="24" t="s">
        <v>103</v>
      </c>
      <c r="U463" s="29">
        <v>46057</v>
      </c>
      <c r="V463" s="29">
        <v>46057</v>
      </c>
      <c r="AP463" s="83"/>
      <c r="AQ463" s="83"/>
      <c r="AR463" s="83"/>
      <c r="AS463" s="84"/>
    </row>
    <row r="464" spans="1:46" ht="14.45">
      <c r="A464" s="51" t="s">
        <v>55</v>
      </c>
      <c r="B464" s="51" t="s">
        <v>236</v>
      </c>
      <c r="C464" s="87" t="str">
        <f>IF(ISBLANK(B464),"",_xlfn.XLOOKUP(B464,Recruiter!A:A,Recruiter!B:B))</f>
        <v>Pooja</v>
      </c>
      <c r="D464" s="87" t="str">
        <f>IF(ISBLANK(A464),"",_xlfn.XLOOKUP(A464,'Requirement Overview'!C:C,'Requirement Overview'!E:E))</f>
        <v>Talme</v>
      </c>
      <c r="E464" s="87" t="str">
        <f>IF(ISBLANK(A464),"",_xlfn.XLOOKUP(A464,'Requirement Overview'!C:C,'Requirement Overview'!H:H))</f>
        <v>Non - IT</v>
      </c>
      <c r="F464" s="51" t="str">
        <f>IF(ISBLANK(A464),"",_xlfn.XLOOKUP(A464,'Requirement Overview'!C:C,'Requirement Overview'!I:I))</f>
        <v>Inside Sales Executive</v>
      </c>
      <c r="G464" s="62" t="str">
        <f>IF(ISBLANK(A464),"",_xlfn.XLOOKUP(A464,'Requirement Overview'!C:C,'Requirement Overview'!G:G))</f>
        <v>Peritas</v>
      </c>
      <c r="H464" s="542" t="s">
        <v>2151</v>
      </c>
      <c r="I464" s="63" t="s">
        <v>519</v>
      </c>
      <c r="J464" s="543" t="s">
        <v>2152</v>
      </c>
      <c r="K464" s="51">
        <v>9644529992</v>
      </c>
      <c r="L464" s="63" t="s">
        <v>290</v>
      </c>
      <c r="M464" s="50" t="s">
        <v>2153</v>
      </c>
      <c r="N464" s="50" t="s">
        <v>2154</v>
      </c>
      <c r="O464" s="50" t="s">
        <v>434</v>
      </c>
      <c r="P464" s="50" t="s">
        <v>268</v>
      </c>
      <c r="Q464" s="50" t="s">
        <v>268</v>
      </c>
      <c r="R464" s="50" t="s">
        <v>407</v>
      </c>
      <c r="S464" s="51" t="s">
        <v>518</v>
      </c>
      <c r="T464" s="51" t="s">
        <v>103</v>
      </c>
      <c r="U464" s="89">
        <v>46057</v>
      </c>
      <c r="V464" s="89">
        <v>46057</v>
      </c>
      <c r="W464" s="51"/>
      <c r="X464" s="51"/>
      <c r="Y464" s="51"/>
      <c r="Z464" s="51"/>
      <c r="AA464" s="51"/>
      <c r="AB464" s="51"/>
      <c r="AC464" s="51"/>
      <c r="AD464" s="51"/>
      <c r="AJ464" s="83"/>
      <c r="AK464" s="83"/>
      <c r="AL464" s="84"/>
      <c r="AM464" s="84"/>
      <c r="AN464" s="83"/>
      <c r="AO464" s="83"/>
      <c r="AT464" s="83"/>
    </row>
    <row r="465" spans="1:46" ht="14.45">
      <c r="A465" s="702" t="s">
        <v>55</v>
      </c>
      <c r="B465" s="702" t="s">
        <v>258</v>
      </c>
      <c r="C465" s="715" t="str">
        <f>IF(ISBLANK(B465),"",_xlfn.XLOOKUP(B465,Recruiter!A:A,Recruiter!B:B))</f>
        <v>Bhoomika</v>
      </c>
      <c r="D465" s="715" t="str">
        <f>IF(ISBLANK(A465),"",_xlfn.XLOOKUP(A465,'Requirement Overview'!C:C,'Requirement Overview'!E:E))</f>
        <v>Talme</v>
      </c>
      <c r="E465" s="715" t="str">
        <f>IF(ISBLANK(A465),"",_xlfn.XLOOKUP(A465,'Requirement Overview'!C:C,'Requirement Overview'!H:H))</f>
        <v>Non - IT</v>
      </c>
      <c r="F465" s="702" t="str">
        <f>IF(ISBLANK(A465),"",_xlfn.XLOOKUP(A465,'Requirement Overview'!C:C,'Requirement Overview'!I:I))</f>
        <v>Inside Sales Executive</v>
      </c>
      <c r="G465" s="476" t="str">
        <f>IF(ISBLANK(A465),"",_xlfn.XLOOKUP(A465,'Requirement Overview'!C:C,'Requirement Overview'!G:G))</f>
        <v>Peritas</v>
      </c>
      <c r="H465" s="702" t="s">
        <v>2155</v>
      </c>
      <c r="I465" s="702" t="s">
        <v>316</v>
      </c>
      <c r="J465" s="702" t="s">
        <v>2156</v>
      </c>
      <c r="K465" s="702">
        <v>9335492867</v>
      </c>
      <c r="L465" s="702" t="s">
        <v>305</v>
      </c>
      <c r="M465" s="702" t="s">
        <v>265</v>
      </c>
      <c r="N465" s="702" t="s">
        <v>2157</v>
      </c>
      <c r="O465" s="702" t="s">
        <v>2158</v>
      </c>
      <c r="P465" s="702" t="s">
        <v>1055</v>
      </c>
      <c r="Q465" s="702" t="s">
        <v>294</v>
      </c>
      <c r="R465" s="702" t="s">
        <v>1680</v>
      </c>
      <c r="S465" s="702" t="s">
        <v>270</v>
      </c>
      <c r="T465" s="702" t="s">
        <v>103</v>
      </c>
      <c r="U465" s="703">
        <v>46057</v>
      </c>
      <c r="V465" s="703">
        <v>46057</v>
      </c>
      <c r="W465" s="702"/>
      <c r="X465" s="702"/>
      <c r="Y465" s="702"/>
      <c r="Z465" s="702"/>
      <c r="AA465" s="702"/>
      <c r="AB465" s="702"/>
      <c r="AC465" s="702"/>
      <c r="AD465" s="702"/>
      <c r="AE465" s="46"/>
      <c r="AJ465" s="83"/>
      <c r="AK465" s="83"/>
      <c r="AL465" s="84"/>
      <c r="AM465" s="84"/>
      <c r="AN465" s="83"/>
      <c r="AO465" s="83"/>
      <c r="AP465" s="83"/>
      <c r="AQ465" s="83"/>
      <c r="AR465" s="83"/>
      <c r="AS465" s="84"/>
    </row>
    <row r="466" spans="1:46" ht="14.45">
      <c r="A466" s="702" t="s">
        <v>55</v>
      </c>
      <c r="B466" s="702" t="s">
        <v>258</v>
      </c>
      <c r="C466" s="715" t="str">
        <f>IF(ISBLANK(B466),"",_xlfn.XLOOKUP(B466,Recruiter!A:A,Recruiter!B:B))</f>
        <v>Bhoomika</v>
      </c>
      <c r="D466" s="715" t="str">
        <f>IF(ISBLANK(A466),"",_xlfn.XLOOKUP(A466,'Requirement Overview'!C:C,'Requirement Overview'!E:E))</f>
        <v>Talme</v>
      </c>
      <c r="E466" s="715" t="str">
        <f>IF(ISBLANK(A466),"",_xlfn.XLOOKUP(A466,'Requirement Overview'!C:C,'Requirement Overview'!H:H))</f>
        <v>Non - IT</v>
      </c>
      <c r="F466" s="702" t="str">
        <f>IF(ISBLANK(A466),"",_xlfn.XLOOKUP(A466,'Requirement Overview'!C:C,'Requirement Overview'!I:I))</f>
        <v>Inside Sales Executive</v>
      </c>
      <c r="G466" s="702" t="str">
        <f>IF(ISBLANK(A466),"",_xlfn.XLOOKUP(A466,'Requirement Overview'!C:C,'Requirement Overview'!G:G))</f>
        <v>Peritas</v>
      </c>
      <c r="H466" s="717" t="s">
        <v>2159</v>
      </c>
      <c r="I466" s="702" t="s">
        <v>316</v>
      </c>
      <c r="J466" s="478" t="s">
        <v>2160</v>
      </c>
      <c r="K466" s="702">
        <v>7002970926</v>
      </c>
      <c r="L466" s="702" t="s">
        <v>311</v>
      </c>
      <c r="M466" s="702" t="s">
        <v>1284</v>
      </c>
      <c r="N466" s="702" t="s">
        <v>2161</v>
      </c>
      <c r="O466" s="702" t="s">
        <v>2162</v>
      </c>
      <c r="P466" s="702" t="s">
        <v>294</v>
      </c>
      <c r="Q466" s="702" t="s">
        <v>294</v>
      </c>
      <c r="R466" s="702" t="s">
        <v>1680</v>
      </c>
      <c r="S466" s="702" t="s">
        <v>270</v>
      </c>
      <c r="T466" s="702" t="s">
        <v>103</v>
      </c>
      <c r="U466" s="703">
        <v>46057</v>
      </c>
      <c r="V466" s="703">
        <v>46057</v>
      </c>
      <c r="W466" s="702"/>
      <c r="X466" s="702"/>
      <c r="Y466" s="702"/>
      <c r="Z466" s="702"/>
      <c r="AA466" s="702"/>
      <c r="AB466" s="702"/>
      <c r="AC466" s="702"/>
      <c r="AD466" s="702"/>
      <c r="AE466" s="46"/>
      <c r="AT466" s="83"/>
    </row>
    <row r="467" spans="1:46" ht="14.45">
      <c r="A467" s="702" t="s">
        <v>55</v>
      </c>
      <c r="B467" s="702" t="s">
        <v>258</v>
      </c>
      <c r="C467" s="715" t="str">
        <f>IF(ISBLANK(B467),"",_xlfn.XLOOKUP(B467,Recruiter!A:A,Recruiter!B:B))</f>
        <v>Bhoomika</v>
      </c>
      <c r="D467" s="715" t="str">
        <f>IF(ISBLANK(A467),"",_xlfn.XLOOKUP(A467,'Requirement Overview'!C:C,'Requirement Overview'!E:E))</f>
        <v>Talme</v>
      </c>
      <c r="E467" s="715" t="str">
        <f>IF(ISBLANK(A467),"",_xlfn.XLOOKUP(A467,'Requirement Overview'!C:C,'Requirement Overview'!H:H))</f>
        <v>Non - IT</v>
      </c>
      <c r="F467" s="702" t="str">
        <f>IF(ISBLANK(A467),"",_xlfn.XLOOKUP(A467,'Requirement Overview'!C:C,'Requirement Overview'!I:I))</f>
        <v>Inside Sales Executive</v>
      </c>
      <c r="G467" s="702" t="str">
        <f>IF(ISBLANK(A467),"",_xlfn.XLOOKUP(A467,'Requirement Overview'!C:C,'Requirement Overview'!G:G))</f>
        <v>Peritas</v>
      </c>
      <c r="H467" s="717" t="s">
        <v>2163</v>
      </c>
      <c r="I467" s="702" t="s">
        <v>497</v>
      </c>
      <c r="J467" s="478" t="s">
        <v>2164</v>
      </c>
      <c r="K467" s="702">
        <v>8908740348</v>
      </c>
      <c r="L467" s="702" t="s">
        <v>305</v>
      </c>
      <c r="M467" s="702" t="s">
        <v>1490</v>
      </c>
      <c r="N467" s="702" t="s">
        <v>2165</v>
      </c>
      <c r="O467" s="702" t="s">
        <v>2162</v>
      </c>
      <c r="P467" s="702" t="s">
        <v>294</v>
      </c>
      <c r="Q467" s="702" t="s">
        <v>294</v>
      </c>
      <c r="R467" s="702" t="s">
        <v>1680</v>
      </c>
      <c r="S467" s="702" t="s">
        <v>270</v>
      </c>
      <c r="T467" s="702" t="s">
        <v>103</v>
      </c>
      <c r="U467" s="703">
        <v>46057</v>
      </c>
      <c r="V467" s="703">
        <v>46057</v>
      </c>
      <c r="W467" s="702"/>
      <c r="X467" s="702"/>
      <c r="Y467" s="702"/>
      <c r="Z467" s="702"/>
      <c r="AA467" s="702"/>
      <c r="AB467" s="702"/>
      <c r="AC467" s="702"/>
      <c r="AD467" s="702"/>
      <c r="AE467" s="46"/>
      <c r="AJ467" s="83"/>
      <c r="AK467" s="83"/>
      <c r="AL467" s="84"/>
      <c r="AM467" s="84"/>
      <c r="AN467" s="83"/>
      <c r="AO467" s="83"/>
      <c r="AP467" s="83"/>
      <c r="AQ467" s="83"/>
      <c r="AR467" s="83"/>
      <c r="AS467" s="84"/>
    </row>
    <row r="468" spans="1:46" ht="14.45">
      <c r="A468" s="702" t="s">
        <v>55</v>
      </c>
      <c r="B468" s="702" t="s">
        <v>258</v>
      </c>
      <c r="C468" s="715" t="str">
        <f>IF(ISBLANK(B468),"",_xlfn.XLOOKUP(B468,Recruiter!A:A,Recruiter!B:B))</f>
        <v>Bhoomika</v>
      </c>
      <c r="D468" s="715" t="str">
        <f>IF(ISBLANK(A468),"",_xlfn.XLOOKUP(A468,'Requirement Overview'!C:C,'Requirement Overview'!E:E))</f>
        <v>Talme</v>
      </c>
      <c r="E468" s="715" t="str">
        <f>IF(ISBLANK(A468),"",_xlfn.XLOOKUP(A468,'Requirement Overview'!C:C,'Requirement Overview'!H:H))</f>
        <v>Non - IT</v>
      </c>
      <c r="F468" s="702" t="str">
        <f>IF(ISBLANK(A468),"",_xlfn.XLOOKUP(A468,'Requirement Overview'!C:C,'Requirement Overview'!I:I))</f>
        <v>Inside Sales Executive</v>
      </c>
      <c r="G468" s="702" t="str">
        <f>IF(ISBLANK(A468),"",_xlfn.XLOOKUP(A468,'Requirement Overview'!C:C,'Requirement Overview'!G:G))</f>
        <v>Peritas</v>
      </c>
      <c r="H468" s="717" t="s">
        <v>2166</v>
      </c>
      <c r="I468" s="702" t="s">
        <v>262</v>
      </c>
      <c r="J468" s="478" t="s">
        <v>2167</v>
      </c>
      <c r="K468" s="702">
        <v>9740789792</v>
      </c>
      <c r="L468" s="702" t="s">
        <v>311</v>
      </c>
      <c r="M468" s="702" t="s">
        <v>1284</v>
      </c>
      <c r="N468" s="702" t="s">
        <v>2168</v>
      </c>
      <c r="O468" s="702" t="s">
        <v>2169</v>
      </c>
      <c r="P468" s="702" t="s">
        <v>294</v>
      </c>
      <c r="Q468" s="702" t="s">
        <v>294</v>
      </c>
      <c r="R468" s="702" t="s">
        <v>1680</v>
      </c>
      <c r="S468" s="702" t="s">
        <v>270</v>
      </c>
      <c r="T468" s="702" t="s">
        <v>103</v>
      </c>
      <c r="U468" s="703">
        <v>46057</v>
      </c>
      <c r="V468" s="703">
        <v>46057</v>
      </c>
      <c r="W468" s="702"/>
      <c r="X468" s="702"/>
      <c r="Y468" s="702"/>
      <c r="Z468" s="702"/>
      <c r="AA468" s="702"/>
      <c r="AB468" s="702"/>
      <c r="AC468" s="702"/>
      <c r="AD468" s="702"/>
      <c r="AE468" s="46"/>
      <c r="AP468" s="83"/>
      <c r="AQ468" s="83"/>
      <c r="AR468" s="83"/>
      <c r="AS468" s="84"/>
      <c r="AT468" s="83"/>
    </row>
    <row r="469" spans="1:46" s="51" customFormat="1" ht="14.45">
      <c r="A469" s="702" t="s">
        <v>55</v>
      </c>
      <c r="B469" s="702" t="s">
        <v>258</v>
      </c>
      <c r="C469" s="715" t="str">
        <f>IF(ISBLANK(B469),"",_xlfn.XLOOKUP(B469,Recruiter!A:A,Recruiter!B:B))</f>
        <v>Bhoomika</v>
      </c>
      <c r="D469" s="715" t="str">
        <f>IF(ISBLANK(A469),"",_xlfn.XLOOKUP(A469,'Requirement Overview'!C:C,'Requirement Overview'!E:E))</f>
        <v>Talme</v>
      </c>
      <c r="E469" s="715" t="str">
        <f>IF(ISBLANK(A469),"",_xlfn.XLOOKUP(A469,'Requirement Overview'!C:C,'Requirement Overview'!H:H))</f>
        <v>Non - IT</v>
      </c>
      <c r="F469" s="702" t="str">
        <f>IF(ISBLANK(A469),"",_xlfn.XLOOKUP(A469,'Requirement Overview'!C:C,'Requirement Overview'!I:I))</f>
        <v>Inside Sales Executive</v>
      </c>
      <c r="G469" s="476" t="str">
        <f>IF(ISBLANK(A469),"",_xlfn.XLOOKUP(A469,'Requirement Overview'!C:C,'Requirement Overview'!G:G))</f>
        <v>Peritas</v>
      </c>
      <c r="H469" s="702" t="s">
        <v>2170</v>
      </c>
      <c r="I469" s="702" t="s">
        <v>316</v>
      </c>
      <c r="J469" s="478" t="s">
        <v>2171</v>
      </c>
      <c r="K469" s="702">
        <v>9840129097</v>
      </c>
      <c r="L469" s="702" t="s">
        <v>311</v>
      </c>
      <c r="M469" s="702" t="s">
        <v>566</v>
      </c>
      <c r="N469" s="702" t="s">
        <v>2172</v>
      </c>
      <c r="O469" s="702" t="s">
        <v>2169</v>
      </c>
      <c r="P469" s="702" t="s">
        <v>294</v>
      </c>
      <c r="Q469" s="702" t="s">
        <v>294</v>
      </c>
      <c r="R469" s="702" t="s">
        <v>730</v>
      </c>
      <c r="S469" s="702" t="s">
        <v>270</v>
      </c>
      <c r="T469" s="702" t="s">
        <v>103</v>
      </c>
      <c r="U469" s="703">
        <v>46057</v>
      </c>
      <c r="V469" s="703">
        <v>46057</v>
      </c>
      <c r="W469" s="702"/>
      <c r="X469" s="702"/>
      <c r="Y469" s="702"/>
      <c r="Z469" s="702"/>
      <c r="AA469" s="702"/>
      <c r="AB469" s="702"/>
      <c r="AC469" s="702"/>
      <c r="AD469" s="702"/>
      <c r="AE469" s="108"/>
      <c r="AJ469" s="87"/>
      <c r="AK469" s="87"/>
      <c r="AL469" s="88"/>
      <c r="AM469" s="88"/>
      <c r="AN469" s="87"/>
      <c r="AO469" s="87"/>
      <c r="AS469" s="73"/>
      <c r="AT469" s="87"/>
    </row>
    <row r="470" spans="1:46" s="19" customFormat="1" ht="14.45">
      <c r="A470" s="80" t="s">
        <v>110</v>
      </c>
      <c r="B470" s="80" t="s">
        <v>520</v>
      </c>
      <c r="C470" s="129" t="str">
        <f>IF(ISBLANK(B470),"",_xlfn.XLOOKUP(B470,Recruiter!A:A,Recruiter!B:B))</f>
        <v>Narthana</v>
      </c>
      <c r="D470" s="129" t="str">
        <f>IF(ISBLANK(A470),"",_xlfn.XLOOKUP(A470,'Requirement Overview'!C:C,'Requirement Overview'!E:E))</f>
        <v>Talme</v>
      </c>
      <c r="E470" s="129" t="str">
        <f>IF(ISBLANK(A470),"",_xlfn.XLOOKUP(A470,'Requirement Overview'!C:C,'Requirement Overview'!H:H))</f>
        <v>IT</v>
      </c>
      <c r="F470" s="80" t="str">
        <f>IF(ISBLANK(A470),"",_xlfn.XLOOKUP(A470,'Requirement Overview'!C:C,'Requirement Overview'!I:I))</f>
        <v>Technical Lead - Mobile Development</v>
      </c>
      <c r="G470" s="255" t="str">
        <f>IF(ISBLANK(A470),"",_xlfn.XLOOKUP(A470,'Requirement Overview'!C:C,'Requirement Overview'!G:G))</f>
        <v>Semnox Solutions</v>
      </c>
      <c r="H470" s="313" t="s">
        <v>2173</v>
      </c>
      <c r="I470" s="612" t="s">
        <v>519</v>
      </c>
      <c r="J470" s="613" t="s">
        <v>2174</v>
      </c>
      <c r="K470" s="313">
        <v>9663785256</v>
      </c>
      <c r="L470" s="612" t="s">
        <v>305</v>
      </c>
      <c r="M470" s="313" t="s">
        <v>351</v>
      </c>
      <c r="N470" s="313" t="s">
        <v>2175</v>
      </c>
      <c r="O470" s="313" t="s">
        <v>2176</v>
      </c>
      <c r="P470" s="313" t="s">
        <v>1042</v>
      </c>
      <c r="Q470" s="313" t="s">
        <v>1183</v>
      </c>
      <c r="R470" s="313" t="s">
        <v>691</v>
      </c>
      <c r="S470" s="80" t="s">
        <v>601</v>
      </c>
      <c r="T470" s="80" t="s">
        <v>271</v>
      </c>
      <c r="U470" s="314">
        <v>46057</v>
      </c>
      <c r="V470" s="314">
        <v>46057</v>
      </c>
      <c r="W470" s="80"/>
      <c r="X470" s="80"/>
      <c r="Y470" s="80"/>
      <c r="Z470" s="80"/>
      <c r="AA470" s="80"/>
      <c r="AB470" s="80"/>
      <c r="AC470" s="80"/>
      <c r="AD470" s="80"/>
      <c r="AP470" s="84"/>
      <c r="AQ470" s="84"/>
      <c r="AR470" s="84"/>
      <c r="AS470" s="84"/>
    </row>
    <row r="471" spans="1:46" s="19" customFormat="1" ht="14.45">
      <c r="A471" s="19" t="s">
        <v>110</v>
      </c>
      <c r="B471" s="19" t="s">
        <v>520</v>
      </c>
      <c r="C471" s="84" t="str">
        <f>IF(ISBLANK(B471),"",_xlfn.XLOOKUP(B471,Recruiter!A:A,Recruiter!B:B))</f>
        <v>Narthana</v>
      </c>
      <c r="D471" s="84" t="str">
        <f>IF(ISBLANK(A471),"",_xlfn.XLOOKUP(A471,'Requirement Overview'!C:C,'Requirement Overview'!E:E))</f>
        <v>Talme</v>
      </c>
      <c r="E471" s="84" t="str">
        <f>IF(ISBLANK(A471),"",_xlfn.XLOOKUP(A471,'Requirement Overview'!C:C,'Requirement Overview'!H:H))</f>
        <v>IT</v>
      </c>
      <c r="F471" s="19" t="str">
        <f>IF(ISBLANK(A471),"",_xlfn.XLOOKUP(A471,'Requirement Overview'!C:C,'Requirement Overview'!I:I))</f>
        <v>Technical Lead - Mobile Development</v>
      </c>
      <c r="G471" s="58" t="str">
        <f>IF(ISBLANK(A471),"",_xlfn.XLOOKUP(A471,'Requirement Overview'!C:C,'Requirement Overview'!G:G))</f>
        <v>Semnox Solutions</v>
      </c>
      <c r="H471" s="92" t="s">
        <v>2177</v>
      </c>
      <c r="I471" s="177" t="s">
        <v>519</v>
      </c>
      <c r="J471" s="220" t="s">
        <v>2178</v>
      </c>
      <c r="K471" s="132">
        <v>8741903007</v>
      </c>
      <c r="L471" s="177" t="s">
        <v>378</v>
      </c>
      <c r="M471" s="92" t="s">
        <v>2179</v>
      </c>
      <c r="N471" s="92" t="s">
        <v>2180</v>
      </c>
      <c r="O471" s="92" t="s">
        <v>1145</v>
      </c>
      <c r="P471" s="92" t="s">
        <v>1670</v>
      </c>
      <c r="Q471" s="92" t="s">
        <v>1183</v>
      </c>
      <c r="R471" s="92" t="s">
        <v>2181</v>
      </c>
      <c r="S471" s="19" t="s">
        <v>601</v>
      </c>
      <c r="T471" s="19" t="s">
        <v>271</v>
      </c>
      <c r="U471" s="31">
        <v>46057</v>
      </c>
      <c r="V471" s="31">
        <v>46057</v>
      </c>
      <c r="AJ471" s="84"/>
      <c r="AK471" s="84"/>
      <c r="AL471" s="84"/>
      <c r="AM471" s="84"/>
      <c r="AN471" s="84"/>
      <c r="AO471" s="84"/>
      <c r="AT471" s="84"/>
    </row>
    <row r="472" spans="1:46" s="19" customFormat="1" ht="14.45">
      <c r="A472" s="19" t="s">
        <v>110</v>
      </c>
      <c r="B472" s="19" t="s">
        <v>520</v>
      </c>
      <c r="C472" s="84" t="str">
        <f>IF(ISBLANK(B472),"",_xlfn.XLOOKUP(B472,Recruiter!A:A,Recruiter!B:B))</f>
        <v>Narthana</v>
      </c>
      <c r="D472" s="84" t="str">
        <f>IF(ISBLANK(A472),"",_xlfn.XLOOKUP(A472,'Requirement Overview'!C:C,'Requirement Overview'!E:E))</f>
        <v>Talme</v>
      </c>
      <c r="E472" s="84" t="str">
        <f>IF(ISBLANK(A472),"",_xlfn.XLOOKUP(A472,'Requirement Overview'!C:C,'Requirement Overview'!H:H))</f>
        <v>IT</v>
      </c>
      <c r="F472" s="19" t="str">
        <f>IF(ISBLANK(A472),"",_xlfn.XLOOKUP(A472,'Requirement Overview'!C:C,'Requirement Overview'!I:I))</f>
        <v>Technical Lead - Mobile Development</v>
      </c>
      <c r="G472" s="58" t="str">
        <f>IF(ISBLANK(A472),"",_xlfn.XLOOKUP(A472,'Requirement Overview'!C:C,'Requirement Overview'!G:G))</f>
        <v>Semnox Solutions</v>
      </c>
      <c r="H472" s="92" t="s">
        <v>2182</v>
      </c>
      <c r="I472" s="177" t="s">
        <v>262</v>
      </c>
      <c r="J472" s="220" t="s">
        <v>2183</v>
      </c>
      <c r="K472" s="92">
        <v>6282315858</v>
      </c>
      <c r="L472" s="177" t="s">
        <v>378</v>
      </c>
      <c r="M472" s="92" t="s">
        <v>2184</v>
      </c>
      <c r="N472" s="92" t="s">
        <v>2185</v>
      </c>
      <c r="O472" s="92" t="s">
        <v>757</v>
      </c>
      <c r="P472" s="92" t="s">
        <v>1183</v>
      </c>
      <c r="Q472" s="92" t="s">
        <v>1183</v>
      </c>
      <c r="R472" s="92" t="s">
        <v>541</v>
      </c>
      <c r="S472" s="19" t="s">
        <v>601</v>
      </c>
      <c r="T472" s="19" t="s">
        <v>271</v>
      </c>
      <c r="U472" s="31">
        <v>46057</v>
      </c>
      <c r="V472" s="31">
        <v>46057</v>
      </c>
      <c r="AJ472" s="84"/>
      <c r="AK472" s="84"/>
      <c r="AL472" s="84"/>
      <c r="AM472" s="84"/>
      <c r="AN472" s="84"/>
      <c r="AO472" s="84"/>
      <c r="AP472" s="84"/>
      <c r="AQ472" s="84"/>
      <c r="AR472" s="84"/>
      <c r="AS472" s="84"/>
    </row>
    <row r="473" spans="1:46" s="19" customFormat="1" ht="14.45">
      <c r="A473" s="19" t="s">
        <v>122</v>
      </c>
      <c r="B473" s="19" t="s">
        <v>520</v>
      </c>
      <c r="C473" s="84" t="str">
        <f>IF(ISBLANK(B473),"",_xlfn.XLOOKUP(B473,Recruiter!A:A,Recruiter!B:B))</f>
        <v>Narthana</v>
      </c>
      <c r="D473" s="84" t="str">
        <f>IF(ISBLANK(A473),"",_xlfn.XLOOKUP(A473,'Requirement Overview'!C:C,'Requirement Overview'!E:E))</f>
        <v>Talme</v>
      </c>
      <c r="E473" s="84" t="str">
        <f>IF(ISBLANK(A473),"",_xlfn.XLOOKUP(A473,'Requirement Overview'!C:C,'Requirement Overview'!H:H))</f>
        <v>IT</v>
      </c>
      <c r="F473" s="19" t="str">
        <f>IF(ISBLANK(A473),"",_xlfn.XLOOKUP(A473,'Requirement Overview'!C:C,'Requirement Overview'!I:I))</f>
        <v>QA Analyst</v>
      </c>
      <c r="G473" s="59" t="str">
        <f>IF(ISBLANK(A473),"",_xlfn.XLOOKUP(A473,'Requirement Overview'!C:C,'Requirement Overview'!G:G))</f>
        <v>GNA</v>
      </c>
      <c r="H473" s="92" t="s">
        <v>2186</v>
      </c>
      <c r="I473" s="177" t="s">
        <v>2187</v>
      </c>
      <c r="J473" s="220" t="s">
        <v>2188</v>
      </c>
      <c r="K473" s="92">
        <v>8688065225</v>
      </c>
      <c r="L473" s="177" t="s">
        <v>404</v>
      </c>
      <c r="M473" s="92" t="s">
        <v>1284</v>
      </c>
      <c r="N473" s="92" t="s">
        <v>2189</v>
      </c>
      <c r="O473" s="92" t="s">
        <v>730</v>
      </c>
      <c r="P473" s="92" t="s">
        <v>268</v>
      </c>
      <c r="Q473" s="92" t="s">
        <v>268</v>
      </c>
      <c r="R473" s="92" t="s">
        <v>678</v>
      </c>
      <c r="S473" s="19" t="s">
        <v>601</v>
      </c>
      <c r="T473" s="19" t="s">
        <v>103</v>
      </c>
      <c r="U473" s="31">
        <v>46057</v>
      </c>
      <c r="V473" s="31">
        <v>46057</v>
      </c>
      <c r="AT473" s="84"/>
    </row>
    <row r="474" spans="1:46" s="19" customFormat="1" ht="14.45">
      <c r="A474" s="19" t="s">
        <v>122</v>
      </c>
      <c r="B474" s="19" t="s">
        <v>520</v>
      </c>
      <c r="C474" s="84" t="str">
        <f>IF(ISBLANK(B474),"",_xlfn.XLOOKUP(B474,Recruiter!A:A,Recruiter!B:B))</f>
        <v>Narthana</v>
      </c>
      <c r="D474" s="84" t="str">
        <f>IF(ISBLANK(A474),"",_xlfn.XLOOKUP(A474,'Requirement Overview'!C:C,'Requirement Overview'!E:E))</f>
        <v>Talme</v>
      </c>
      <c r="E474" s="84" t="str">
        <f>IF(ISBLANK(A474),"",_xlfn.XLOOKUP(A474,'Requirement Overview'!C:C,'Requirement Overview'!H:H))</f>
        <v>IT</v>
      </c>
      <c r="F474" s="19" t="str">
        <f>IF(ISBLANK(A474),"",_xlfn.XLOOKUP(A474,'Requirement Overview'!C:C,'Requirement Overview'!I:I))</f>
        <v>QA Analyst</v>
      </c>
      <c r="G474" s="59" t="str">
        <f>IF(ISBLANK(A474),"",_xlfn.XLOOKUP(A474,'Requirement Overview'!C:C,'Requirement Overview'!G:G))</f>
        <v>GNA</v>
      </c>
      <c r="H474" s="92" t="s">
        <v>2190</v>
      </c>
      <c r="I474" s="177" t="s">
        <v>1755</v>
      </c>
      <c r="J474" s="220" t="s">
        <v>2191</v>
      </c>
      <c r="K474" s="132">
        <v>8827942800</v>
      </c>
      <c r="L474" s="177" t="s">
        <v>305</v>
      </c>
      <c r="M474" s="92" t="s">
        <v>279</v>
      </c>
      <c r="N474" s="92" t="s">
        <v>653</v>
      </c>
      <c r="O474" s="92" t="s">
        <v>730</v>
      </c>
      <c r="P474" s="92" t="s">
        <v>268</v>
      </c>
      <c r="Q474" s="92" t="s">
        <v>268</v>
      </c>
      <c r="R474" s="92" t="s">
        <v>368</v>
      </c>
      <c r="S474" s="19" t="s">
        <v>601</v>
      </c>
      <c r="T474" s="19" t="s">
        <v>103</v>
      </c>
      <c r="U474" s="31">
        <v>46057</v>
      </c>
      <c r="V474" s="31">
        <v>46057</v>
      </c>
      <c r="AJ474" s="84"/>
      <c r="AK474" s="84"/>
      <c r="AL474" s="84"/>
      <c r="AM474" s="84"/>
      <c r="AN474" s="84"/>
      <c r="AO474" s="84"/>
      <c r="AP474" s="84"/>
      <c r="AQ474" s="84"/>
      <c r="AR474" s="84"/>
      <c r="AS474" s="84"/>
    </row>
    <row r="475" spans="1:46" s="19" customFormat="1" ht="14.45">
      <c r="A475" s="19" t="s">
        <v>122</v>
      </c>
      <c r="B475" s="19" t="s">
        <v>520</v>
      </c>
      <c r="C475" s="84" t="str">
        <f>IF(ISBLANK(B475),"",_xlfn.XLOOKUP(B475,Recruiter!A:A,Recruiter!B:B))</f>
        <v>Narthana</v>
      </c>
      <c r="D475" s="84" t="str">
        <f>IF(ISBLANK(A475),"",_xlfn.XLOOKUP(A475,'Requirement Overview'!C:C,'Requirement Overview'!E:E))</f>
        <v>Talme</v>
      </c>
      <c r="E475" s="84" t="str">
        <f>IF(ISBLANK(A475),"",_xlfn.XLOOKUP(A475,'Requirement Overview'!C:C,'Requirement Overview'!H:H))</f>
        <v>IT</v>
      </c>
      <c r="F475" s="19" t="str">
        <f>IF(ISBLANK(A475),"",_xlfn.XLOOKUP(A475,'Requirement Overview'!C:C,'Requirement Overview'!I:I))</f>
        <v>QA Analyst</v>
      </c>
      <c r="G475" s="58" t="str">
        <f>IF(ISBLANK(A475),"",_xlfn.XLOOKUP(A475,'Requirement Overview'!C:C,'Requirement Overview'!G:G))</f>
        <v>GNA</v>
      </c>
      <c r="H475" s="92" t="s">
        <v>2192</v>
      </c>
      <c r="I475" s="177" t="s">
        <v>2193</v>
      </c>
      <c r="J475" s="220" t="s">
        <v>2194</v>
      </c>
      <c r="K475" s="92">
        <v>9663405062</v>
      </c>
      <c r="L475" s="177" t="s">
        <v>350</v>
      </c>
      <c r="M475" s="92" t="s">
        <v>306</v>
      </c>
      <c r="N475" s="92" t="s">
        <v>2195</v>
      </c>
      <c r="O475" s="92" t="s">
        <v>295</v>
      </c>
      <c r="P475" s="92" t="s">
        <v>268</v>
      </c>
      <c r="Q475" s="92" t="s">
        <v>268</v>
      </c>
      <c r="R475" s="92" t="s">
        <v>373</v>
      </c>
      <c r="S475" s="19" t="s">
        <v>601</v>
      </c>
      <c r="T475" s="19" t="s">
        <v>103</v>
      </c>
      <c r="U475" s="31">
        <v>46057</v>
      </c>
      <c r="V475" s="31">
        <v>46057</v>
      </c>
      <c r="AP475" s="84"/>
      <c r="AQ475" s="84"/>
      <c r="AR475" s="84"/>
      <c r="AS475" s="84"/>
      <c r="AT475" s="84"/>
    </row>
    <row r="476" spans="1:46" s="19" customFormat="1" ht="14.45">
      <c r="A476" s="19" t="s">
        <v>122</v>
      </c>
      <c r="B476" s="19" t="s">
        <v>520</v>
      </c>
      <c r="C476" s="84" t="str">
        <f>IF(ISBLANK(B476),"",_xlfn.XLOOKUP(B476,Recruiter!A:A,Recruiter!B:B))</f>
        <v>Narthana</v>
      </c>
      <c r="D476" s="84" t="str">
        <f>IF(ISBLANK(A476),"",_xlfn.XLOOKUP(A476,'Requirement Overview'!C:C,'Requirement Overview'!E:E))</f>
        <v>Talme</v>
      </c>
      <c r="E476" s="84" t="str">
        <f>IF(ISBLANK(A476),"",_xlfn.XLOOKUP(A476,'Requirement Overview'!C:C,'Requirement Overview'!H:H))</f>
        <v>IT</v>
      </c>
      <c r="F476" s="19" t="str">
        <f>IF(ISBLANK(A476),"",_xlfn.XLOOKUP(A476,'Requirement Overview'!C:C,'Requirement Overview'!I:I))</f>
        <v>QA Analyst</v>
      </c>
      <c r="G476" s="58" t="str">
        <f>IF(ISBLANK(A476),"",_xlfn.XLOOKUP(A476,'Requirement Overview'!C:C,'Requirement Overview'!G:G))</f>
        <v>GNA</v>
      </c>
      <c r="H476" s="92" t="s">
        <v>2196</v>
      </c>
      <c r="I476" s="177" t="s">
        <v>2197</v>
      </c>
      <c r="J476" s="220" t="s">
        <v>2198</v>
      </c>
      <c r="K476" s="92">
        <v>7795709931</v>
      </c>
      <c r="L476" s="177" t="s">
        <v>311</v>
      </c>
      <c r="M476" s="92" t="s">
        <v>1029</v>
      </c>
      <c r="N476" s="92" t="s">
        <v>653</v>
      </c>
      <c r="O476" s="92" t="s">
        <v>2199</v>
      </c>
      <c r="P476" s="92" t="s">
        <v>268</v>
      </c>
      <c r="Q476" s="92" t="s">
        <v>268</v>
      </c>
      <c r="R476" s="92" t="s">
        <v>368</v>
      </c>
      <c r="S476" s="19" t="s">
        <v>601</v>
      </c>
      <c r="T476" s="19" t="s">
        <v>103</v>
      </c>
      <c r="U476" s="31">
        <v>46057</v>
      </c>
      <c r="V476" s="31">
        <v>46057</v>
      </c>
      <c r="AJ476" s="84"/>
      <c r="AK476" s="84"/>
      <c r="AL476" s="84"/>
      <c r="AM476" s="84"/>
      <c r="AN476" s="84"/>
      <c r="AO476" s="84"/>
      <c r="AT476" s="84"/>
    </row>
    <row r="477" spans="1:46" s="47" customFormat="1" ht="14.45">
      <c r="A477" s="51" t="s">
        <v>118</v>
      </c>
      <c r="B477" s="51" t="s">
        <v>236</v>
      </c>
      <c r="C477" s="88" t="str">
        <f>IF(ISBLANK(B477),"",_xlfn.XLOOKUP(B477,Recruiter!A:A,Recruiter!B:B))</f>
        <v>Pooja</v>
      </c>
      <c r="D477" s="88" t="str">
        <f>IF(ISBLANK(A477),"",_xlfn.XLOOKUP(A477,'Requirement Overview'!C:C,'Requirement Overview'!E:E))</f>
        <v>Talme</v>
      </c>
      <c r="E477" s="88" t="str">
        <f>IF(ISBLANK(A477),"",_xlfn.XLOOKUP(A477,'Requirement Overview'!C:C,'Requirement Overview'!H:H))</f>
        <v>IT</v>
      </c>
      <c r="F477" s="73" t="str">
        <f>IF(ISBLANK(A477),"",_xlfn.XLOOKUP(A477,'Requirement Overview'!C:C,'Requirement Overview'!I:I))</f>
        <v>Java Lead Analyst</v>
      </c>
      <c r="G477" s="62" t="str">
        <f>IF(ISBLANK(A477),"",_xlfn.XLOOKUP(A477,'Requirement Overview'!C:C,'Requirement Overview'!G:G))</f>
        <v>Thoughtfocus</v>
      </c>
      <c r="H477" s="544" t="s">
        <v>2200</v>
      </c>
      <c r="I477" s="63" t="s">
        <v>262</v>
      </c>
      <c r="J477" s="545" t="s">
        <v>2201</v>
      </c>
      <c r="K477" s="51">
        <v>9155671232</v>
      </c>
      <c r="L477" s="63" t="s">
        <v>311</v>
      </c>
      <c r="M477" s="50" t="s">
        <v>2202</v>
      </c>
      <c r="N477" s="50" t="s">
        <v>2203</v>
      </c>
      <c r="O477" s="50" t="s">
        <v>1189</v>
      </c>
      <c r="P477" s="50" t="s">
        <v>268</v>
      </c>
      <c r="Q477" s="50" t="s">
        <v>1557</v>
      </c>
      <c r="R477" s="50" t="s">
        <v>553</v>
      </c>
      <c r="S477" s="51" t="s">
        <v>470</v>
      </c>
      <c r="T477" s="51" t="s">
        <v>103</v>
      </c>
      <c r="U477" s="89">
        <v>46058</v>
      </c>
      <c r="V477" s="89">
        <v>46058</v>
      </c>
      <c r="W477" s="51"/>
      <c r="X477" s="51"/>
      <c r="Y477" s="51"/>
      <c r="Z477" s="51"/>
      <c r="AA477" s="51"/>
      <c r="AB477" s="51"/>
      <c r="AC477" s="51"/>
      <c r="AD477" s="51"/>
      <c r="AE477" s="24"/>
      <c r="AF477" s="24"/>
      <c r="AG477" s="24"/>
      <c r="AH477" s="24"/>
      <c r="AI477" s="24"/>
      <c r="AJ477" s="83"/>
      <c r="AK477" s="83"/>
      <c r="AL477" s="84"/>
      <c r="AM477" s="84"/>
      <c r="AN477" s="83"/>
      <c r="AO477" s="83"/>
      <c r="AP477" s="24"/>
      <c r="AQ477" s="24"/>
      <c r="AR477" s="24"/>
      <c r="AS477" s="19"/>
      <c r="AT477" s="83"/>
    </row>
    <row r="478" spans="1:46" ht="14.45">
      <c r="A478" s="702" t="s">
        <v>55</v>
      </c>
      <c r="B478" s="702" t="s">
        <v>258</v>
      </c>
      <c r="C478" s="487" t="str">
        <f>IF(ISBLANK(B478),"",_xlfn.XLOOKUP(B478,Recruiter!A:A,Recruiter!B:B))</f>
        <v>Bhoomika</v>
      </c>
      <c r="D478" s="487" t="str">
        <f>IF(ISBLANK(A478),"",_xlfn.XLOOKUP(A478,'Requirement Overview'!C:C,'Requirement Overview'!E:E))</f>
        <v>Talme</v>
      </c>
      <c r="E478" s="487" t="str">
        <f>IF(ISBLANK(A478),"",_xlfn.XLOOKUP(A478,'Requirement Overview'!C:C,'Requirement Overview'!H:H))</f>
        <v>Non - IT</v>
      </c>
      <c r="F478" s="476" t="str">
        <f>IF(ISBLANK(A478),"",_xlfn.XLOOKUP(A478,'Requirement Overview'!C:C,'Requirement Overview'!I:I))</f>
        <v>Inside Sales Executive</v>
      </c>
      <c r="G478" s="476" t="str">
        <f>IF(ISBLANK(A478),"",_xlfn.XLOOKUP(A478,'Requirement Overview'!C:C,'Requirement Overview'!G:G))</f>
        <v>Peritas</v>
      </c>
      <c r="H478" s="717" t="s">
        <v>2204</v>
      </c>
      <c r="I478" s="702" t="s">
        <v>316</v>
      </c>
      <c r="J478" s="478" t="s">
        <v>2205</v>
      </c>
      <c r="K478" s="702">
        <v>7411008013</v>
      </c>
      <c r="L478" s="702" t="s">
        <v>318</v>
      </c>
      <c r="M478" s="702" t="s">
        <v>306</v>
      </c>
      <c r="N478" s="702" t="s">
        <v>2206</v>
      </c>
      <c r="O478" s="702" t="s">
        <v>327</v>
      </c>
      <c r="P478" s="702" t="s">
        <v>294</v>
      </c>
      <c r="Q478" s="702" t="s">
        <v>294</v>
      </c>
      <c r="R478" s="702" t="s">
        <v>730</v>
      </c>
      <c r="S478" s="702" t="s">
        <v>270</v>
      </c>
      <c r="T478" s="476" t="s">
        <v>103</v>
      </c>
      <c r="U478" s="703">
        <v>46058</v>
      </c>
      <c r="V478" s="703">
        <v>46058</v>
      </c>
      <c r="W478" s="702"/>
      <c r="X478" s="702"/>
      <c r="Y478" s="702"/>
      <c r="Z478" s="702"/>
      <c r="AA478" s="702"/>
      <c r="AB478" s="702"/>
      <c r="AC478" s="702"/>
      <c r="AD478" s="702"/>
      <c r="AE478" s="46"/>
      <c r="AJ478" s="83"/>
      <c r="AK478" s="83"/>
      <c r="AL478" s="84"/>
      <c r="AM478" s="84"/>
      <c r="AN478" s="83"/>
      <c r="AO478" s="83"/>
      <c r="AT478" s="83"/>
    </row>
    <row r="479" spans="1:46" ht="14.45">
      <c r="A479" s="702" t="s">
        <v>55</v>
      </c>
      <c r="B479" s="702" t="s">
        <v>258</v>
      </c>
      <c r="C479" s="487" t="str">
        <f>IF(ISBLANK(B479),"",_xlfn.XLOOKUP(B479,Recruiter!A:A,Recruiter!B:B))</f>
        <v>Bhoomika</v>
      </c>
      <c r="D479" s="487" t="str">
        <f>IF(ISBLANK(A479),"",_xlfn.XLOOKUP(A479,'Requirement Overview'!C:C,'Requirement Overview'!E:E))</f>
        <v>Talme</v>
      </c>
      <c r="E479" s="487" t="str">
        <f>IF(ISBLANK(A479),"",_xlfn.XLOOKUP(A479,'Requirement Overview'!C:C,'Requirement Overview'!H:H))</f>
        <v>Non - IT</v>
      </c>
      <c r="F479" s="476" t="str">
        <f>IF(ISBLANK(A479),"",_xlfn.XLOOKUP(A479,'Requirement Overview'!C:C,'Requirement Overview'!I:I))</f>
        <v>Inside Sales Executive</v>
      </c>
      <c r="G479" s="476" t="str">
        <f>IF(ISBLANK(A479),"",_xlfn.XLOOKUP(A479,'Requirement Overview'!C:C,'Requirement Overview'!G:G))</f>
        <v>Peritas</v>
      </c>
      <c r="H479" s="702" t="s">
        <v>2207</v>
      </c>
      <c r="I479" s="702" t="s">
        <v>2208</v>
      </c>
      <c r="J479" s="478" t="s">
        <v>2209</v>
      </c>
      <c r="K479" s="702">
        <v>7032964179</v>
      </c>
      <c r="L479" s="702" t="s">
        <v>404</v>
      </c>
      <c r="M479" s="702" t="s">
        <v>306</v>
      </c>
      <c r="N479" s="702" t="s">
        <v>2210</v>
      </c>
      <c r="O479" s="702" t="s">
        <v>295</v>
      </c>
      <c r="P479" s="702" t="s">
        <v>879</v>
      </c>
      <c r="Q479" s="702" t="s">
        <v>294</v>
      </c>
      <c r="R479" s="702" t="s">
        <v>730</v>
      </c>
      <c r="S479" s="702" t="s">
        <v>270</v>
      </c>
      <c r="T479" s="476" t="s">
        <v>103</v>
      </c>
      <c r="U479" s="703">
        <v>46058</v>
      </c>
      <c r="V479" s="703">
        <v>46058</v>
      </c>
      <c r="W479" s="702"/>
      <c r="X479" s="702"/>
      <c r="Y479" s="702"/>
      <c r="Z479" s="702"/>
      <c r="AA479" s="702"/>
      <c r="AB479" s="702"/>
      <c r="AC479" s="702"/>
      <c r="AD479" s="702"/>
      <c r="AE479" s="46"/>
      <c r="AJ479" s="83"/>
      <c r="AK479" s="83"/>
      <c r="AL479" s="84"/>
      <c r="AM479" s="84"/>
      <c r="AN479" s="83"/>
      <c r="AO479" s="83"/>
      <c r="AP479" s="83"/>
      <c r="AQ479" s="83"/>
      <c r="AR479" s="83"/>
      <c r="AS479" s="84"/>
    </row>
    <row r="480" spans="1:46" ht="14.45">
      <c r="A480" s="702" t="s">
        <v>68</v>
      </c>
      <c r="B480" s="702" t="s">
        <v>258</v>
      </c>
      <c r="C480" s="487" t="str">
        <f>IF(ISBLANK(B480),"",_xlfn.XLOOKUP(B480,Recruiter!A:A,Recruiter!B:B))</f>
        <v>Bhoomika</v>
      </c>
      <c r="D480" s="487" t="str">
        <f>IF(ISBLANK(A480),"",_xlfn.XLOOKUP(A480,'Requirement Overview'!C:C,'Requirement Overview'!E:E))</f>
        <v>Talme</v>
      </c>
      <c r="E480" s="487" t="str">
        <f>IF(ISBLANK(A480),"",_xlfn.XLOOKUP(A480,'Requirement Overview'!C:C,'Requirement Overview'!H:H))</f>
        <v>Non - IT</v>
      </c>
      <c r="F480" s="476" t="str">
        <f>IF(ISBLANK(A480),"",_xlfn.XLOOKUP(A480,'Requirement Overview'!C:C,'Requirement Overview'!I:I))</f>
        <v>Associate Sales</v>
      </c>
      <c r="G480" s="702" t="str">
        <f>IF(ISBLANK(A480),"",_xlfn.XLOOKUP(A480,'Requirement Overview'!C:C,'Requirement Overview'!G:G))</f>
        <v>Avinashi Ads</v>
      </c>
      <c r="H480" s="702" t="s">
        <v>2211</v>
      </c>
      <c r="I480" s="702" t="s">
        <v>316</v>
      </c>
      <c r="J480" s="478" t="s">
        <v>2212</v>
      </c>
      <c r="K480" s="702">
        <v>9886588638</v>
      </c>
      <c r="L480" s="702" t="s">
        <v>421</v>
      </c>
      <c r="M480" s="702" t="s">
        <v>566</v>
      </c>
      <c r="N480" s="702" t="s">
        <v>2213</v>
      </c>
      <c r="O480" s="702" t="s">
        <v>622</v>
      </c>
      <c r="P480" s="702" t="s">
        <v>294</v>
      </c>
      <c r="Q480" s="702" t="s">
        <v>294</v>
      </c>
      <c r="R480" s="702" t="s">
        <v>327</v>
      </c>
      <c r="S480" s="702" t="s">
        <v>270</v>
      </c>
      <c r="T480" s="702" t="s">
        <v>103</v>
      </c>
      <c r="U480" s="703">
        <v>46058</v>
      </c>
      <c r="V480" s="703">
        <v>46058</v>
      </c>
      <c r="W480" s="702"/>
      <c r="X480" s="702"/>
      <c r="Y480" s="702"/>
      <c r="Z480" s="702"/>
      <c r="AA480" s="702"/>
      <c r="AB480" s="702"/>
      <c r="AC480" s="702"/>
      <c r="AD480" s="702"/>
      <c r="AE480" s="46"/>
      <c r="AT480" s="83"/>
    </row>
    <row r="481" spans="1:46" ht="14.45">
      <c r="A481" s="702" t="s">
        <v>61</v>
      </c>
      <c r="B481" s="702" t="s">
        <v>258</v>
      </c>
      <c r="C481" s="487" t="str">
        <f>IF(ISBLANK(B481),"",_xlfn.XLOOKUP(B481,Recruiter!A:A,Recruiter!B:B))</f>
        <v>Bhoomika</v>
      </c>
      <c r="D481" s="487" t="str">
        <f>IF(ISBLANK(A481),"",_xlfn.XLOOKUP(A481,'Requirement Overview'!C:C,'Requirement Overview'!E:E))</f>
        <v>Talme</v>
      </c>
      <c r="E481" s="487" t="str">
        <f>IF(ISBLANK(A481),"",_xlfn.XLOOKUP(A481,'Requirement Overview'!C:C,'Requirement Overview'!H:H))</f>
        <v>Non - IT</v>
      </c>
      <c r="F481" s="476" t="str">
        <f>IF(ISBLANK(A481),"",_xlfn.XLOOKUP(A481,'Requirement Overview'!C:C,'Requirement Overview'!I:I))</f>
        <v>Graphic Designer</v>
      </c>
      <c r="G481" s="702" t="str">
        <f>IF(ISBLANK(A481),"",_xlfn.XLOOKUP(A481,'Requirement Overview'!C:C,'Requirement Overview'!G:G))</f>
        <v>Avinashi Ads</v>
      </c>
      <c r="H481" s="470" t="s">
        <v>2214</v>
      </c>
      <c r="I481" s="702" t="s">
        <v>316</v>
      </c>
      <c r="J481" s="478" t="s">
        <v>2215</v>
      </c>
      <c r="K481" s="470">
        <v>8431111879</v>
      </c>
      <c r="L481" s="702" t="s">
        <v>318</v>
      </c>
      <c r="M481" s="702" t="s">
        <v>573</v>
      </c>
      <c r="N481" s="702" t="s">
        <v>574</v>
      </c>
      <c r="O481" s="702" t="s">
        <v>574</v>
      </c>
      <c r="P481" s="702" t="s">
        <v>1078</v>
      </c>
      <c r="Q481" s="702" t="s">
        <v>268</v>
      </c>
      <c r="R481" s="702" t="s">
        <v>623</v>
      </c>
      <c r="S481" s="702" t="s">
        <v>518</v>
      </c>
      <c r="T481" s="702" t="s">
        <v>271</v>
      </c>
      <c r="U481" s="703">
        <v>46058</v>
      </c>
      <c r="V481" s="703">
        <v>46058</v>
      </c>
      <c r="W481" s="702"/>
      <c r="X481" s="702"/>
      <c r="Y481" s="702"/>
      <c r="Z481" s="702"/>
      <c r="AA481" s="702"/>
      <c r="AB481" s="702"/>
      <c r="AC481" s="702"/>
      <c r="AD481" s="702"/>
      <c r="AE481" s="46"/>
      <c r="AJ481" s="83"/>
      <c r="AK481" s="83"/>
      <c r="AL481" s="84"/>
      <c r="AM481" s="84"/>
      <c r="AN481" s="83"/>
      <c r="AO481" s="83"/>
      <c r="AP481" s="83"/>
      <c r="AQ481" s="83"/>
      <c r="AR481" s="83"/>
      <c r="AS481" s="84"/>
    </row>
    <row r="482" spans="1:46" ht="14.45">
      <c r="A482" s="5" t="s">
        <v>118</v>
      </c>
      <c r="B482" s="5" t="s">
        <v>236</v>
      </c>
      <c r="C482" s="433" t="str">
        <f>IF(ISBLANK(B482),"",_xlfn.XLOOKUP(B482,Recruiter!A:A,Recruiter!B:B))</f>
        <v>Pooja</v>
      </c>
      <c r="D482" s="433" t="str">
        <f>IF(ISBLANK(A482),"",_xlfn.XLOOKUP(A482,'Requirement Overview'!C:C,'Requirement Overview'!E:E))</f>
        <v>Talme</v>
      </c>
      <c r="E482" s="433" t="str">
        <f>IF(ISBLANK(A482),"",_xlfn.XLOOKUP(A482,'Requirement Overview'!C:C,'Requirement Overview'!H:H))</f>
        <v>IT</v>
      </c>
      <c r="F482" s="434" t="str">
        <f>IF(ISBLANK(A482),"",_xlfn.XLOOKUP(A482,'Requirement Overview'!C:C,'Requirement Overview'!I:I))</f>
        <v>Java Lead Analyst</v>
      </c>
      <c r="G482" s="606" t="str">
        <f>IF(ISBLANK(A482),"",_xlfn.XLOOKUP(A482,'Requirement Overview'!C:C,'Requirement Overview'!G:G))</f>
        <v>Thoughtfocus</v>
      </c>
      <c r="H482" s="607" t="s">
        <v>2216</v>
      </c>
      <c r="I482" s="584" t="s">
        <v>2217</v>
      </c>
      <c r="J482" s="609" t="s">
        <v>2218</v>
      </c>
      <c r="K482" s="47">
        <v>8169956756</v>
      </c>
      <c r="L482" s="584" t="s">
        <v>311</v>
      </c>
      <c r="M482" s="5" t="s">
        <v>647</v>
      </c>
      <c r="N482" s="5" t="s">
        <v>2219</v>
      </c>
      <c r="O482" s="5" t="s">
        <v>553</v>
      </c>
      <c r="P482" s="5" t="s">
        <v>1374</v>
      </c>
      <c r="Q482" s="5" t="s">
        <v>1557</v>
      </c>
      <c r="R482" s="5" t="s">
        <v>2220</v>
      </c>
      <c r="S482" s="5" t="s">
        <v>470</v>
      </c>
      <c r="T482" s="5" t="s">
        <v>103</v>
      </c>
      <c r="U482" s="453">
        <v>46058</v>
      </c>
      <c r="V482" s="453">
        <v>46058</v>
      </c>
      <c r="W482" s="47"/>
      <c r="X482" s="47"/>
      <c r="Y482" s="47"/>
      <c r="Z482" s="47"/>
      <c r="AA482" s="47"/>
      <c r="AB482" s="47"/>
      <c r="AC482" s="47"/>
      <c r="AD482" s="47"/>
      <c r="AP482" s="83"/>
      <c r="AQ482" s="83"/>
      <c r="AR482" s="83"/>
      <c r="AS482" s="84"/>
      <c r="AT482" s="83"/>
    </row>
    <row r="483" spans="1:46" ht="14.45">
      <c r="A483" s="3" t="s">
        <v>118</v>
      </c>
      <c r="B483" s="3" t="s">
        <v>236</v>
      </c>
      <c r="C483" s="103" t="str">
        <f>IF(ISBLANK(B483),"",_xlfn.XLOOKUP(B483,Recruiter!A:A,Recruiter!B:B))</f>
        <v>Pooja</v>
      </c>
      <c r="D483" s="103" t="str">
        <f>IF(ISBLANK(A483),"",_xlfn.XLOOKUP(A483,'Requirement Overview'!C:C,'Requirement Overview'!E:E))</f>
        <v>Talme</v>
      </c>
      <c r="E483" s="103" t="str">
        <f>IF(ISBLANK(A483),"",_xlfn.XLOOKUP(A483,'Requirement Overview'!C:C,'Requirement Overview'!H:H))</f>
        <v>IT</v>
      </c>
      <c r="F483" s="77" t="str">
        <f>IF(ISBLANK(A483),"",_xlfn.XLOOKUP(A483,'Requirement Overview'!C:C,'Requirement Overview'!I:I))</f>
        <v>Java Lead Analyst</v>
      </c>
      <c r="G483" s="4" t="str">
        <f>IF(ISBLANK(A483),"",_xlfn.XLOOKUP(A483,'Requirement Overview'!C:C,'Requirement Overview'!G:G))</f>
        <v>Thoughtfocus</v>
      </c>
      <c r="H483" s="190" t="s">
        <v>2221</v>
      </c>
      <c r="I483" s="61" t="s">
        <v>497</v>
      </c>
      <c r="J483" s="210" t="s">
        <v>2222</v>
      </c>
      <c r="K483" s="24">
        <v>8619588428</v>
      </c>
      <c r="L483" s="61" t="s">
        <v>311</v>
      </c>
      <c r="M483" s="3" t="s">
        <v>2202</v>
      </c>
      <c r="N483" s="3" t="s">
        <v>2223</v>
      </c>
      <c r="O483" s="3" t="s">
        <v>2224</v>
      </c>
      <c r="P483" s="3" t="s">
        <v>2225</v>
      </c>
      <c r="Q483" s="3" t="s">
        <v>1557</v>
      </c>
      <c r="R483" s="3" t="s">
        <v>548</v>
      </c>
      <c r="S483" s="3" t="s">
        <v>470</v>
      </c>
      <c r="T483" s="3" t="s">
        <v>103</v>
      </c>
      <c r="U483" s="55">
        <v>46058</v>
      </c>
      <c r="V483" s="55">
        <v>46058</v>
      </c>
      <c r="AJ483" s="83"/>
      <c r="AK483" s="83"/>
      <c r="AL483" s="84"/>
      <c r="AM483" s="84"/>
      <c r="AN483" s="83"/>
      <c r="AO483" s="83"/>
      <c r="AT483" s="83"/>
    </row>
    <row r="484" spans="1:46" ht="14.45">
      <c r="A484" s="3" t="s">
        <v>118</v>
      </c>
      <c r="B484" s="3" t="s">
        <v>236</v>
      </c>
      <c r="C484" s="103" t="str">
        <f>IF(ISBLANK(B484),"",_xlfn.XLOOKUP(B484,Recruiter!A:A,Recruiter!B:B))</f>
        <v>Pooja</v>
      </c>
      <c r="D484" s="103" t="str">
        <f>IF(ISBLANK(A484),"",_xlfn.XLOOKUP(A484,'Requirement Overview'!C:C,'Requirement Overview'!E:E))</f>
        <v>Talme</v>
      </c>
      <c r="E484" s="103" t="str">
        <f>IF(ISBLANK(A484),"",_xlfn.XLOOKUP(A484,'Requirement Overview'!C:C,'Requirement Overview'!H:H))</f>
        <v>IT</v>
      </c>
      <c r="F484" s="77" t="str">
        <f>IF(ISBLANK(A484),"",_xlfn.XLOOKUP(A484,'Requirement Overview'!C:C,'Requirement Overview'!I:I))</f>
        <v>Java Lead Analyst</v>
      </c>
      <c r="G484" s="4" t="str">
        <f>IF(ISBLANK(A484),"",_xlfn.XLOOKUP(A484,'Requirement Overview'!C:C,'Requirement Overview'!G:G))</f>
        <v>Thoughtfocus</v>
      </c>
      <c r="H484" s="190" t="s">
        <v>2226</v>
      </c>
      <c r="I484" s="61" t="s">
        <v>519</v>
      </c>
      <c r="J484" s="210" t="s">
        <v>2227</v>
      </c>
      <c r="K484" s="24">
        <v>7972467601</v>
      </c>
      <c r="L484" s="61" t="s">
        <v>311</v>
      </c>
      <c r="M484" s="3" t="s">
        <v>2228</v>
      </c>
      <c r="N484" s="3" t="s">
        <v>415</v>
      </c>
      <c r="O484" s="3" t="s">
        <v>541</v>
      </c>
      <c r="P484" s="3" t="s">
        <v>569</v>
      </c>
      <c r="Q484" s="3" t="s">
        <v>1557</v>
      </c>
      <c r="R484" s="3" t="s">
        <v>474</v>
      </c>
      <c r="S484" s="3" t="s">
        <v>470</v>
      </c>
      <c r="T484" s="3" t="s">
        <v>103</v>
      </c>
      <c r="U484" s="55">
        <v>46058</v>
      </c>
      <c r="V484" s="55">
        <v>46058</v>
      </c>
      <c r="AP484" s="83"/>
      <c r="AQ484" s="83"/>
      <c r="AR484" s="83"/>
      <c r="AS484" s="84"/>
    </row>
    <row r="485" spans="1:46" ht="14.45">
      <c r="A485" s="3" t="s">
        <v>55</v>
      </c>
      <c r="B485" s="3" t="s">
        <v>236</v>
      </c>
      <c r="C485" s="103" t="str">
        <f>IF(ISBLANK(B485),"",_xlfn.XLOOKUP(B485,Recruiter!A:A,Recruiter!B:B))</f>
        <v>Pooja</v>
      </c>
      <c r="D485" s="103" t="str">
        <f>IF(ISBLANK(A485),"",_xlfn.XLOOKUP(A485,'Requirement Overview'!C:C,'Requirement Overview'!E:E))</f>
        <v>Talme</v>
      </c>
      <c r="E485" s="103" t="str">
        <f>IF(ISBLANK(A485),"",_xlfn.XLOOKUP(A485,'Requirement Overview'!C:C,'Requirement Overview'!H:H))</f>
        <v>Non - IT</v>
      </c>
      <c r="F485" s="77" t="str">
        <f>IF(ISBLANK(A485),"",_xlfn.XLOOKUP(A485,'Requirement Overview'!C:C,'Requirement Overview'!I:I))</f>
        <v>Inside Sales Executive</v>
      </c>
      <c r="G485" s="4" t="str">
        <f>IF(ISBLANK(A485),"",_xlfn.XLOOKUP(A485,'Requirement Overview'!C:C,'Requirement Overview'!G:G))</f>
        <v>Peritas</v>
      </c>
      <c r="H485" s="191" t="s">
        <v>2229</v>
      </c>
      <c r="I485" s="61"/>
      <c r="J485" s="210" t="s">
        <v>2230</v>
      </c>
      <c r="K485" s="24">
        <v>9668372639</v>
      </c>
      <c r="L485" s="61"/>
      <c r="M485" s="3"/>
      <c r="N485" s="3"/>
      <c r="O485" s="3"/>
      <c r="P485" s="3"/>
      <c r="Q485" s="3"/>
      <c r="R485" s="3"/>
      <c r="S485" s="3" t="s">
        <v>518</v>
      </c>
      <c r="T485" s="3" t="s">
        <v>103</v>
      </c>
      <c r="U485" s="55">
        <v>46058</v>
      </c>
      <c r="V485" s="55">
        <v>46058</v>
      </c>
      <c r="AJ485" s="83"/>
      <c r="AK485" s="83"/>
      <c r="AL485" s="84"/>
      <c r="AM485" s="84"/>
      <c r="AN485" s="83"/>
      <c r="AO485" s="83"/>
      <c r="AT485" s="83"/>
    </row>
    <row r="486" spans="1:46" ht="14.45">
      <c r="A486" s="3" t="s">
        <v>55</v>
      </c>
      <c r="B486" s="3" t="s">
        <v>236</v>
      </c>
      <c r="C486" s="103" t="str">
        <f>IF(ISBLANK(B486),"",_xlfn.XLOOKUP(B486,Recruiter!A:A,Recruiter!B:B))</f>
        <v>Pooja</v>
      </c>
      <c r="D486" s="103" t="str">
        <f>IF(ISBLANK(A486),"",_xlfn.XLOOKUP(A486,'Requirement Overview'!C:C,'Requirement Overview'!E:E))</f>
        <v>Talme</v>
      </c>
      <c r="E486" s="103" t="str">
        <f>IF(ISBLANK(A486),"",_xlfn.XLOOKUP(A486,'Requirement Overview'!C:C,'Requirement Overview'!H:H))</f>
        <v>Non - IT</v>
      </c>
      <c r="F486" s="77" t="str">
        <f>IF(ISBLANK(A486),"",_xlfn.XLOOKUP(A486,'Requirement Overview'!C:C,'Requirement Overview'!I:I))</f>
        <v>Inside Sales Executive</v>
      </c>
      <c r="G486" s="4" t="str">
        <f>IF(ISBLANK(A486),"",_xlfn.XLOOKUP(A486,'Requirement Overview'!C:C,'Requirement Overview'!G:G))</f>
        <v>Peritas</v>
      </c>
      <c r="H486" s="191" t="s">
        <v>2231</v>
      </c>
      <c r="I486" s="61"/>
      <c r="J486" s="210" t="s">
        <v>2232</v>
      </c>
      <c r="K486" s="24">
        <v>7033212808</v>
      </c>
      <c r="L486" s="61"/>
      <c r="M486" s="3"/>
      <c r="N486" s="3"/>
      <c r="O486" s="3"/>
      <c r="P486" s="3"/>
      <c r="Q486" s="3"/>
      <c r="R486" s="3"/>
      <c r="S486" s="3" t="s">
        <v>518</v>
      </c>
      <c r="T486" s="3" t="s">
        <v>103</v>
      </c>
      <c r="U486" s="55">
        <v>46058</v>
      </c>
      <c r="V486" s="55">
        <v>46058</v>
      </c>
      <c r="AJ486" s="83"/>
      <c r="AK486" s="83"/>
      <c r="AL486" s="84"/>
      <c r="AM486" s="84"/>
      <c r="AN486" s="83"/>
      <c r="AO486" s="83"/>
      <c r="AP486" s="83"/>
      <c r="AQ486" s="83"/>
      <c r="AR486" s="83"/>
      <c r="AS486" s="84"/>
    </row>
    <row r="487" spans="1:46" ht="14.45">
      <c r="A487" s="3" t="s">
        <v>55</v>
      </c>
      <c r="B487" s="3" t="s">
        <v>236</v>
      </c>
      <c r="C487" s="103" t="str">
        <f>IF(ISBLANK(B487),"",_xlfn.XLOOKUP(B487,Recruiter!A:A,Recruiter!B:B))</f>
        <v>Pooja</v>
      </c>
      <c r="D487" s="103" t="str">
        <f>IF(ISBLANK(A487),"",_xlfn.XLOOKUP(A487,'Requirement Overview'!C:C,'Requirement Overview'!E:E))</f>
        <v>Talme</v>
      </c>
      <c r="E487" s="103" t="str">
        <f>IF(ISBLANK(A487),"",_xlfn.XLOOKUP(A487,'Requirement Overview'!C:C,'Requirement Overview'!H:H))</f>
        <v>Non - IT</v>
      </c>
      <c r="F487" s="77" t="str">
        <f>IF(ISBLANK(A487),"",_xlfn.XLOOKUP(A487,'Requirement Overview'!C:C,'Requirement Overview'!I:I))</f>
        <v>Inside Sales Executive</v>
      </c>
      <c r="G487" s="4" t="str">
        <f>IF(ISBLANK(A487),"",_xlfn.XLOOKUP(A487,'Requirement Overview'!C:C,'Requirement Overview'!G:G))</f>
        <v>Peritas</v>
      </c>
      <c r="H487" s="191" t="s">
        <v>2233</v>
      </c>
      <c r="I487" s="61"/>
      <c r="J487" s="210" t="s">
        <v>2234</v>
      </c>
      <c r="K487" s="24">
        <v>8123942696</v>
      </c>
      <c r="L487" s="61"/>
      <c r="M487" s="3"/>
      <c r="N487" s="3"/>
      <c r="O487" s="3"/>
      <c r="P487" s="3"/>
      <c r="Q487" s="3"/>
      <c r="R487" s="3"/>
      <c r="S487" s="3" t="s">
        <v>612</v>
      </c>
      <c r="T487" s="3" t="s">
        <v>103</v>
      </c>
      <c r="U487" s="55">
        <v>46058</v>
      </c>
      <c r="V487" s="55">
        <v>46058</v>
      </c>
      <c r="AT487" s="83"/>
    </row>
    <row r="488" spans="1:46" ht="14.45">
      <c r="A488" s="3" t="s">
        <v>59</v>
      </c>
      <c r="B488" s="3" t="s">
        <v>236</v>
      </c>
      <c r="C488" s="103" t="str">
        <f>IF(ISBLANK(B488),"",_xlfn.XLOOKUP(B488,Recruiter!A:A,Recruiter!B:B))</f>
        <v>Pooja</v>
      </c>
      <c r="D488" s="103" t="str">
        <f>IF(ISBLANK(A488),"",_xlfn.XLOOKUP(A488,'Requirement Overview'!C:C,'Requirement Overview'!E:E))</f>
        <v>Talme</v>
      </c>
      <c r="E488" s="103" t="str">
        <f>IF(ISBLANK(A488),"",_xlfn.XLOOKUP(A488,'Requirement Overview'!C:C,'Requirement Overview'!H:H))</f>
        <v>Non - IT</v>
      </c>
      <c r="F488" s="77" t="str">
        <f>IF(ISBLANK(A488),"",_xlfn.XLOOKUP(A488,'Requirement Overview'!C:C,'Requirement Overview'!I:I))</f>
        <v>Field Sales Executive</v>
      </c>
      <c r="G488" s="4" t="str">
        <f>IF(ISBLANK(A488),"",_xlfn.XLOOKUP(A488,'Requirement Overview'!C:C,'Requirement Overview'!G:G))</f>
        <v>Peritas</v>
      </c>
      <c r="H488" s="191" t="s">
        <v>2235</v>
      </c>
      <c r="I488" s="61"/>
      <c r="J488" s="210" t="s">
        <v>2236</v>
      </c>
      <c r="K488" s="24">
        <v>8884562557</v>
      </c>
      <c r="L488" s="61"/>
      <c r="M488" s="3"/>
      <c r="N488" s="3"/>
      <c r="O488" s="3"/>
      <c r="P488" s="3"/>
      <c r="Q488" s="3"/>
      <c r="R488" s="3"/>
      <c r="S488" s="3" t="s">
        <v>612</v>
      </c>
      <c r="T488" s="3" t="s">
        <v>103</v>
      </c>
      <c r="U488" s="55">
        <v>46058</v>
      </c>
      <c r="V488" s="55">
        <v>46058</v>
      </c>
      <c r="AJ488" s="83"/>
      <c r="AK488" s="83"/>
      <c r="AL488" s="84"/>
      <c r="AM488" s="84"/>
      <c r="AN488" s="83"/>
      <c r="AO488" s="83"/>
      <c r="AP488" s="83"/>
      <c r="AQ488" s="83"/>
      <c r="AR488" s="83"/>
      <c r="AS488" s="84"/>
    </row>
    <row r="489" spans="1:46" ht="14.45">
      <c r="A489" s="3" t="s">
        <v>59</v>
      </c>
      <c r="B489" s="3" t="s">
        <v>236</v>
      </c>
      <c r="C489" s="103" t="str">
        <f>IF(ISBLANK(B489),"",_xlfn.XLOOKUP(B489,Recruiter!A:A,Recruiter!B:B))</f>
        <v>Pooja</v>
      </c>
      <c r="D489" s="103" t="str">
        <f>IF(ISBLANK(A489),"",_xlfn.XLOOKUP(A489,'Requirement Overview'!C:C,'Requirement Overview'!E:E))</f>
        <v>Talme</v>
      </c>
      <c r="E489" s="103" t="str">
        <f>IF(ISBLANK(A489),"",_xlfn.XLOOKUP(A489,'Requirement Overview'!C:C,'Requirement Overview'!H:H))</f>
        <v>Non - IT</v>
      </c>
      <c r="F489" s="77" t="str">
        <f>IF(ISBLANK(A489),"",_xlfn.XLOOKUP(A489,'Requirement Overview'!C:C,'Requirement Overview'!I:I))</f>
        <v>Field Sales Executive</v>
      </c>
      <c r="G489" s="4" t="str">
        <f>IF(ISBLANK(A489),"",_xlfn.XLOOKUP(A489,'Requirement Overview'!C:C,'Requirement Overview'!G:G))</f>
        <v>Peritas</v>
      </c>
      <c r="H489" s="191" t="s">
        <v>2237</v>
      </c>
      <c r="I489" s="61"/>
      <c r="J489" s="210" t="s">
        <v>2238</v>
      </c>
      <c r="K489" s="24">
        <v>9513147438</v>
      </c>
      <c r="L489" s="61"/>
      <c r="M489" s="3"/>
      <c r="N489" s="3"/>
      <c r="O489" s="3"/>
      <c r="P489" s="3"/>
      <c r="Q489" s="3"/>
      <c r="R489" s="3"/>
      <c r="S489" s="3" t="s">
        <v>518</v>
      </c>
      <c r="T489" s="3" t="s">
        <v>103</v>
      </c>
      <c r="U489" s="55">
        <v>46058</v>
      </c>
      <c r="V489" s="55">
        <v>46058</v>
      </c>
      <c r="AP489" s="83"/>
      <c r="AQ489" s="83"/>
      <c r="AR489" s="83"/>
      <c r="AS489" s="84"/>
      <c r="AT489" s="83"/>
    </row>
    <row r="490" spans="1:46" ht="14.45">
      <c r="A490" s="3" t="s">
        <v>55</v>
      </c>
      <c r="B490" s="3" t="s">
        <v>236</v>
      </c>
      <c r="C490" s="103" t="str">
        <f>IF(ISBLANK(B490),"",_xlfn.XLOOKUP(B490,Recruiter!A:A,Recruiter!B:B))</f>
        <v>Pooja</v>
      </c>
      <c r="D490" s="103" t="str">
        <f>IF(ISBLANK(A490),"",_xlfn.XLOOKUP(A490,'Requirement Overview'!C:C,'Requirement Overview'!E:E))</f>
        <v>Talme</v>
      </c>
      <c r="E490" s="103" t="str">
        <f>IF(ISBLANK(A490),"",_xlfn.XLOOKUP(A490,'Requirement Overview'!C:C,'Requirement Overview'!H:H))</f>
        <v>Non - IT</v>
      </c>
      <c r="F490" s="77" t="str">
        <f>IF(ISBLANK(A490),"",_xlfn.XLOOKUP(A490,'Requirement Overview'!C:C,'Requirement Overview'!I:I))</f>
        <v>Inside Sales Executive</v>
      </c>
      <c r="G490" s="4" t="str">
        <f>IF(ISBLANK(A490),"",_xlfn.XLOOKUP(A490,'Requirement Overview'!C:C,'Requirement Overview'!G:G))</f>
        <v>Peritas</v>
      </c>
      <c r="H490" s="191" t="s">
        <v>2239</v>
      </c>
      <c r="I490" s="61"/>
      <c r="J490" s="210" t="s">
        <v>2240</v>
      </c>
      <c r="K490" s="24">
        <v>7995439509</v>
      </c>
      <c r="L490" s="61"/>
      <c r="M490" s="3"/>
      <c r="N490" s="3"/>
      <c r="O490" s="3"/>
      <c r="P490" s="3"/>
      <c r="Q490" s="3"/>
      <c r="R490" s="3"/>
      <c r="S490" s="3" t="s">
        <v>518</v>
      </c>
      <c r="T490" s="3" t="s">
        <v>103</v>
      </c>
      <c r="U490" s="55">
        <v>46058</v>
      </c>
      <c r="V490" s="55">
        <v>46058</v>
      </c>
      <c r="AJ490" s="83"/>
      <c r="AK490" s="83"/>
      <c r="AL490" s="84"/>
      <c r="AM490" s="84"/>
      <c r="AN490" s="83"/>
      <c r="AO490" s="83"/>
      <c r="AT490" s="83"/>
    </row>
    <row r="491" spans="1:46" ht="14.45">
      <c r="A491" s="3" t="s">
        <v>55</v>
      </c>
      <c r="B491" s="3" t="s">
        <v>236</v>
      </c>
      <c r="C491" s="103" t="str">
        <f>IF(ISBLANK(B491),"",_xlfn.XLOOKUP(B491,Recruiter!A:A,Recruiter!B:B))</f>
        <v>Pooja</v>
      </c>
      <c r="D491" s="103" t="str">
        <f>IF(ISBLANK(A491),"",_xlfn.XLOOKUP(A491,'Requirement Overview'!C:C,'Requirement Overview'!E:E))</f>
        <v>Talme</v>
      </c>
      <c r="E491" s="103" t="str">
        <f>IF(ISBLANK(A491),"",_xlfn.XLOOKUP(A491,'Requirement Overview'!C:C,'Requirement Overview'!H:H))</f>
        <v>Non - IT</v>
      </c>
      <c r="F491" s="77" t="str">
        <f>IF(ISBLANK(A491),"",_xlfn.XLOOKUP(A491,'Requirement Overview'!C:C,'Requirement Overview'!I:I))</f>
        <v>Inside Sales Executive</v>
      </c>
      <c r="G491" s="4" t="str">
        <f>IF(ISBLANK(A491),"",_xlfn.XLOOKUP(A491,'Requirement Overview'!C:C,'Requirement Overview'!G:G))</f>
        <v>Peritas</v>
      </c>
      <c r="H491" s="191" t="s">
        <v>2241</v>
      </c>
      <c r="I491" s="61"/>
      <c r="J491" s="210" t="s">
        <v>2242</v>
      </c>
      <c r="K491" s="24">
        <v>9481352338</v>
      </c>
      <c r="L491" s="61"/>
      <c r="M491" s="3"/>
      <c r="N491" s="3"/>
      <c r="O491" s="3"/>
      <c r="P491" s="3"/>
      <c r="Q491" s="3"/>
      <c r="R491" s="3"/>
      <c r="S491" s="3" t="s">
        <v>518</v>
      </c>
      <c r="T491" s="3" t="s">
        <v>103</v>
      </c>
      <c r="U491" s="55">
        <v>46058</v>
      </c>
      <c r="V491" s="55">
        <v>46058</v>
      </c>
      <c r="AP491" s="83"/>
      <c r="AQ491" s="83"/>
      <c r="AR491" s="83"/>
      <c r="AS491" s="84"/>
    </row>
    <row r="492" spans="1:46" ht="14.45">
      <c r="A492" s="3" t="s">
        <v>55</v>
      </c>
      <c r="B492" s="3" t="s">
        <v>236</v>
      </c>
      <c r="C492" s="103" t="str">
        <f>IF(ISBLANK(B492),"",_xlfn.XLOOKUP(B492,Recruiter!A:A,Recruiter!B:B))</f>
        <v>Pooja</v>
      </c>
      <c r="D492" s="103" t="str">
        <f>IF(ISBLANK(A492),"",_xlfn.XLOOKUP(A492,'Requirement Overview'!C:C,'Requirement Overview'!E:E))</f>
        <v>Talme</v>
      </c>
      <c r="E492" s="103" t="str">
        <f>IF(ISBLANK(A492),"",_xlfn.XLOOKUP(A492,'Requirement Overview'!C:C,'Requirement Overview'!H:H))</f>
        <v>Non - IT</v>
      </c>
      <c r="F492" s="77" t="str">
        <f>IF(ISBLANK(A492),"",_xlfn.XLOOKUP(A492,'Requirement Overview'!C:C,'Requirement Overview'!I:I))</f>
        <v>Inside Sales Executive</v>
      </c>
      <c r="G492" s="4" t="str">
        <f>IF(ISBLANK(A492),"",_xlfn.XLOOKUP(A492,'Requirement Overview'!C:C,'Requirement Overview'!G:G))</f>
        <v>Peritas</v>
      </c>
      <c r="H492" s="191" t="s">
        <v>2243</v>
      </c>
      <c r="I492" s="61"/>
      <c r="J492" s="210" t="s">
        <v>2244</v>
      </c>
      <c r="K492" s="24">
        <v>9653093388</v>
      </c>
      <c r="L492" s="61"/>
      <c r="M492" s="3"/>
      <c r="N492" s="3"/>
      <c r="O492" s="3"/>
      <c r="P492" s="3"/>
      <c r="Q492" s="3"/>
      <c r="R492" s="3"/>
      <c r="S492" s="3" t="s">
        <v>518</v>
      </c>
      <c r="T492" s="3" t="s">
        <v>103</v>
      </c>
      <c r="U492" s="55">
        <v>46058</v>
      </c>
      <c r="V492" s="55">
        <v>46058</v>
      </c>
      <c r="AJ492" s="83"/>
      <c r="AK492" s="83"/>
      <c r="AL492" s="84"/>
      <c r="AM492" s="84"/>
      <c r="AN492" s="83"/>
      <c r="AO492" s="83"/>
      <c r="AT492" s="83"/>
    </row>
    <row r="493" spans="1:46" ht="14.45">
      <c r="A493" s="3" t="s">
        <v>55</v>
      </c>
      <c r="B493" s="3" t="s">
        <v>236</v>
      </c>
      <c r="C493" s="103" t="str">
        <f>IF(ISBLANK(B493),"",_xlfn.XLOOKUP(B493,Recruiter!A:A,Recruiter!B:B))</f>
        <v>Pooja</v>
      </c>
      <c r="D493" s="103" t="str">
        <f>IF(ISBLANK(A493),"",_xlfn.XLOOKUP(A493,'Requirement Overview'!C:C,'Requirement Overview'!E:E))</f>
        <v>Talme</v>
      </c>
      <c r="E493" s="103" t="str">
        <f>IF(ISBLANK(A493),"",_xlfn.XLOOKUP(A493,'Requirement Overview'!C:C,'Requirement Overview'!H:H))</f>
        <v>Non - IT</v>
      </c>
      <c r="F493" s="77" t="str">
        <f>IF(ISBLANK(A493),"",_xlfn.XLOOKUP(A493,'Requirement Overview'!C:C,'Requirement Overview'!I:I))</f>
        <v>Inside Sales Executive</v>
      </c>
      <c r="G493" s="4" t="str">
        <f>IF(ISBLANK(A493),"",_xlfn.XLOOKUP(A493,'Requirement Overview'!C:C,'Requirement Overview'!G:G))</f>
        <v>Peritas</v>
      </c>
      <c r="H493" s="191" t="s">
        <v>2170</v>
      </c>
      <c r="I493" s="61"/>
      <c r="J493" s="210" t="s">
        <v>2245</v>
      </c>
      <c r="K493" s="24">
        <v>9840129097</v>
      </c>
      <c r="L493" s="61"/>
      <c r="M493" s="3"/>
      <c r="N493" s="3"/>
      <c r="O493" s="3"/>
      <c r="P493" s="3"/>
      <c r="Q493" s="3"/>
      <c r="R493" s="3"/>
      <c r="S493" s="3" t="s">
        <v>518</v>
      </c>
      <c r="T493" s="3" t="s">
        <v>103</v>
      </c>
      <c r="U493" s="55">
        <v>46058</v>
      </c>
      <c r="V493" s="55">
        <v>46058</v>
      </c>
      <c r="AJ493" s="83"/>
      <c r="AK493" s="83"/>
      <c r="AL493" s="84"/>
      <c r="AM493" s="84"/>
      <c r="AN493" s="83"/>
      <c r="AO493" s="83"/>
      <c r="AP493" s="83"/>
      <c r="AQ493" s="83"/>
      <c r="AR493" s="83"/>
      <c r="AS493" s="84"/>
    </row>
    <row r="494" spans="1:46" ht="14.45">
      <c r="A494" s="3" t="s">
        <v>55</v>
      </c>
      <c r="B494" s="3" t="s">
        <v>236</v>
      </c>
      <c r="C494" s="103" t="str">
        <f>IF(ISBLANK(B494),"",_xlfn.XLOOKUP(B494,Recruiter!A:A,Recruiter!B:B))</f>
        <v>Pooja</v>
      </c>
      <c r="D494" s="103" t="str">
        <f>IF(ISBLANK(A494),"",_xlfn.XLOOKUP(A494,'Requirement Overview'!C:C,'Requirement Overview'!E:E))</f>
        <v>Talme</v>
      </c>
      <c r="E494" s="103" t="str">
        <f>IF(ISBLANK(A494),"",_xlfn.XLOOKUP(A494,'Requirement Overview'!C:C,'Requirement Overview'!H:H))</f>
        <v>Non - IT</v>
      </c>
      <c r="F494" s="77" t="str">
        <f>IF(ISBLANK(A494),"",_xlfn.XLOOKUP(A494,'Requirement Overview'!C:C,'Requirement Overview'!I:I))</f>
        <v>Inside Sales Executive</v>
      </c>
      <c r="G494" s="4" t="str">
        <f>IF(ISBLANK(A494),"",_xlfn.XLOOKUP(A494,'Requirement Overview'!C:C,'Requirement Overview'!G:G))</f>
        <v>Peritas</v>
      </c>
      <c r="H494" s="191" t="s">
        <v>2246</v>
      </c>
      <c r="I494" s="61"/>
      <c r="J494" s="210" t="s">
        <v>2247</v>
      </c>
      <c r="K494" s="24">
        <v>8123489501</v>
      </c>
      <c r="L494" s="61"/>
      <c r="M494" s="3"/>
      <c r="N494" s="3"/>
      <c r="O494" s="3"/>
      <c r="P494" s="3"/>
      <c r="Q494" s="3"/>
      <c r="R494" s="3"/>
      <c r="S494" s="3" t="s">
        <v>612</v>
      </c>
      <c r="T494" s="3" t="s">
        <v>103</v>
      </c>
      <c r="U494" s="55">
        <v>46058</v>
      </c>
      <c r="V494" s="55">
        <v>46058</v>
      </c>
      <c r="AT494" s="83"/>
    </row>
    <row r="495" spans="1:46" ht="14.45">
      <c r="A495" s="3" t="s">
        <v>55</v>
      </c>
      <c r="B495" s="3" t="s">
        <v>236</v>
      </c>
      <c r="C495" s="103" t="str">
        <f>IF(ISBLANK(B495),"",_xlfn.XLOOKUP(B495,Recruiter!A:A,Recruiter!B:B))</f>
        <v>Pooja</v>
      </c>
      <c r="D495" s="103" t="str">
        <f>IF(ISBLANK(A495),"",_xlfn.XLOOKUP(A495,'Requirement Overview'!C:C,'Requirement Overview'!E:E))</f>
        <v>Talme</v>
      </c>
      <c r="E495" s="103" t="str">
        <f>IF(ISBLANK(A495),"",_xlfn.XLOOKUP(A495,'Requirement Overview'!C:C,'Requirement Overview'!H:H))</f>
        <v>Non - IT</v>
      </c>
      <c r="F495" s="77" t="str">
        <f>IF(ISBLANK(A495),"",_xlfn.XLOOKUP(A495,'Requirement Overview'!C:C,'Requirement Overview'!I:I))</f>
        <v>Inside Sales Executive</v>
      </c>
      <c r="G495" s="4" t="str">
        <f>IF(ISBLANK(A495),"",_xlfn.XLOOKUP(A495,'Requirement Overview'!C:C,'Requirement Overview'!G:G))</f>
        <v>Peritas</v>
      </c>
      <c r="H495" s="191" t="s">
        <v>2248</v>
      </c>
      <c r="I495" s="61"/>
      <c r="J495" s="210" t="s">
        <v>2249</v>
      </c>
      <c r="K495" s="24">
        <v>8373882762</v>
      </c>
      <c r="L495" s="61"/>
      <c r="M495" s="3"/>
      <c r="N495" s="3"/>
      <c r="O495" s="3"/>
      <c r="P495" s="3"/>
      <c r="Q495" s="3"/>
      <c r="R495" s="3"/>
      <c r="S495" s="3" t="s">
        <v>612</v>
      </c>
      <c r="T495" s="3" t="s">
        <v>103</v>
      </c>
      <c r="U495" s="55">
        <v>46058</v>
      </c>
      <c r="V495" s="55">
        <v>46058</v>
      </c>
      <c r="AJ495" s="83"/>
      <c r="AK495" s="83"/>
      <c r="AL495" s="84"/>
      <c r="AM495" s="84"/>
      <c r="AN495" s="83"/>
      <c r="AO495" s="83"/>
      <c r="AP495" s="83"/>
      <c r="AQ495" s="83"/>
      <c r="AR495" s="83"/>
      <c r="AS495" s="84"/>
    </row>
    <row r="496" spans="1:46" ht="14.45">
      <c r="A496" s="3" t="s">
        <v>55</v>
      </c>
      <c r="B496" s="3" t="s">
        <v>236</v>
      </c>
      <c r="C496" s="103" t="str">
        <f>IF(ISBLANK(B496),"",_xlfn.XLOOKUP(B496,Recruiter!A:A,Recruiter!B:B))</f>
        <v>Pooja</v>
      </c>
      <c r="D496" s="103" t="str">
        <f>IF(ISBLANK(A496),"",_xlfn.XLOOKUP(A496,'Requirement Overview'!C:C,'Requirement Overview'!E:E))</f>
        <v>Talme</v>
      </c>
      <c r="E496" s="103" t="str">
        <f>IF(ISBLANK(A496),"",_xlfn.XLOOKUP(A496,'Requirement Overview'!C:C,'Requirement Overview'!H:H))</f>
        <v>Non - IT</v>
      </c>
      <c r="F496" s="77" t="str">
        <f>IF(ISBLANK(A496),"",_xlfn.XLOOKUP(A496,'Requirement Overview'!C:C,'Requirement Overview'!I:I))</f>
        <v>Inside Sales Executive</v>
      </c>
      <c r="G496" s="4" t="str">
        <f>IF(ISBLANK(A496),"",_xlfn.XLOOKUP(A496,'Requirement Overview'!C:C,'Requirement Overview'!G:G))</f>
        <v>Peritas</v>
      </c>
      <c r="H496" s="191" t="s">
        <v>2250</v>
      </c>
      <c r="I496" s="61"/>
      <c r="J496" s="210" t="s">
        <v>2251</v>
      </c>
      <c r="K496" s="24">
        <v>7780335760</v>
      </c>
      <c r="L496" s="61"/>
      <c r="M496" s="3"/>
      <c r="N496" s="3"/>
      <c r="O496" s="3"/>
      <c r="P496" s="3"/>
      <c r="Q496" s="3"/>
      <c r="R496" s="3"/>
      <c r="S496" s="3" t="s">
        <v>612</v>
      </c>
      <c r="T496" s="3" t="s">
        <v>103</v>
      </c>
      <c r="U496" s="55">
        <v>46058</v>
      </c>
      <c r="V496" s="55">
        <v>46058</v>
      </c>
      <c r="AP496" s="83"/>
      <c r="AQ496" s="83"/>
      <c r="AR496" s="83"/>
      <c r="AS496" s="84"/>
      <c r="AT496" s="83"/>
    </row>
    <row r="497" spans="1:46" ht="14.45">
      <c r="A497" s="3" t="s">
        <v>55</v>
      </c>
      <c r="B497" s="3" t="s">
        <v>236</v>
      </c>
      <c r="C497" s="103" t="str">
        <f>IF(ISBLANK(B497),"",_xlfn.XLOOKUP(B497,Recruiter!A:A,Recruiter!B:B))</f>
        <v>Pooja</v>
      </c>
      <c r="D497" s="103" t="str">
        <f>IF(ISBLANK(A497),"",_xlfn.XLOOKUP(A497,'Requirement Overview'!C:C,'Requirement Overview'!E:E))</f>
        <v>Talme</v>
      </c>
      <c r="E497" s="103" t="str">
        <f>IF(ISBLANK(A497),"",_xlfn.XLOOKUP(A497,'Requirement Overview'!C:C,'Requirement Overview'!H:H))</f>
        <v>Non - IT</v>
      </c>
      <c r="F497" s="77" t="str">
        <f>IF(ISBLANK(A497),"",_xlfn.XLOOKUP(A497,'Requirement Overview'!C:C,'Requirement Overview'!I:I))</f>
        <v>Inside Sales Executive</v>
      </c>
      <c r="G497" s="4" t="str">
        <f>IF(ISBLANK(A497),"",_xlfn.XLOOKUP(A497,'Requirement Overview'!C:C,'Requirement Overview'!G:G))</f>
        <v>Peritas</v>
      </c>
      <c r="H497" s="191" t="s">
        <v>2252</v>
      </c>
      <c r="I497" s="61"/>
      <c r="J497" s="210" t="s">
        <v>2253</v>
      </c>
      <c r="K497" s="24">
        <v>8903937644</v>
      </c>
      <c r="L497" s="61"/>
      <c r="M497" s="3"/>
      <c r="N497" s="3"/>
      <c r="O497" s="3"/>
      <c r="P497" s="3"/>
      <c r="Q497" s="3"/>
      <c r="R497" s="3"/>
      <c r="S497" s="3" t="s">
        <v>612</v>
      </c>
      <c r="T497" s="3" t="s">
        <v>103</v>
      </c>
      <c r="U497" s="55">
        <v>46058</v>
      </c>
      <c r="V497" s="55">
        <v>46058</v>
      </c>
      <c r="AJ497" s="83"/>
      <c r="AK497" s="83"/>
      <c r="AL497" s="84"/>
      <c r="AM497" s="84"/>
      <c r="AN497" s="83"/>
      <c r="AO497" s="83"/>
      <c r="AT497" s="83"/>
    </row>
    <row r="498" spans="1:46" ht="14.45">
      <c r="A498" s="3" t="s">
        <v>55</v>
      </c>
      <c r="B498" s="3" t="s">
        <v>236</v>
      </c>
      <c r="C498" s="103" t="str">
        <f>IF(ISBLANK(B498),"",_xlfn.XLOOKUP(B498,Recruiter!A:A,Recruiter!B:B))</f>
        <v>Pooja</v>
      </c>
      <c r="D498" s="103" t="str">
        <f>IF(ISBLANK(A498),"",_xlfn.XLOOKUP(A498,'Requirement Overview'!C:C,'Requirement Overview'!E:E))</f>
        <v>Talme</v>
      </c>
      <c r="E498" s="103" t="str">
        <f>IF(ISBLANK(A498),"",_xlfn.XLOOKUP(A498,'Requirement Overview'!C:C,'Requirement Overview'!H:H))</f>
        <v>Non - IT</v>
      </c>
      <c r="F498" s="77" t="str">
        <f>IF(ISBLANK(A498),"",_xlfn.XLOOKUP(A498,'Requirement Overview'!C:C,'Requirement Overview'!I:I))</f>
        <v>Inside Sales Executive</v>
      </c>
      <c r="G498" s="4" t="str">
        <f>IF(ISBLANK(A498),"",_xlfn.XLOOKUP(A498,'Requirement Overview'!C:C,'Requirement Overview'!G:G))</f>
        <v>Peritas</v>
      </c>
      <c r="H498" s="191" t="s">
        <v>2254</v>
      </c>
      <c r="I498" s="61"/>
      <c r="J498" s="210" t="s">
        <v>2255</v>
      </c>
      <c r="K498" s="24">
        <v>8839008905</v>
      </c>
      <c r="L498" s="61"/>
      <c r="M498" s="3"/>
      <c r="N498" s="3"/>
      <c r="O498" s="3"/>
      <c r="P498" s="3"/>
      <c r="Q498" s="3"/>
      <c r="R498" s="3"/>
      <c r="S498" s="3" t="s">
        <v>612</v>
      </c>
      <c r="T498" s="3" t="s">
        <v>103</v>
      </c>
      <c r="U498" s="55">
        <v>46058</v>
      </c>
      <c r="V498" s="55">
        <v>46058</v>
      </c>
    </row>
    <row r="499" spans="1:46" ht="14.45">
      <c r="A499" s="3" t="s">
        <v>55</v>
      </c>
      <c r="B499" s="3" t="s">
        <v>236</v>
      </c>
      <c r="C499" s="103" t="str">
        <f>IF(ISBLANK(B499),"",_xlfn.XLOOKUP(B499,Recruiter!A:A,Recruiter!B:B))</f>
        <v>Pooja</v>
      </c>
      <c r="D499" s="103" t="str">
        <f>IF(ISBLANK(A499),"",_xlfn.XLOOKUP(A499,'Requirement Overview'!C:C,'Requirement Overview'!E:E))</f>
        <v>Talme</v>
      </c>
      <c r="E499" s="103" t="str">
        <f>IF(ISBLANK(A499),"",_xlfn.XLOOKUP(A499,'Requirement Overview'!C:C,'Requirement Overview'!H:H))</f>
        <v>Non - IT</v>
      </c>
      <c r="F499" s="77" t="str">
        <f>IF(ISBLANK(A499),"",_xlfn.XLOOKUP(A499,'Requirement Overview'!C:C,'Requirement Overview'!I:I))</f>
        <v>Inside Sales Executive</v>
      </c>
      <c r="G499" s="4" t="str">
        <f>IF(ISBLANK(A499),"",_xlfn.XLOOKUP(A499,'Requirement Overview'!C:C,'Requirement Overview'!G:G))</f>
        <v>Peritas</v>
      </c>
      <c r="H499" s="191" t="s">
        <v>2256</v>
      </c>
      <c r="I499" s="61"/>
      <c r="J499" s="210" t="s">
        <v>2257</v>
      </c>
      <c r="K499" s="24">
        <v>9663590075</v>
      </c>
      <c r="L499" s="61"/>
      <c r="M499" s="3"/>
      <c r="N499" s="3"/>
      <c r="O499" s="3"/>
      <c r="P499" s="3"/>
      <c r="Q499" s="3"/>
      <c r="R499" s="3"/>
      <c r="S499" s="3" t="s">
        <v>612</v>
      </c>
      <c r="T499" s="3" t="s">
        <v>103</v>
      </c>
      <c r="U499" s="55">
        <v>46058</v>
      </c>
      <c r="V499" s="55">
        <v>46058</v>
      </c>
      <c r="AJ499" s="83"/>
      <c r="AK499" s="83"/>
      <c r="AL499" s="84"/>
      <c r="AM499" s="84"/>
      <c r="AN499" s="83"/>
      <c r="AO499" s="83"/>
    </row>
    <row r="500" spans="1:46" ht="14.45">
      <c r="A500" s="3" t="s">
        <v>55</v>
      </c>
      <c r="B500" s="3" t="s">
        <v>236</v>
      </c>
      <c r="C500" s="103" t="str">
        <f>IF(ISBLANK(B500),"",_xlfn.XLOOKUP(B500,Recruiter!A:A,Recruiter!B:B))</f>
        <v>Pooja</v>
      </c>
      <c r="D500" s="103" t="str">
        <f>IF(ISBLANK(A500),"",_xlfn.XLOOKUP(A500,'Requirement Overview'!C:C,'Requirement Overview'!E:E))</f>
        <v>Talme</v>
      </c>
      <c r="E500" s="103" t="str">
        <f>IF(ISBLANK(A500),"",_xlfn.XLOOKUP(A500,'Requirement Overview'!C:C,'Requirement Overview'!H:H))</f>
        <v>Non - IT</v>
      </c>
      <c r="F500" s="77" t="str">
        <f>IF(ISBLANK(A500),"",_xlfn.XLOOKUP(A500,'Requirement Overview'!C:C,'Requirement Overview'!I:I))</f>
        <v>Inside Sales Executive</v>
      </c>
      <c r="G500" s="4" t="str">
        <f>IF(ISBLANK(A500),"",_xlfn.XLOOKUP(A500,'Requirement Overview'!C:C,'Requirement Overview'!G:G))</f>
        <v>Peritas</v>
      </c>
      <c r="H500" s="191" t="s">
        <v>2258</v>
      </c>
      <c r="I500" s="61"/>
      <c r="J500" s="210" t="s">
        <v>2259</v>
      </c>
      <c r="K500" s="24">
        <v>7903889262</v>
      </c>
      <c r="L500" s="61"/>
      <c r="M500" s="3"/>
      <c r="N500" s="3"/>
      <c r="O500" s="3"/>
      <c r="P500" s="3"/>
      <c r="Q500" s="3"/>
      <c r="R500" s="3"/>
      <c r="S500" s="3" t="s">
        <v>518</v>
      </c>
      <c r="T500" s="3" t="s">
        <v>103</v>
      </c>
      <c r="U500" s="55">
        <v>46058</v>
      </c>
      <c r="V500" s="55">
        <v>46058</v>
      </c>
      <c r="AJ500" s="83"/>
      <c r="AK500" s="83"/>
      <c r="AL500" s="84"/>
      <c r="AM500" s="84"/>
      <c r="AN500" s="83"/>
      <c r="AO500" s="83"/>
    </row>
    <row r="501" spans="1:46" ht="14.45">
      <c r="A501" s="3" t="s">
        <v>55</v>
      </c>
      <c r="B501" s="3" t="s">
        <v>236</v>
      </c>
      <c r="C501" s="103" t="str">
        <f>IF(ISBLANK(B501),"",_xlfn.XLOOKUP(B501,Recruiter!A:A,Recruiter!B:B))</f>
        <v>Pooja</v>
      </c>
      <c r="D501" s="103" t="str">
        <f>IF(ISBLANK(A501),"",_xlfn.XLOOKUP(A501,'Requirement Overview'!C:C,'Requirement Overview'!E:E))</f>
        <v>Talme</v>
      </c>
      <c r="E501" s="103" t="str">
        <f>IF(ISBLANK(A501),"",_xlfn.XLOOKUP(A501,'Requirement Overview'!C:C,'Requirement Overview'!H:H))</f>
        <v>Non - IT</v>
      </c>
      <c r="F501" s="77" t="str">
        <f>IF(ISBLANK(A501),"",_xlfn.XLOOKUP(A501,'Requirement Overview'!C:C,'Requirement Overview'!I:I))</f>
        <v>Inside Sales Executive</v>
      </c>
      <c r="G501" s="4" t="str">
        <f>IF(ISBLANK(A501),"",_xlfn.XLOOKUP(A501,'Requirement Overview'!C:C,'Requirement Overview'!G:G))</f>
        <v>Peritas</v>
      </c>
      <c r="H501" s="191" t="s">
        <v>2260</v>
      </c>
      <c r="I501" s="61"/>
      <c r="J501" s="210" t="s">
        <v>2261</v>
      </c>
      <c r="K501" s="24">
        <v>8884182116</v>
      </c>
      <c r="L501" s="61"/>
      <c r="M501" s="3"/>
      <c r="N501" s="3"/>
      <c r="O501" s="3"/>
      <c r="P501" s="3"/>
      <c r="Q501" s="3"/>
      <c r="R501" s="3"/>
      <c r="S501" s="3" t="s">
        <v>518</v>
      </c>
      <c r="T501" s="3" t="s">
        <v>103</v>
      </c>
      <c r="U501" s="55">
        <v>46058</v>
      </c>
      <c r="V501" s="55">
        <v>46058</v>
      </c>
    </row>
    <row r="502" spans="1:46" ht="14.45">
      <c r="A502" s="3" t="s">
        <v>55</v>
      </c>
      <c r="B502" s="3" t="s">
        <v>236</v>
      </c>
      <c r="C502" s="103" t="str">
        <f>IF(ISBLANK(B502),"",_xlfn.XLOOKUP(B502,Recruiter!A:A,Recruiter!B:B))</f>
        <v>Pooja</v>
      </c>
      <c r="D502" s="103" t="str">
        <f>IF(ISBLANK(A502),"",_xlfn.XLOOKUP(A502,'Requirement Overview'!C:C,'Requirement Overview'!E:E))</f>
        <v>Talme</v>
      </c>
      <c r="E502" s="103" t="str">
        <f>IF(ISBLANK(A502),"",_xlfn.XLOOKUP(A502,'Requirement Overview'!C:C,'Requirement Overview'!H:H))</f>
        <v>Non - IT</v>
      </c>
      <c r="F502" s="77" t="str">
        <f>IF(ISBLANK(A502),"",_xlfn.XLOOKUP(A502,'Requirement Overview'!C:C,'Requirement Overview'!I:I))</f>
        <v>Inside Sales Executive</v>
      </c>
      <c r="G502" s="4" t="str">
        <f>IF(ISBLANK(A502),"",_xlfn.XLOOKUP(A502,'Requirement Overview'!C:C,'Requirement Overview'!G:G))</f>
        <v>Peritas</v>
      </c>
      <c r="H502" s="191" t="s">
        <v>2262</v>
      </c>
      <c r="I502" s="61"/>
      <c r="J502" s="210" t="s">
        <v>2263</v>
      </c>
      <c r="K502" s="24">
        <v>8088401620</v>
      </c>
      <c r="L502" s="61"/>
      <c r="M502" s="3"/>
      <c r="N502" s="3"/>
      <c r="O502" s="3"/>
      <c r="P502" s="3"/>
      <c r="Q502" s="3"/>
      <c r="R502" s="3"/>
      <c r="S502" s="3" t="s">
        <v>518</v>
      </c>
      <c r="T502" s="3" t="s">
        <v>103</v>
      </c>
      <c r="U502" s="55">
        <v>46058</v>
      </c>
      <c r="V502" s="55">
        <v>46058</v>
      </c>
    </row>
    <row r="503" spans="1:46" ht="14.45">
      <c r="A503" s="3" t="s">
        <v>55</v>
      </c>
      <c r="B503" s="3" t="s">
        <v>236</v>
      </c>
      <c r="C503" s="103" t="str">
        <f>IF(ISBLANK(B503),"",_xlfn.XLOOKUP(B503,Recruiter!A:A,Recruiter!B:B))</f>
        <v>Pooja</v>
      </c>
      <c r="D503" s="103" t="str">
        <f>IF(ISBLANK(A503),"",_xlfn.XLOOKUP(A503,'Requirement Overview'!C:C,'Requirement Overview'!E:E))</f>
        <v>Talme</v>
      </c>
      <c r="E503" s="103" t="str">
        <f>IF(ISBLANK(A503),"",_xlfn.XLOOKUP(A503,'Requirement Overview'!C:C,'Requirement Overview'!H:H))</f>
        <v>Non - IT</v>
      </c>
      <c r="F503" s="77" t="str">
        <f>IF(ISBLANK(A503),"",_xlfn.XLOOKUP(A503,'Requirement Overview'!C:C,'Requirement Overview'!I:I))</f>
        <v>Inside Sales Executive</v>
      </c>
      <c r="G503" s="4" t="str">
        <f>IF(ISBLANK(A503),"",_xlfn.XLOOKUP(A503,'Requirement Overview'!C:C,'Requirement Overview'!G:G))</f>
        <v>Peritas</v>
      </c>
      <c r="H503" s="191" t="s">
        <v>2264</v>
      </c>
      <c r="I503" s="61"/>
      <c r="J503" s="210" t="s">
        <v>2265</v>
      </c>
      <c r="K503" s="24">
        <v>7086809161</v>
      </c>
      <c r="L503" s="61"/>
      <c r="M503" s="3"/>
      <c r="N503" s="3"/>
      <c r="O503" s="3"/>
      <c r="P503" s="3"/>
      <c r="Q503" s="3"/>
      <c r="R503" s="3"/>
      <c r="S503" s="3" t="s">
        <v>518</v>
      </c>
      <c r="T503" s="3" t="s">
        <v>103</v>
      </c>
      <c r="U503" s="55">
        <v>46058</v>
      </c>
      <c r="V503" s="55">
        <v>46058</v>
      </c>
    </row>
    <row r="504" spans="1:46" ht="14.45">
      <c r="A504" s="3" t="s">
        <v>55</v>
      </c>
      <c r="B504" s="3" t="s">
        <v>236</v>
      </c>
      <c r="C504" s="103" t="str">
        <f>IF(ISBLANK(B504),"",_xlfn.XLOOKUP(B504,Recruiter!A:A,Recruiter!B:B))</f>
        <v>Pooja</v>
      </c>
      <c r="D504" s="103" t="str">
        <f>IF(ISBLANK(A504),"",_xlfn.XLOOKUP(A504,'Requirement Overview'!C:C,'Requirement Overview'!E:E))</f>
        <v>Talme</v>
      </c>
      <c r="E504" s="103" t="str">
        <f>IF(ISBLANK(A504),"",_xlfn.XLOOKUP(A504,'Requirement Overview'!C:C,'Requirement Overview'!H:H))</f>
        <v>Non - IT</v>
      </c>
      <c r="F504" s="77" t="str">
        <f>IF(ISBLANK(A504),"",_xlfn.XLOOKUP(A504,'Requirement Overview'!C:C,'Requirement Overview'!I:I))</f>
        <v>Inside Sales Executive</v>
      </c>
      <c r="G504" s="4" t="str">
        <f>IF(ISBLANK(A504),"",_xlfn.XLOOKUP(A504,'Requirement Overview'!C:C,'Requirement Overview'!G:G))</f>
        <v>Peritas</v>
      </c>
      <c r="H504" s="191" t="s">
        <v>2266</v>
      </c>
      <c r="I504" s="61"/>
      <c r="J504" s="210" t="s">
        <v>2267</v>
      </c>
      <c r="K504" s="24">
        <v>9344278314</v>
      </c>
      <c r="L504" s="61"/>
      <c r="M504" s="3"/>
      <c r="N504" s="3"/>
      <c r="O504" s="3"/>
      <c r="P504" s="3"/>
      <c r="Q504" s="3"/>
      <c r="R504" s="3"/>
      <c r="S504" s="3" t="s">
        <v>518</v>
      </c>
      <c r="T504" s="3" t="s">
        <v>103</v>
      </c>
      <c r="U504" s="55">
        <v>46058</v>
      </c>
      <c r="V504" s="55">
        <v>46058</v>
      </c>
    </row>
    <row r="505" spans="1:46" ht="14.45">
      <c r="A505" s="3" t="s">
        <v>55</v>
      </c>
      <c r="B505" s="3" t="s">
        <v>236</v>
      </c>
      <c r="C505" s="103" t="str">
        <f>IF(ISBLANK(B505),"",_xlfn.XLOOKUP(B505,Recruiter!A:A,Recruiter!B:B))</f>
        <v>Pooja</v>
      </c>
      <c r="D505" s="103" t="str">
        <f>IF(ISBLANK(A505),"",_xlfn.XLOOKUP(A505,'Requirement Overview'!C:C,'Requirement Overview'!E:E))</f>
        <v>Talme</v>
      </c>
      <c r="E505" s="103" t="str">
        <f>IF(ISBLANK(A505),"",_xlfn.XLOOKUP(A505,'Requirement Overview'!C:C,'Requirement Overview'!H:H))</f>
        <v>Non - IT</v>
      </c>
      <c r="F505" s="77" t="str">
        <f>IF(ISBLANK(A505),"",_xlfn.XLOOKUP(A505,'Requirement Overview'!C:C,'Requirement Overview'!I:I))</f>
        <v>Inside Sales Executive</v>
      </c>
      <c r="G505" s="4" t="str">
        <f>IF(ISBLANK(A505),"",_xlfn.XLOOKUP(A505,'Requirement Overview'!C:C,'Requirement Overview'!G:G))</f>
        <v>Peritas</v>
      </c>
      <c r="H505" s="191" t="s">
        <v>2268</v>
      </c>
      <c r="I505" s="61"/>
      <c r="J505" s="210" t="s">
        <v>2269</v>
      </c>
      <c r="K505" s="24">
        <v>9679212264</v>
      </c>
      <c r="L505" s="61"/>
      <c r="M505" s="3"/>
      <c r="N505" s="3"/>
      <c r="O505" s="3"/>
      <c r="P505" s="3"/>
      <c r="Q505" s="3"/>
      <c r="R505" s="3"/>
      <c r="S505" s="3" t="s">
        <v>518</v>
      </c>
      <c r="T505" s="3" t="s">
        <v>103</v>
      </c>
      <c r="U505" s="55">
        <v>46058</v>
      </c>
      <c r="V505" s="55">
        <v>46058</v>
      </c>
    </row>
    <row r="506" spans="1:46" ht="14.45">
      <c r="A506" s="3" t="s">
        <v>118</v>
      </c>
      <c r="B506" s="3" t="s">
        <v>340</v>
      </c>
      <c r="C506" s="103" t="str">
        <f>IF(ISBLANK(B506),"",_xlfn.XLOOKUP(B506,Recruiter!A:A,Recruiter!B:B))</f>
        <v>Harshitha</v>
      </c>
      <c r="D506" s="103" t="str">
        <f>IF(ISBLANK(A506),"",_xlfn.XLOOKUP(A506,'Requirement Overview'!C:C,'Requirement Overview'!E:E))</f>
        <v>Talme</v>
      </c>
      <c r="E506" s="103" t="str">
        <f>IF(ISBLANK(A506),"",_xlfn.XLOOKUP(A506,'Requirement Overview'!C:C,'Requirement Overview'!H:H))</f>
        <v>IT</v>
      </c>
      <c r="F506" s="77" t="str">
        <f>IF(ISBLANK(A506),"",_xlfn.XLOOKUP(A506,'Requirement Overview'!C:C,'Requirement Overview'!I:I))</f>
        <v>Java Lead Analyst</v>
      </c>
      <c r="G506" s="4" t="str">
        <f>IF(ISBLANK(A506),"",_xlfn.XLOOKUP(A506,'Requirement Overview'!C:C,'Requirement Overview'!G:G))</f>
        <v>Thoughtfocus</v>
      </c>
      <c r="H506" s="187" t="s">
        <v>2270</v>
      </c>
      <c r="I506" s="61" t="s">
        <v>519</v>
      </c>
      <c r="J506" s="212" t="s">
        <v>2271</v>
      </c>
      <c r="K506" s="256">
        <v>9643595785</v>
      </c>
      <c r="L506" s="170" t="s">
        <v>378</v>
      </c>
      <c r="M506" s="44" t="s">
        <v>395</v>
      </c>
      <c r="N506" s="126" t="s">
        <v>2272</v>
      </c>
      <c r="O506" s="44" t="s">
        <v>1302</v>
      </c>
      <c r="P506" s="44" t="s">
        <v>2273</v>
      </c>
      <c r="Q506" s="44" t="s">
        <v>1557</v>
      </c>
      <c r="R506" s="44" t="s">
        <v>548</v>
      </c>
      <c r="S506" s="3" t="s">
        <v>601</v>
      </c>
      <c r="T506" s="3" t="s">
        <v>103</v>
      </c>
      <c r="U506" s="55">
        <v>46058</v>
      </c>
      <c r="V506" s="55">
        <v>46058</v>
      </c>
    </row>
    <row r="507" spans="1:46" ht="14.45">
      <c r="A507" s="24" t="s">
        <v>118</v>
      </c>
      <c r="B507" s="24" t="s">
        <v>340</v>
      </c>
      <c r="C507" s="84" t="str">
        <f>IF(ISBLANK(B507),"",_xlfn.XLOOKUP(B507,Recruiter!A:A,Recruiter!B:B))</f>
        <v>Harshitha</v>
      </c>
      <c r="D507" s="84" t="str">
        <f>IF(ISBLANK(A507),"",_xlfn.XLOOKUP(A507,'Requirement Overview'!C:C,'Requirement Overview'!E:E))</f>
        <v>Talme</v>
      </c>
      <c r="E507" s="84" t="str">
        <f>IF(ISBLANK(A507),"",_xlfn.XLOOKUP(A507,'Requirement Overview'!C:C,'Requirement Overview'!H:H))</f>
        <v>IT</v>
      </c>
      <c r="F507" s="19" t="str">
        <f>IF(ISBLANK(A507),"",_xlfn.XLOOKUP(A507,'Requirement Overview'!C:C,'Requirement Overview'!I:I))</f>
        <v>Java Lead Analyst</v>
      </c>
      <c r="G507" s="58" t="str">
        <f>IF(ISBLANK(A507),"",_xlfn.XLOOKUP(A507,'Requirement Overview'!C:C,'Requirement Overview'!G:G))</f>
        <v>Thoughtfocus</v>
      </c>
      <c r="H507" s="187" t="s">
        <v>2274</v>
      </c>
      <c r="I507" s="46" t="s">
        <v>519</v>
      </c>
      <c r="J507" s="212" t="s">
        <v>2275</v>
      </c>
      <c r="K507" s="256">
        <v>8805060336</v>
      </c>
      <c r="L507" s="170" t="s">
        <v>305</v>
      </c>
      <c r="M507" s="44" t="s">
        <v>2276</v>
      </c>
      <c r="N507" s="126" t="s">
        <v>2277</v>
      </c>
      <c r="O507" s="44" t="s">
        <v>2278</v>
      </c>
      <c r="P507" s="44" t="s">
        <v>1724</v>
      </c>
      <c r="Q507" s="44" t="s">
        <v>1557</v>
      </c>
      <c r="R507" s="44" t="s">
        <v>1653</v>
      </c>
      <c r="S507" s="24" t="s">
        <v>601</v>
      </c>
      <c r="T507" s="3" t="s">
        <v>103</v>
      </c>
      <c r="U507" s="55">
        <v>46058</v>
      </c>
      <c r="V507" s="55">
        <v>46058</v>
      </c>
    </row>
    <row r="508" spans="1:46" ht="14.45">
      <c r="A508" s="24" t="s">
        <v>118</v>
      </c>
      <c r="B508" s="24" t="s">
        <v>520</v>
      </c>
      <c r="C508" s="84" t="str">
        <f>IF(ISBLANK(B508),"",_xlfn.XLOOKUP(B508,Recruiter!A:A,Recruiter!B:B))</f>
        <v>Narthana</v>
      </c>
      <c r="D508" s="84" t="str">
        <f>IF(ISBLANK(A508),"",_xlfn.XLOOKUP(A508,'Requirement Overview'!C:C,'Requirement Overview'!E:E))</f>
        <v>Talme</v>
      </c>
      <c r="E508" s="84" t="str">
        <f>IF(ISBLANK(A508),"",_xlfn.XLOOKUP(A508,'Requirement Overview'!C:C,'Requirement Overview'!H:H))</f>
        <v>IT</v>
      </c>
      <c r="F508" s="19" t="str">
        <f>IF(ISBLANK(A508),"",_xlfn.XLOOKUP(A508,'Requirement Overview'!C:C,'Requirement Overview'!I:I))</f>
        <v>Java Lead Analyst</v>
      </c>
      <c r="G508" s="58" t="str">
        <f>IF(ISBLANK(A508),"",_xlfn.XLOOKUP(A508,'Requirement Overview'!C:C,'Requirement Overview'!G:G))</f>
        <v>Thoughtfocus</v>
      </c>
      <c r="H508" s="24" t="s">
        <v>2279</v>
      </c>
      <c r="I508" s="46"/>
      <c r="J508" s="59"/>
      <c r="K508" s="24">
        <v>9967131500</v>
      </c>
      <c r="L508" s="46"/>
      <c r="S508" s="24" t="s">
        <v>612</v>
      </c>
      <c r="T508" s="3" t="s">
        <v>103</v>
      </c>
      <c r="U508" s="55">
        <v>46058</v>
      </c>
      <c r="V508" s="55">
        <v>46058</v>
      </c>
    </row>
    <row r="509" spans="1:46" ht="14.45">
      <c r="A509" s="24" t="s">
        <v>118</v>
      </c>
      <c r="B509" s="24" t="s">
        <v>520</v>
      </c>
      <c r="C509" s="84" t="str">
        <f>IF(ISBLANK(B509),"",_xlfn.XLOOKUP(B509,Recruiter!A:A,Recruiter!B:B))</f>
        <v>Narthana</v>
      </c>
      <c r="D509" s="84" t="str">
        <f>IF(ISBLANK(A509),"",_xlfn.XLOOKUP(A509,'Requirement Overview'!C:C,'Requirement Overview'!E:E))</f>
        <v>Talme</v>
      </c>
      <c r="E509" s="84" t="str">
        <f>IF(ISBLANK(A509),"",_xlfn.XLOOKUP(A509,'Requirement Overview'!C:C,'Requirement Overview'!H:H))</f>
        <v>IT</v>
      </c>
      <c r="F509" s="19" t="str">
        <f>IF(ISBLANK(A509),"",_xlfn.XLOOKUP(A509,'Requirement Overview'!C:C,'Requirement Overview'!I:I))</f>
        <v>Java Lead Analyst</v>
      </c>
      <c r="G509" s="58" t="str">
        <f>IF(ISBLANK(A509),"",_xlfn.XLOOKUP(A509,'Requirement Overview'!C:C,'Requirement Overview'!G:G))</f>
        <v>Thoughtfocus</v>
      </c>
      <c r="H509" s="24" t="s">
        <v>2280</v>
      </c>
      <c r="I509" s="46"/>
      <c r="J509" s="59"/>
      <c r="K509" s="24">
        <v>8169830220</v>
      </c>
      <c r="L509" s="46"/>
      <c r="S509" s="24" t="s">
        <v>612</v>
      </c>
      <c r="T509" s="3" t="s">
        <v>103</v>
      </c>
      <c r="U509" s="55">
        <v>46058</v>
      </c>
      <c r="V509" s="55">
        <v>46058</v>
      </c>
    </row>
    <row r="510" spans="1:46" thickBot="1">
      <c r="A510" s="24" t="s">
        <v>118</v>
      </c>
      <c r="B510" s="24" t="s">
        <v>520</v>
      </c>
      <c r="C510" s="84" t="str">
        <f>IF(ISBLANK(B510),"",_xlfn.XLOOKUP(B510,Recruiter!A:A,Recruiter!B:B))</f>
        <v>Narthana</v>
      </c>
      <c r="D510" s="84" t="str">
        <f>IF(ISBLANK(A510),"",_xlfn.XLOOKUP(A510,'Requirement Overview'!C:C,'Requirement Overview'!E:E))</f>
        <v>Talme</v>
      </c>
      <c r="E510" s="84" t="str">
        <f>IF(ISBLANK(A510),"",_xlfn.XLOOKUP(A510,'Requirement Overview'!C:C,'Requirement Overview'!H:H))</f>
        <v>IT</v>
      </c>
      <c r="F510" s="19" t="str">
        <f>IF(ISBLANK(A510),"",_xlfn.XLOOKUP(A510,'Requirement Overview'!C:C,'Requirement Overview'!I:I))</f>
        <v>Java Lead Analyst</v>
      </c>
      <c r="G510" s="58" t="str">
        <f>IF(ISBLANK(A510),"",_xlfn.XLOOKUP(A510,'Requirement Overview'!C:C,'Requirement Overview'!G:G))</f>
        <v>Thoughtfocus</v>
      </c>
      <c r="H510" s="139" t="s">
        <v>2281</v>
      </c>
      <c r="I510" s="135" t="s">
        <v>519</v>
      </c>
      <c r="J510" s="223" t="s">
        <v>2282</v>
      </c>
      <c r="K510" s="113">
        <v>8319308567</v>
      </c>
      <c r="L510" s="46" t="s">
        <v>311</v>
      </c>
      <c r="M510" s="135" t="s">
        <v>414</v>
      </c>
      <c r="N510" s="137" t="s">
        <v>2283</v>
      </c>
      <c r="O510" s="135" t="s">
        <v>374</v>
      </c>
      <c r="P510" s="135" t="s">
        <v>2284</v>
      </c>
      <c r="Q510" s="135" t="s">
        <v>1557</v>
      </c>
      <c r="R510" s="135" t="s">
        <v>757</v>
      </c>
      <c r="S510" s="24" t="s">
        <v>601</v>
      </c>
      <c r="T510" s="3" t="s">
        <v>103</v>
      </c>
      <c r="U510" s="55">
        <v>46058</v>
      </c>
      <c r="V510" s="55">
        <v>46058</v>
      </c>
    </row>
    <row r="511" spans="1:46" thickBot="1">
      <c r="A511" s="24" t="s">
        <v>118</v>
      </c>
      <c r="B511" s="24" t="s">
        <v>520</v>
      </c>
      <c r="C511" s="84" t="str">
        <f>IF(ISBLANK(B511),"",_xlfn.XLOOKUP(B511,Recruiter!A:A,Recruiter!B:B))</f>
        <v>Narthana</v>
      </c>
      <c r="D511" s="84" t="str">
        <f>IF(ISBLANK(A511),"",_xlfn.XLOOKUP(A511,'Requirement Overview'!C:C,'Requirement Overview'!E:E))</f>
        <v>Talme</v>
      </c>
      <c r="E511" s="84" t="str">
        <f>IF(ISBLANK(A511),"",_xlfn.XLOOKUP(A511,'Requirement Overview'!C:C,'Requirement Overview'!H:H))</f>
        <v>IT</v>
      </c>
      <c r="F511" s="19" t="str">
        <f>IF(ISBLANK(A511),"",_xlfn.XLOOKUP(A511,'Requirement Overview'!C:C,'Requirement Overview'!I:I))</f>
        <v>Java Lead Analyst</v>
      </c>
      <c r="G511" s="58" t="str">
        <f>IF(ISBLANK(A511),"",_xlfn.XLOOKUP(A511,'Requirement Overview'!C:C,'Requirement Overview'!G:G))</f>
        <v>Thoughtfocus</v>
      </c>
      <c r="H511" s="139" t="s">
        <v>2285</v>
      </c>
      <c r="I511" s="135" t="s">
        <v>2286</v>
      </c>
      <c r="J511" s="214" t="s">
        <v>2287</v>
      </c>
      <c r="K511" s="139">
        <v>9561887154</v>
      </c>
      <c r="L511" s="46" t="s">
        <v>311</v>
      </c>
      <c r="M511" s="135" t="s">
        <v>414</v>
      </c>
      <c r="N511" s="137" t="s">
        <v>2288</v>
      </c>
      <c r="O511" s="135" t="s">
        <v>548</v>
      </c>
      <c r="P511" s="135" t="s">
        <v>569</v>
      </c>
      <c r="Q511" s="135" t="s">
        <v>1557</v>
      </c>
      <c r="R511" s="135" t="s">
        <v>2289</v>
      </c>
      <c r="S511" s="24" t="s">
        <v>601</v>
      </c>
      <c r="T511" s="3" t="s">
        <v>103</v>
      </c>
      <c r="U511" s="55">
        <v>46058</v>
      </c>
      <c r="V511" s="55">
        <v>46058</v>
      </c>
    </row>
    <row r="512" spans="1:46" thickBot="1">
      <c r="A512" s="24" t="s">
        <v>118</v>
      </c>
      <c r="B512" s="24" t="s">
        <v>520</v>
      </c>
      <c r="C512" s="84" t="str">
        <f>IF(ISBLANK(B512),"",_xlfn.XLOOKUP(B512,Recruiter!A:A,Recruiter!B:B))</f>
        <v>Narthana</v>
      </c>
      <c r="D512" s="84" t="str">
        <f>IF(ISBLANK(A512),"",_xlfn.XLOOKUP(A512,'Requirement Overview'!C:C,'Requirement Overview'!E:E))</f>
        <v>Talme</v>
      </c>
      <c r="E512" s="84" t="str">
        <f>IF(ISBLANK(A512),"",_xlfn.XLOOKUP(A512,'Requirement Overview'!C:C,'Requirement Overview'!H:H))</f>
        <v>IT</v>
      </c>
      <c r="F512" s="19" t="str">
        <f>IF(ISBLANK(A512),"",_xlfn.XLOOKUP(A512,'Requirement Overview'!C:C,'Requirement Overview'!I:I))</f>
        <v>Java Lead Analyst</v>
      </c>
      <c r="G512" s="58" t="str">
        <f>IF(ISBLANK(A512),"",_xlfn.XLOOKUP(A512,'Requirement Overview'!C:C,'Requirement Overview'!G:G))</f>
        <v>Thoughtfocus</v>
      </c>
      <c r="H512" s="79" t="s">
        <v>2290</v>
      </c>
      <c r="I512" s="136" t="s">
        <v>519</v>
      </c>
      <c r="J512" s="224" t="s">
        <v>2291</v>
      </c>
      <c r="K512" s="79">
        <v>9676363887</v>
      </c>
      <c r="L512" s="46" t="s">
        <v>378</v>
      </c>
      <c r="M512" s="136" t="s">
        <v>365</v>
      </c>
      <c r="N512" s="138" t="s">
        <v>2292</v>
      </c>
      <c r="O512" s="136" t="s">
        <v>1145</v>
      </c>
      <c r="P512" s="136" t="s">
        <v>879</v>
      </c>
      <c r="Q512" s="136" t="s">
        <v>1557</v>
      </c>
      <c r="R512" s="136" t="s">
        <v>716</v>
      </c>
      <c r="S512" s="24" t="s">
        <v>601</v>
      </c>
      <c r="T512" s="3" t="s">
        <v>103</v>
      </c>
      <c r="U512" s="55">
        <v>46058</v>
      </c>
      <c r="V512" s="55">
        <v>46058</v>
      </c>
    </row>
    <row r="513" spans="1:23" ht="14.45">
      <c r="A513" s="24" t="s">
        <v>37</v>
      </c>
      <c r="B513" s="24" t="s">
        <v>520</v>
      </c>
      <c r="C513" s="84" t="str">
        <f>IF(ISBLANK(B513),"",_xlfn.XLOOKUP(B513,Recruiter!A:A,Recruiter!B:B))</f>
        <v>Narthana</v>
      </c>
      <c r="D513" s="84" t="str">
        <f>IF(ISBLANK(A513),"",_xlfn.XLOOKUP(A513,'Requirement Overview'!C:C,'Requirement Overview'!E:E))</f>
        <v>Talme</v>
      </c>
      <c r="E513" s="84" t="str">
        <f>IF(ISBLANK(A513),"",_xlfn.XLOOKUP(A513,'Requirement Overview'!C:C,'Requirement Overview'!H:H))</f>
        <v>IT</v>
      </c>
      <c r="F513" s="19" t="str">
        <f>IF(ISBLANK(A513),"",_xlfn.XLOOKUP(A513,'Requirement Overview'!C:C,'Requirement Overview'!I:I))</f>
        <v>Android BSP Developer</v>
      </c>
      <c r="G513" s="58" t="str">
        <f>IF(ISBLANK(A513),"",_xlfn.XLOOKUP(A513,'Requirement Overview'!C:C,'Requirement Overview'!G:G))</f>
        <v>KPIT</v>
      </c>
      <c r="H513" s="24" t="s">
        <v>2293</v>
      </c>
      <c r="I513" s="46"/>
      <c r="J513" s="59"/>
      <c r="K513" s="24">
        <v>8639099539</v>
      </c>
      <c r="L513" s="46"/>
      <c r="S513" s="24" t="s">
        <v>542</v>
      </c>
      <c r="T513" s="3" t="s">
        <v>103</v>
      </c>
      <c r="U513" s="55">
        <v>46058</v>
      </c>
      <c r="V513" s="55">
        <v>46058</v>
      </c>
      <c r="W513" s="24" t="s">
        <v>1386</v>
      </c>
    </row>
    <row r="514" spans="1:23" ht="14.45">
      <c r="A514" s="24" t="s">
        <v>37</v>
      </c>
      <c r="B514" s="24" t="s">
        <v>520</v>
      </c>
      <c r="C514" s="84" t="str">
        <f>IF(ISBLANK(B514),"",_xlfn.XLOOKUP(B514,Recruiter!A:A,Recruiter!B:B))</f>
        <v>Narthana</v>
      </c>
      <c r="D514" s="84" t="str">
        <f>IF(ISBLANK(A514),"",_xlfn.XLOOKUP(A514,'Requirement Overview'!C:C,'Requirement Overview'!E:E))</f>
        <v>Talme</v>
      </c>
      <c r="E514" s="84" t="str">
        <f>IF(ISBLANK(A514),"",_xlfn.XLOOKUP(A514,'Requirement Overview'!C:C,'Requirement Overview'!H:H))</f>
        <v>IT</v>
      </c>
      <c r="F514" s="19" t="str">
        <f>IF(ISBLANK(A514),"",_xlfn.XLOOKUP(A514,'Requirement Overview'!C:C,'Requirement Overview'!I:I))</f>
        <v>Android BSP Developer</v>
      </c>
      <c r="G514" s="58" t="str">
        <f>IF(ISBLANK(A514),"",_xlfn.XLOOKUP(A514,'Requirement Overview'!C:C,'Requirement Overview'!G:G))</f>
        <v>KPIT</v>
      </c>
      <c r="H514" s="24" t="s">
        <v>2294</v>
      </c>
      <c r="I514" s="46"/>
      <c r="J514" s="59"/>
      <c r="K514" s="24">
        <v>9629095118</v>
      </c>
      <c r="L514" s="46"/>
      <c r="S514" s="24" t="s">
        <v>612</v>
      </c>
      <c r="T514" s="3" t="s">
        <v>103</v>
      </c>
      <c r="U514" s="55">
        <v>46058</v>
      </c>
      <c r="V514" s="55">
        <v>46058</v>
      </c>
    </row>
    <row r="515" spans="1:23" ht="14.45">
      <c r="A515" s="24" t="s">
        <v>37</v>
      </c>
      <c r="B515" s="24" t="s">
        <v>520</v>
      </c>
      <c r="C515" s="84" t="str">
        <f>IF(ISBLANK(B515),"",_xlfn.XLOOKUP(B515,Recruiter!A:A,Recruiter!B:B))</f>
        <v>Narthana</v>
      </c>
      <c r="D515" s="84" t="str">
        <f>IF(ISBLANK(A515),"",_xlfn.XLOOKUP(A515,'Requirement Overview'!C:C,'Requirement Overview'!E:E))</f>
        <v>Talme</v>
      </c>
      <c r="E515" s="84" t="str">
        <f>IF(ISBLANK(A515),"",_xlfn.XLOOKUP(A515,'Requirement Overview'!C:C,'Requirement Overview'!H:H))</f>
        <v>IT</v>
      </c>
      <c r="F515" s="19" t="str">
        <f>IF(ISBLANK(A515),"",_xlfn.XLOOKUP(A515,'Requirement Overview'!C:C,'Requirement Overview'!I:I))</f>
        <v>Android BSP Developer</v>
      </c>
      <c r="G515" s="58" t="str">
        <f>IF(ISBLANK(A515),"",_xlfn.XLOOKUP(A515,'Requirement Overview'!C:C,'Requirement Overview'!G:G))</f>
        <v>KPIT</v>
      </c>
      <c r="H515" s="24" t="s">
        <v>2295</v>
      </c>
      <c r="I515" s="46"/>
      <c r="J515" s="59"/>
      <c r="K515" s="24">
        <v>7406661381</v>
      </c>
      <c r="L515" s="46"/>
      <c r="S515" s="24" t="s">
        <v>612</v>
      </c>
      <c r="T515" s="3" t="s">
        <v>103</v>
      </c>
      <c r="U515" s="55">
        <v>46058</v>
      </c>
      <c r="V515" s="55">
        <v>46058</v>
      </c>
    </row>
    <row r="516" spans="1:23" ht="14.45">
      <c r="A516" s="24" t="s">
        <v>92</v>
      </c>
      <c r="B516" s="24" t="s">
        <v>520</v>
      </c>
      <c r="C516" s="84" t="str">
        <f>IF(ISBLANK(B516),"",_xlfn.XLOOKUP(B516,Recruiter!A:A,Recruiter!B:B))</f>
        <v>Narthana</v>
      </c>
      <c r="D516" s="84" t="str">
        <f>IF(ISBLANK(A516),"",_xlfn.XLOOKUP(A516,'Requirement Overview'!C:C,'Requirement Overview'!E:E))</f>
        <v>Talme</v>
      </c>
      <c r="E516" s="84" t="str">
        <f>IF(ISBLANK(A516),"",_xlfn.XLOOKUP(A516,'Requirement Overview'!C:C,'Requirement Overview'!H:H))</f>
        <v>IT</v>
      </c>
      <c r="F516" s="19" t="str">
        <f>IF(ISBLANK(A516),"",_xlfn.XLOOKUP(A516,'Requirement Overview'!C:C,'Requirement Overview'!I:I))</f>
        <v>Lead Data Engineer</v>
      </c>
      <c r="G516" s="58" t="str">
        <f>IF(ISBLANK(A516),"",_xlfn.XLOOKUP(A516,'Requirement Overview'!C:C,'Requirement Overview'!G:G))</f>
        <v>Thoughtfocus</v>
      </c>
      <c r="H516" s="24" t="s">
        <v>2296</v>
      </c>
      <c r="I516" s="46"/>
      <c r="J516" s="59"/>
      <c r="K516" s="24">
        <v>9769855615</v>
      </c>
      <c r="L516" s="46"/>
      <c r="S516" s="24" t="s">
        <v>612</v>
      </c>
      <c r="T516" s="3" t="s">
        <v>103</v>
      </c>
      <c r="U516" s="55">
        <v>46058</v>
      </c>
      <c r="V516" s="55">
        <v>46058</v>
      </c>
    </row>
    <row r="517" spans="1:23" ht="14.45">
      <c r="A517" s="24" t="s">
        <v>92</v>
      </c>
      <c r="B517" s="24" t="s">
        <v>520</v>
      </c>
      <c r="C517" s="84" t="str">
        <f>IF(ISBLANK(B517),"",_xlfn.XLOOKUP(B517,Recruiter!A:A,Recruiter!B:B))</f>
        <v>Narthana</v>
      </c>
      <c r="D517" s="84" t="str">
        <f>IF(ISBLANK(A517),"",_xlfn.XLOOKUP(A517,'Requirement Overview'!C:C,'Requirement Overview'!E:E))</f>
        <v>Talme</v>
      </c>
      <c r="E517" s="84" t="str">
        <f>IF(ISBLANK(A517),"",_xlfn.XLOOKUP(A517,'Requirement Overview'!C:C,'Requirement Overview'!H:H))</f>
        <v>IT</v>
      </c>
      <c r="F517" s="19" t="str">
        <f>IF(ISBLANK(A517),"",_xlfn.XLOOKUP(A517,'Requirement Overview'!C:C,'Requirement Overview'!I:I))</f>
        <v>Lead Data Engineer</v>
      </c>
      <c r="G517" s="58" t="str">
        <f>IF(ISBLANK(A517),"",_xlfn.XLOOKUP(A517,'Requirement Overview'!C:C,'Requirement Overview'!G:G))</f>
        <v>Thoughtfocus</v>
      </c>
      <c r="H517" s="24" t="s">
        <v>2297</v>
      </c>
      <c r="I517" s="46"/>
      <c r="J517" s="59"/>
      <c r="K517" s="24">
        <v>9972459509</v>
      </c>
      <c r="L517" s="46"/>
      <c r="S517" s="24" t="s">
        <v>470</v>
      </c>
      <c r="T517" s="3" t="s">
        <v>103</v>
      </c>
      <c r="U517" s="55">
        <v>46058</v>
      </c>
      <c r="V517" s="55">
        <v>46058</v>
      </c>
      <c r="W517" s="24" t="s">
        <v>2298</v>
      </c>
    </row>
    <row r="518" spans="1:23" ht="14.45">
      <c r="A518" s="24" t="s">
        <v>92</v>
      </c>
      <c r="B518" s="24" t="s">
        <v>520</v>
      </c>
      <c r="C518" s="84" t="str">
        <f>IF(ISBLANK(B518),"",_xlfn.XLOOKUP(B518,Recruiter!A:A,Recruiter!B:B))</f>
        <v>Narthana</v>
      </c>
      <c r="D518" s="84" t="str">
        <f>IF(ISBLANK(A518),"",_xlfn.XLOOKUP(A518,'Requirement Overview'!C:C,'Requirement Overview'!E:E))</f>
        <v>Talme</v>
      </c>
      <c r="E518" s="84" t="str">
        <f>IF(ISBLANK(A518),"",_xlfn.XLOOKUP(A518,'Requirement Overview'!C:C,'Requirement Overview'!H:H))</f>
        <v>IT</v>
      </c>
      <c r="F518" s="19" t="str">
        <f>IF(ISBLANK(A518),"",_xlfn.XLOOKUP(A518,'Requirement Overview'!C:C,'Requirement Overview'!I:I))</f>
        <v>Lead Data Engineer</v>
      </c>
      <c r="G518" s="58" t="str">
        <f>IF(ISBLANK(A518),"",_xlfn.XLOOKUP(A518,'Requirement Overview'!C:C,'Requirement Overview'!G:G))</f>
        <v>Thoughtfocus</v>
      </c>
      <c r="H518" s="24" t="s">
        <v>2299</v>
      </c>
      <c r="I518" s="46"/>
      <c r="J518" s="59"/>
      <c r="K518" s="24">
        <v>7875448062</v>
      </c>
      <c r="L518" s="46"/>
      <c r="S518" s="24" t="s">
        <v>470</v>
      </c>
      <c r="T518" s="3" t="s">
        <v>103</v>
      </c>
      <c r="U518" s="55">
        <v>46058</v>
      </c>
      <c r="V518" s="55">
        <v>46058</v>
      </c>
      <c r="W518" s="24" t="s">
        <v>2298</v>
      </c>
    </row>
    <row r="519" spans="1:23" ht="14.45">
      <c r="A519" s="24" t="s">
        <v>92</v>
      </c>
      <c r="B519" s="24" t="s">
        <v>520</v>
      </c>
      <c r="C519" s="84" t="str">
        <f>IF(ISBLANK(B519),"",_xlfn.XLOOKUP(B519,Recruiter!A:A,Recruiter!B:B))</f>
        <v>Narthana</v>
      </c>
      <c r="D519" s="84" t="str">
        <f>IF(ISBLANK(A519),"",_xlfn.XLOOKUP(A519,'Requirement Overview'!C:C,'Requirement Overview'!E:E))</f>
        <v>Talme</v>
      </c>
      <c r="E519" s="84" t="str">
        <f>IF(ISBLANK(A519),"",_xlfn.XLOOKUP(A519,'Requirement Overview'!C:C,'Requirement Overview'!H:H))</f>
        <v>IT</v>
      </c>
      <c r="F519" s="19" t="str">
        <f>IF(ISBLANK(A519),"",_xlfn.XLOOKUP(A519,'Requirement Overview'!C:C,'Requirement Overview'!I:I))</f>
        <v>Lead Data Engineer</v>
      </c>
      <c r="G519" s="58" t="str">
        <f>IF(ISBLANK(A519),"",_xlfn.XLOOKUP(A519,'Requirement Overview'!C:C,'Requirement Overview'!G:G))</f>
        <v>Thoughtfocus</v>
      </c>
      <c r="H519" s="24" t="s">
        <v>2300</v>
      </c>
      <c r="I519" s="46"/>
      <c r="J519" s="59"/>
      <c r="K519" s="24">
        <v>6305900319</v>
      </c>
      <c r="L519" s="46"/>
      <c r="S519" s="24" t="s">
        <v>518</v>
      </c>
      <c r="T519" s="3" t="s">
        <v>103</v>
      </c>
      <c r="U519" s="55">
        <v>46058</v>
      </c>
      <c r="V519" s="55">
        <v>46058</v>
      </c>
    </row>
    <row r="520" spans="1:23" ht="14.45">
      <c r="A520" s="24" t="s">
        <v>92</v>
      </c>
      <c r="B520" s="24" t="s">
        <v>520</v>
      </c>
      <c r="C520" s="84" t="str">
        <f>IF(ISBLANK(B520),"",_xlfn.XLOOKUP(B520,Recruiter!A:A,Recruiter!B:B))</f>
        <v>Narthana</v>
      </c>
      <c r="D520" s="84" t="str">
        <f>IF(ISBLANK(A520),"",_xlfn.XLOOKUP(A520,'Requirement Overview'!C:C,'Requirement Overview'!E:E))</f>
        <v>Talme</v>
      </c>
      <c r="E520" s="84" t="str">
        <f>IF(ISBLANK(A520),"",_xlfn.XLOOKUP(A520,'Requirement Overview'!C:C,'Requirement Overview'!H:H))</f>
        <v>IT</v>
      </c>
      <c r="F520" s="19" t="str">
        <f>IF(ISBLANK(A520),"",_xlfn.XLOOKUP(A520,'Requirement Overview'!C:C,'Requirement Overview'!I:I))</f>
        <v>Lead Data Engineer</v>
      </c>
      <c r="G520" s="58" t="str">
        <f>IF(ISBLANK(A520),"",_xlfn.XLOOKUP(A520,'Requirement Overview'!C:C,'Requirement Overview'!G:G))</f>
        <v>Thoughtfocus</v>
      </c>
      <c r="H520" s="24" t="s">
        <v>2301</v>
      </c>
      <c r="I520" s="46"/>
      <c r="J520" s="59"/>
      <c r="K520" s="24">
        <v>8553032188</v>
      </c>
      <c r="L520" s="46"/>
      <c r="S520" s="24" t="s">
        <v>518</v>
      </c>
      <c r="T520" s="3" t="s">
        <v>103</v>
      </c>
      <c r="U520" s="55">
        <v>46058</v>
      </c>
      <c r="V520" s="55">
        <v>46058</v>
      </c>
    </row>
    <row r="521" spans="1:23" ht="14.45">
      <c r="A521" s="24" t="s">
        <v>92</v>
      </c>
      <c r="B521" s="24" t="s">
        <v>520</v>
      </c>
      <c r="C521" s="84" t="str">
        <f>IF(ISBLANK(B521),"",_xlfn.XLOOKUP(B521,Recruiter!A:A,Recruiter!B:B))</f>
        <v>Narthana</v>
      </c>
      <c r="D521" s="84" t="str">
        <f>IF(ISBLANK(A521),"",_xlfn.XLOOKUP(A521,'Requirement Overview'!C:C,'Requirement Overview'!E:E))</f>
        <v>Talme</v>
      </c>
      <c r="E521" s="84" t="str">
        <f>IF(ISBLANK(A521),"",_xlfn.XLOOKUP(A521,'Requirement Overview'!C:C,'Requirement Overview'!H:H))</f>
        <v>IT</v>
      </c>
      <c r="F521" s="19" t="str">
        <f>IF(ISBLANK(A521),"",_xlfn.XLOOKUP(A521,'Requirement Overview'!C:C,'Requirement Overview'!I:I))</f>
        <v>Lead Data Engineer</v>
      </c>
      <c r="G521" s="58" t="str">
        <f>IF(ISBLANK(A521),"",_xlfn.XLOOKUP(A521,'Requirement Overview'!C:C,'Requirement Overview'!G:G))</f>
        <v>Thoughtfocus</v>
      </c>
      <c r="H521" s="24" t="s">
        <v>2302</v>
      </c>
      <c r="I521" s="46"/>
      <c r="J521" s="59"/>
      <c r="K521" s="24">
        <v>9845905073</v>
      </c>
      <c r="L521" s="46"/>
      <c r="S521" s="24" t="s">
        <v>612</v>
      </c>
      <c r="T521" s="3" t="s">
        <v>103</v>
      </c>
      <c r="U521" s="55">
        <v>46058</v>
      </c>
      <c r="V521" s="55">
        <v>46058</v>
      </c>
    </row>
    <row r="522" spans="1:23" ht="14.45">
      <c r="A522" s="24" t="s">
        <v>92</v>
      </c>
      <c r="B522" s="24" t="s">
        <v>520</v>
      </c>
      <c r="C522" s="84" t="str">
        <f>IF(ISBLANK(B522),"",_xlfn.XLOOKUP(B522,Recruiter!A:A,Recruiter!B:B))</f>
        <v>Narthana</v>
      </c>
      <c r="D522" s="84" t="str">
        <f>IF(ISBLANK(A522),"",_xlfn.XLOOKUP(A522,'Requirement Overview'!C:C,'Requirement Overview'!E:E))</f>
        <v>Talme</v>
      </c>
      <c r="E522" s="84" t="str">
        <f>IF(ISBLANK(A522),"",_xlfn.XLOOKUP(A522,'Requirement Overview'!C:C,'Requirement Overview'!H:H))</f>
        <v>IT</v>
      </c>
      <c r="F522" s="19" t="str">
        <f>IF(ISBLANK(A522),"",_xlfn.XLOOKUP(A522,'Requirement Overview'!C:C,'Requirement Overview'!I:I))</f>
        <v>Lead Data Engineer</v>
      </c>
      <c r="G522" s="58" t="str">
        <f>IF(ISBLANK(A522),"",_xlfn.XLOOKUP(A522,'Requirement Overview'!C:C,'Requirement Overview'!G:G))</f>
        <v>Thoughtfocus</v>
      </c>
      <c r="H522" s="24" t="s">
        <v>2303</v>
      </c>
      <c r="I522" s="46"/>
      <c r="J522" s="59"/>
      <c r="K522" s="24">
        <v>8341176439</v>
      </c>
      <c r="L522" s="46"/>
      <c r="S522" s="24" t="s">
        <v>612</v>
      </c>
      <c r="T522" s="3" t="s">
        <v>103</v>
      </c>
      <c r="U522" s="55">
        <v>46058</v>
      </c>
      <c r="V522" s="55">
        <v>46058</v>
      </c>
    </row>
    <row r="523" spans="1:23" ht="14.45">
      <c r="A523" s="24" t="s">
        <v>92</v>
      </c>
      <c r="B523" s="24" t="s">
        <v>520</v>
      </c>
      <c r="C523" s="84" t="str">
        <f>IF(ISBLANK(B523),"",_xlfn.XLOOKUP(B523,Recruiter!A:A,Recruiter!B:B))</f>
        <v>Narthana</v>
      </c>
      <c r="D523" s="84" t="str">
        <f>IF(ISBLANK(A523),"",_xlfn.XLOOKUP(A523,'Requirement Overview'!C:C,'Requirement Overview'!E:E))</f>
        <v>Talme</v>
      </c>
      <c r="E523" s="84" t="str">
        <f>IF(ISBLANK(A523),"",_xlfn.XLOOKUP(A523,'Requirement Overview'!C:C,'Requirement Overview'!H:H))</f>
        <v>IT</v>
      </c>
      <c r="F523" s="19" t="str">
        <f>IF(ISBLANK(A523),"",_xlfn.XLOOKUP(A523,'Requirement Overview'!C:C,'Requirement Overview'!I:I))</f>
        <v>Lead Data Engineer</v>
      </c>
      <c r="G523" s="58" t="str">
        <f>IF(ISBLANK(A523),"",_xlfn.XLOOKUP(A523,'Requirement Overview'!C:C,'Requirement Overview'!G:G))</f>
        <v>Thoughtfocus</v>
      </c>
      <c r="H523" s="24" t="s">
        <v>2304</v>
      </c>
      <c r="I523" s="46"/>
      <c r="J523" s="59"/>
      <c r="K523" s="24">
        <v>9652745570</v>
      </c>
      <c r="L523" s="46"/>
      <c r="S523" s="24" t="s">
        <v>612</v>
      </c>
      <c r="T523" s="3" t="s">
        <v>103</v>
      </c>
      <c r="U523" s="55">
        <v>46058</v>
      </c>
      <c r="V523" s="55">
        <v>46058</v>
      </c>
    </row>
    <row r="524" spans="1:23" ht="14.45">
      <c r="A524" s="24" t="s">
        <v>92</v>
      </c>
      <c r="B524" s="24" t="s">
        <v>520</v>
      </c>
      <c r="C524" s="84" t="str">
        <f>IF(ISBLANK(B524),"",_xlfn.XLOOKUP(B524,Recruiter!A:A,Recruiter!B:B))</f>
        <v>Narthana</v>
      </c>
      <c r="D524" s="84" t="str">
        <f>IF(ISBLANK(A524),"",_xlfn.XLOOKUP(A524,'Requirement Overview'!C:C,'Requirement Overview'!E:E))</f>
        <v>Talme</v>
      </c>
      <c r="E524" s="84" t="str">
        <f>IF(ISBLANK(A524),"",_xlfn.XLOOKUP(A524,'Requirement Overview'!C:C,'Requirement Overview'!H:H))</f>
        <v>IT</v>
      </c>
      <c r="F524" s="19" t="str">
        <f>IF(ISBLANK(A524),"",_xlfn.XLOOKUP(A524,'Requirement Overview'!C:C,'Requirement Overview'!I:I))</f>
        <v>Lead Data Engineer</v>
      </c>
      <c r="G524" s="58" t="str">
        <f>IF(ISBLANK(A524),"",_xlfn.XLOOKUP(A524,'Requirement Overview'!C:C,'Requirement Overview'!G:G))</f>
        <v>Thoughtfocus</v>
      </c>
      <c r="H524" s="24" t="s">
        <v>2305</v>
      </c>
      <c r="I524" s="46"/>
      <c r="J524" s="59"/>
      <c r="K524" s="24">
        <v>8308277257</v>
      </c>
      <c r="L524" s="46"/>
      <c r="S524" s="24" t="s">
        <v>612</v>
      </c>
      <c r="T524" s="3" t="s">
        <v>103</v>
      </c>
      <c r="U524" s="55">
        <v>46058</v>
      </c>
      <c r="V524" s="55">
        <v>46058</v>
      </c>
    </row>
    <row r="525" spans="1:23" ht="14.45">
      <c r="A525" s="24" t="s">
        <v>92</v>
      </c>
      <c r="B525" s="24" t="s">
        <v>520</v>
      </c>
      <c r="C525" s="84" t="str">
        <f>IF(ISBLANK(B525),"",_xlfn.XLOOKUP(B525,Recruiter!A:A,Recruiter!B:B))</f>
        <v>Narthana</v>
      </c>
      <c r="D525" s="84" t="str">
        <f>IF(ISBLANK(A525),"",_xlfn.XLOOKUP(A525,'Requirement Overview'!C:C,'Requirement Overview'!E:E))</f>
        <v>Talme</v>
      </c>
      <c r="E525" s="84" t="str">
        <f>IF(ISBLANK(A525),"",_xlfn.XLOOKUP(A525,'Requirement Overview'!C:C,'Requirement Overview'!H:H))</f>
        <v>IT</v>
      </c>
      <c r="F525" s="19" t="str">
        <f>IF(ISBLANK(A525),"",_xlfn.XLOOKUP(A525,'Requirement Overview'!C:C,'Requirement Overview'!I:I))</f>
        <v>Lead Data Engineer</v>
      </c>
      <c r="G525" s="58" t="str">
        <f>IF(ISBLANK(A525),"",_xlfn.XLOOKUP(A525,'Requirement Overview'!C:C,'Requirement Overview'!G:G))</f>
        <v>Thoughtfocus</v>
      </c>
      <c r="H525" s="24" t="s">
        <v>2306</v>
      </c>
      <c r="I525" s="46"/>
      <c r="J525" s="59"/>
      <c r="K525" s="24">
        <v>9860696399</v>
      </c>
      <c r="L525" s="46"/>
      <c r="S525" s="24" t="s">
        <v>612</v>
      </c>
      <c r="T525" s="3" t="s">
        <v>103</v>
      </c>
      <c r="U525" s="55">
        <v>46058</v>
      </c>
      <c r="V525" s="55">
        <v>46058</v>
      </c>
    </row>
    <row r="526" spans="1:23" ht="14.45">
      <c r="A526" s="24" t="s">
        <v>92</v>
      </c>
      <c r="B526" s="24" t="s">
        <v>520</v>
      </c>
      <c r="C526" s="84" t="str">
        <f>IF(ISBLANK(B526),"",_xlfn.XLOOKUP(B526,Recruiter!A:A,Recruiter!B:B))</f>
        <v>Narthana</v>
      </c>
      <c r="D526" s="84" t="str">
        <f>IF(ISBLANK(A526),"",_xlfn.XLOOKUP(A526,'Requirement Overview'!C:C,'Requirement Overview'!E:E))</f>
        <v>Talme</v>
      </c>
      <c r="E526" s="84" t="str">
        <f>IF(ISBLANK(A526),"",_xlfn.XLOOKUP(A526,'Requirement Overview'!C:C,'Requirement Overview'!H:H))</f>
        <v>IT</v>
      </c>
      <c r="F526" s="19" t="str">
        <f>IF(ISBLANK(A526),"",_xlfn.XLOOKUP(A526,'Requirement Overview'!C:C,'Requirement Overview'!I:I))</f>
        <v>Lead Data Engineer</v>
      </c>
      <c r="G526" s="58" t="str">
        <f>IF(ISBLANK(A526),"",_xlfn.XLOOKUP(A526,'Requirement Overview'!C:C,'Requirement Overview'!G:G))</f>
        <v>Thoughtfocus</v>
      </c>
      <c r="H526" s="24" t="s">
        <v>2307</v>
      </c>
      <c r="I526" s="46"/>
      <c r="J526" s="59"/>
      <c r="K526" s="24">
        <v>8007515789</v>
      </c>
      <c r="L526" s="46"/>
      <c r="S526" s="24" t="s">
        <v>612</v>
      </c>
      <c r="T526" s="3" t="s">
        <v>103</v>
      </c>
      <c r="U526" s="55">
        <v>46058</v>
      </c>
      <c r="V526" s="55">
        <v>46058</v>
      </c>
    </row>
    <row r="527" spans="1:23" ht="14.45">
      <c r="A527" s="24" t="s">
        <v>92</v>
      </c>
      <c r="B527" s="24" t="s">
        <v>520</v>
      </c>
      <c r="C527" s="84" t="str">
        <f>IF(ISBLANK(B527),"",_xlfn.XLOOKUP(B527,Recruiter!A:A,Recruiter!B:B))</f>
        <v>Narthana</v>
      </c>
      <c r="D527" s="84" t="str">
        <f>IF(ISBLANK(A527),"",_xlfn.XLOOKUP(A527,'Requirement Overview'!C:C,'Requirement Overview'!E:E))</f>
        <v>Talme</v>
      </c>
      <c r="E527" s="84" t="str">
        <f>IF(ISBLANK(A527),"",_xlfn.XLOOKUP(A527,'Requirement Overview'!C:C,'Requirement Overview'!H:H))</f>
        <v>IT</v>
      </c>
      <c r="F527" s="19" t="str">
        <f>IF(ISBLANK(A527),"",_xlfn.XLOOKUP(A527,'Requirement Overview'!C:C,'Requirement Overview'!I:I))</f>
        <v>Lead Data Engineer</v>
      </c>
      <c r="G527" s="58" t="str">
        <f>IF(ISBLANK(A527),"",_xlfn.XLOOKUP(A527,'Requirement Overview'!C:C,'Requirement Overview'!G:G))</f>
        <v>Thoughtfocus</v>
      </c>
      <c r="H527" s="24" t="s">
        <v>2308</v>
      </c>
      <c r="I527" s="46"/>
      <c r="J527" s="59"/>
      <c r="K527" s="24">
        <v>9789841277</v>
      </c>
      <c r="L527" s="46"/>
      <c r="S527" s="24" t="s">
        <v>612</v>
      </c>
      <c r="T527" s="3" t="s">
        <v>103</v>
      </c>
      <c r="U527" s="55">
        <v>46058</v>
      </c>
      <c r="V527" s="55">
        <v>46058</v>
      </c>
    </row>
    <row r="528" spans="1:23" ht="14.45">
      <c r="A528" s="24" t="s">
        <v>92</v>
      </c>
      <c r="B528" s="24" t="s">
        <v>520</v>
      </c>
      <c r="C528" s="84" t="str">
        <f>IF(ISBLANK(B528),"",_xlfn.XLOOKUP(B528,Recruiter!A:A,Recruiter!B:B))</f>
        <v>Narthana</v>
      </c>
      <c r="D528" s="84" t="str">
        <f>IF(ISBLANK(A528),"",_xlfn.XLOOKUP(A528,'Requirement Overview'!C:C,'Requirement Overview'!E:E))</f>
        <v>Talme</v>
      </c>
      <c r="E528" s="84" t="str">
        <f>IF(ISBLANK(A528),"",_xlfn.XLOOKUP(A528,'Requirement Overview'!C:C,'Requirement Overview'!H:H))</f>
        <v>IT</v>
      </c>
      <c r="F528" s="19" t="str">
        <f>IF(ISBLANK(A528),"",_xlfn.XLOOKUP(A528,'Requirement Overview'!C:C,'Requirement Overview'!I:I))</f>
        <v>Lead Data Engineer</v>
      </c>
      <c r="G528" s="58" t="str">
        <f>IF(ISBLANK(A528),"",_xlfn.XLOOKUP(A528,'Requirement Overview'!C:C,'Requirement Overview'!G:G))</f>
        <v>Thoughtfocus</v>
      </c>
      <c r="H528" s="24" t="s">
        <v>2309</v>
      </c>
      <c r="I528" s="46"/>
      <c r="J528" s="59"/>
      <c r="K528" s="24">
        <v>9051829567</v>
      </c>
      <c r="L528" s="46"/>
      <c r="S528" s="24" t="s">
        <v>518</v>
      </c>
      <c r="T528" s="3" t="s">
        <v>103</v>
      </c>
      <c r="U528" s="55">
        <v>46058</v>
      </c>
      <c r="V528" s="55">
        <v>46058</v>
      </c>
    </row>
    <row r="529" spans="1:45" s="51" customFormat="1" ht="14.45">
      <c r="A529" s="51" t="s">
        <v>92</v>
      </c>
      <c r="B529" s="51" t="s">
        <v>520</v>
      </c>
      <c r="C529" s="88" t="str">
        <f>IF(ISBLANK(B529),"",_xlfn.XLOOKUP(B529,Recruiter!A:A,Recruiter!B:B))</f>
        <v>Narthana</v>
      </c>
      <c r="D529" s="88" t="str">
        <f>IF(ISBLANK(A529),"",_xlfn.XLOOKUP(A529,'Requirement Overview'!C:C,'Requirement Overview'!E:E))</f>
        <v>Talme</v>
      </c>
      <c r="E529" s="88" t="str">
        <f>IF(ISBLANK(A529),"",_xlfn.XLOOKUP(A529,'Requirement Overview'!C:C,'Requirement Overview'!H:H))</f>
        <v>IT</v>
      </c>
      <c r="F529" s="73" t="str">
        <f>IF(ISBLANK(A529),"",_xlfn.XLOOKUP(A529,'Requirement Overview'!C:C,'Requirement Overview'!I:I))</f>
        <v>Lead Data Engineer</v>
      </c>
      <c r="G529" s="62" t="str">
        <f>IF(ISBLANK(A529),"",_xlfn.XLOOKUP(A529,'Requirement Overview'!C:C,'Requirement Overview'!G:G))</f>
        <v>Thoughtfocus</v>
      </c>
      <c r="H529" s="24" t="s">
        <v>2310</v>
      </c>
      <c r="I529" s="108"/>
      <c r="J529" s="225"/>
      <c r="K529" s="24">
        <v>9790821782</v>
      </c>
      <c r="L529" s="108"/>
      <c r="S529" s="51" t="s">
        <v>518</v>
      </c>
      <c r="T529" s="50" t="s">
        <v>103</v>
      </c>
      <c r="U529" s="106">
        <v>46058</v>
      </c>
      <c r="V529" s="106">
        <v>46058</v>
      </c>
      <c r="AL529" s="73"/>
      <c r="AM529" s="73"/>
      <c r="AS529" s="73"/>
    </row>
    <row r="530" spans="1:45" ht="14.45">
      <c r="A530" s="24" t="s">
        <v>40</v>
      </c>
      <c r="B530" s="24" t="s">
        <v>520</v>
      </c>
      <c r="C530" s="84" t="str">
        <f>IF(ISBLANK(B530),"",_xlfn.XLOOKUP(B530,Recruiter!A:A,Recruiter!B:B))</f>
        <v>Narthana</v>
      </c>
      <c r="D530" s="84" t="str">
        <f>IF(ISBLANK(A530),"",_xlfn.XLOOKUP(A530,'Requirement Overview'!C:C,'Requirement Overview'!E:E))</f>
        <v>Talme</v>
      </c>
      <c r="E530" s="84" t="str">
        <f>IF(ISBLANK(A530),"",_xlfn.XLOOKUP(A530,'Requirement Overview'!C:C,'Requirement Overview'!H:H))</f>
        <v>IT</v>
      </c>
      <c r="F530" s="19" t="str">
        <f>IF(ISBLANK(A530),"",_xlfn.XLOOKUP(A530,'Requirement Overview'!C:C,'Requirement Overview'!I:I))</f>
        <v>Display driver</v>
      </c>
      <c r="G530" s="58" t="str">
        <f>IF(ISBLANK(A530),"",_xlfn.XLOOKUP(A530,'Requirement Overview'!C:C,'Requirement Overview'!G:G))</f>
        <v>KPIT</v>
      </c>
      <c r="H530" s="139" t="s">
        <v>2311</v>
      </c>
      <c r="I530" s="183" t="s">
        <v>519</v>
      </c>
      <c r="J530" s="208" t="s">
        <v>2312</v>
      </c>
      <c r="K530" s="139">
        <v>8123985547</v>
      </c>
      <c r="L530" s="183" t="s">
        <v>311</v>
      </c>
      <c r="M530" s="139" t="s">
        <v>685</v>
      </c>
      <c r="N530" s="141" t="s">
        <v>539</v>
      </c>
      <c r="O530" s="139" t="s">
        <v>373</v>
      </c>
      <c r="P530" s="139" t="s">
        <v>1042</v>
      </c>
      <c r="Q530" s="139" t="s">
        <v>1042</v>
      </c>
      <c r="R530" s="139" t="s">
        <v>2313</v>
      </c>
      <c r="S530" s="24" t="s">
        <v>601</v>
      </c>
      <c r="T530" s="24" t="s">
        <v>103</v>
      </c>
      <c r="U530" s="143">
        <v>46059</v>
      </c>
      <c r="V530" s="143">
        <v>46059</v>
      </c>
      <c r="W530" s="139"/>
      <c r="X530" s="139"/>
    </row>
    <row r="531" spans="1:45" ht="14.45">
      <c r="A531" s="24" t="s">
        <v>40</v>
      </c>
      <c r="B531" s="24" t="s">
        <v>520</v>
      </c>
      <c r="C531" s="84" t="str">
        <f>IF(ISBLANK(B531),"",_xlfn.XLOOKUP(B531,Recruiter!A:A,Recruiter!B:B))</f>
        <v>Narthana</v>
      </c>
      <c r="D531" s="84" t="str">
        <f>IF(ISBLANK(A531),"",_xlfn.XLOOKUP(A531,'Requirement Overview'!C:C,'Requirement Overview'!E:E))</f>
        <v>Talme</v>
      </c>
      <c r="E531" s="84" t="str">
        <f>IF(ISBLANK(A531),"",_xlfn.XLOOKUP(A531,'Requirement Overview'!C:C,'Requirement Overview'!H:H))</f>
        <v>IT</v>
      </c>
      <c r="F531" s="19" t="str">
        <f>IF(ISBLANK(A531),"",_xlfn.XLOOKUP(A531,'Requirement Overview'!C:C,'Requirement Overview'!I:I))</f>
        <v>Display driver</v>
      </c>
      <c r="G531" s="58" t="str">
        <f>IF(ISBLANK(A531),"",_xlfn.XLOOKUP(A531,'Requirement Overview'!C:C,'Requirement Overview'!G:G))</f>
        <v>KPIT</v>
      </c>
      <c r="H531" s="139" t="s">
        <v>2314</v>
      </c>
      <c r="I531" s="183" t="s">
        <v>2315</v>
      </c>
      <c r="J531" s="226" t="s">
        <v>2316</v>
      </c>
      <c r="K531" s="139">
        <v>9686407026</v>
      </c>
      <c r="L531" s="183" t="s">
        <v>311</v>
      </c>
      <c r="M531" s="139" t="s">
        <v>390</v>
      </c>
      <c r="N531" s="139" t="s">
        <v>2317</v>
      </c>
      <c r="O531" s="139" t="s">
        <v>2318</v>
      </c>
      <c r="P531" s="139" t="s">
        <v>1042</v>
      </c>
      <c r="Q531" s="139" t="s">
        <v>1042</v>
      </c>
      <c r="R531" s="139" t="s">
        <v>2319</v>
      </c>
      <c r="S531" s="24" t="s">
        <v>601</v>
      </c>
      <c r="T531" s="24" t="s">
        <v>103</v>
      </c>
      <c r="U531" s="143">
        <v>46059</v>
      </c>
      <c r="V531" s="143">
        <v>46059</v>
      </c>
      <c r="W531" s="139"/>
      <c r="X531" s="139"/>
    </row>
    <row r="532" spans="1:45" ht="14.45">
      <c r="A532" s="24" t="s">
        <v>40</v>
      </c>
      <c r="B532" s="24" t="s">
        <v>520</v>
      </c>
      <c r="C532" s="84" t="str">
        <f>IF(ISBLANK(B532),"",_xlfn.XLOOKUP(B532,Recruiter!A:A,Recruiter!B:B))</f>
        <v>Narthana</v>
      </c>
      <c r="D532" s="84" t="str">
        <f>IF(ISBLANK(A532),"",_xlfn.XLOOKUP(A532,'Requirement Overview'!C:C,'Requirement Overview'!E:E))</f>
        <v>Talme</v>
      </c>
      <c r="E532" s="84" t="str">
        <f>IF(ISBLANK(A532),"",_xlfn.XLOOKUP(A532,'Requirement Overview'!C:C,'Requirement Overview'!H:H))</f>
        <v>IT</v>
      </c>
      <c r="F532" s="19" t="str">
        <f>IF(ISBLANK(A532),"",_xlfn.XLOOKUP(A532,'Requirement Overview'!C:C,'Requirement Overview'!I:I))</f>
        <v>Display driver</v>
      </c>
      <c r="G532" s="58" t="str">
        <f>IF(ISBLANK(A532),"",_xlfn.XLOOKUP(A532,'Requirement Overview'!C:C,'Requirement Overview'!G:G))</f>
        <v>KPIT</v>
      </c>
      <c r="H532" s="139" t="s">
        <v>2320</v>
      </c>
      <c r="I532" s="183" t="s">
        <v>2321</v>
      </c>
      <c r="J532" s="226" t="s">
        <v>2322</v>
      </c>
      <c r="K532" s="139">
        <v>9037286706</v>
      </c>
      <c r="L532" s="183" t="s">
        <v>2323</v>
      </c>
      <c r="M532" s="139" t="s">
        <v>390</v>
      </c>
      <c r="N532" s="144" t="s">
        <v>2324</v>
      </c>
      <c r="O532" s="139" t="s">
        <v>716</v>
      </c>
      <c r="P532" s="139" t="s">
        <v>1042</v>
      </c>
      <c r="Q532" s="139" t="s">
        <v>1042</v>
      </c>
      <c r="R532" s="139" t="s">
        <v>554</v>
      </c>
      <c r="S532" s="24" t="s">
        <v>601</v>
      </c>
      <c r="T532" s="24" t="s">
        <v>103</v>
      </c>
      <c r="U532" s="143">
        <v>46059</v>
      </c>
      <c r="V532" s="143">
        <v>46059</v>
      </c>
      <c r="W532" s="142"/>
      <c r="X532" s="142"/>
    </row>
    <row r="533" spans="1:45" ht="14.45">
      <c r="A533" s="24" t="s">
        <v>40</v>
      </c>
      <c r="B533" s="24" t="s">
        <v>520</v>
      </c>
      <c r="C533" s="84" t="str">
        <f>IF(ISBLANK(B533),"",_xlfn.XLOOKUP(B533,Recruiter!A:A,Recruiter!B:B))</f>
        <v>Narthana</v>
      </c>
      <c r="D533" s="84" t="str">
        <f>IF(ISBLANK(A533),"",_xlfn.XLOOKUP(A533,'Requirement Overview'!C:C,'Requirement Overview'!E:E))</f>
        <v>Talme</v>
      </c>
      <c r="E533" s="84" t="str">
        <f>IF(ISBLANK(A533),"",_xlfn.XLOOKUP(A533,'Requirement Overview'!C:C,'Requirement Overview'!H:H))</f>
        <v>IT</v>
      </c>
      <c r="F533" s="19" t="str">
        <f>IF(ISBLANK(A533),"",_xlfn.XLOOKUP(A533,'Requirement Overview'!C:C,'Requirement Overview'!I:I))</f>
        <v>Display driver</v>
      </c>
      <c r="G533" s="58" t="str">
        <f>IF(ISBLANK(A533),"",_xlfn.XLOOKUP(A533,'Requirement Overview'!C:C,'Requirement Overview'!G:G))</f>
        <v>KPIT</v>
      </c>
      <c r="H533" s="139" t="s">
        <v>2325</v>
      </c>
      <c r="I533" s="168" t="s">
        <v>497</v>
      </c>
      <c r="J533" s="209" t="s">
        <v>2326</v>
      </c>
      <c r="K533" s="79">
        <v>8200257511</v>
      </c>
      <c r="L533" s="183" t="s">
        <v>311</v>
      </c>
      <c r="M533" s="79" t="s">
        <v>390</v>
      </c>
      <c r="N533" s="52" t="s">
        <v>2327</v>
      </c>
      <c r="O533" s="79" t="s">
        <v>2328</v>
      </c>
      <c r="P533" s="79" t="s">
        <v>1042</v>
      </c>
      <c r="Q533" s="79" t="s">
        <v>1042</v>
      </c>
      <c r="R533" s="79" t="s">
        <v>353</v>
      </c>
      <c r="S533" s="24" t="s">
        <v>601</v>
      </c>
      <c r="T533" s="24" t="s">
        <v>271</v>
      </c>
      <c r="U533" s="143">
        <v>46059</v>
      </c>
      <c r="V533" s="143">
        <v>46059</v>
      </c>
      <c r="W533" s="142"/>
      <c r="X533" s="142"/>
    </row>
    <row r="534" spans="1:45" s="47" customFormat="1" thickBot="1">
      <c r="A534" s="24" t="s">
        <v>40</v>
      </c>
      <c r="B534" s="24" t="s">
        <v>520</v>
      </c>
      <c r="C534" s="84" t="str">
        <f>IF(ISBLANK(B534),"",_xlfn.XLOOKUP(B534,Recruiter!A:A,Recruiter!B:B))</f>
        <v>Narthana</v>
      </c>
      <c r="D534" s="84" t="str">
        <f>IF(ISBLANK(A534),"",_xlfn.XLOOKUP(A534,'Requirement Overview'!C:C,'Requirement Overview'!E:E))</f>
        <v>Talme</v>
      </c>
      <c r="E534" s="84" t="str">
        <f>IF(ISBLANK(A534),"",_xlfn.XLOOKUP(A534,'Requirement Overview'!C:C,'Requirement Overview'!H:H))</f>
        <v>IT</v>
      </c>
      <c r="F534" s="19" t="str">
        <f>IF(ISBLANK(A534),"",_xlfn.XLOOKUP(A534,'Requirement Overview'!C:C,'Requirement Overview'!I:I))</f>
        <v>Display driver</v>
      </c>
      <c r="G534" s="58" t="str">
        <f>IF(ISBLANK(A534),"",_xlfn.XLOOKUP(A534,'Requirement Overview'!C:C,'Requirement Overview'!G:G))</f>
        <v>KPIT</v>
      </c>
      <c r="H534" s="139" t="s">
        <v>2329</v>
      </c>
      <c r="I534" s="184"/>
      <c r="J534" s="226"/>
      <c r="K534" s="139">
        <v>8792697236</v>
      </c>
      <c r="L534" s="184"/>
      <c r="M534" s="140"/>
      <c r="S534" s="47" t="s">
        <v>612</v>
      </c>
      <c r="T534" s="47" t="s">
        <v>103</v>
      </c>
      <c r="U534" s="143">
        <v>46059</v>
      </c>
      <c r="V534" s="143">
        <v>46059</v>
      </c>
      <c r="AL534" s="80"/>
      <c r="AM534" s="80"/>
      <c r="AS534" s="80"/>
    </row>
    <row r="535" spans="1:45" ht="14.45">
      <c r="A535" s="24" t="s">
        <v>40</v>
      </c>
      <c r="B535" s="24" t="s">
        <v>520</v>
      </c>
      <c r="C535" s="84" t="str">
        <f>IF(ISBLANK(B535),"",_xlfn.XLOOKUP(B535,Recruiter!A:A,Recruiter!B:B))</f>
        <v>Narthana</v>
      </c>
      <c r="D535" s="84" t="str">
        <f>IF(ISBLANK(A535),"",_xlfn.XLOOKUP(A535,'Requirement Overview'!C:C,'Requirement Overview'!E:E))</f>
        <v>Talme</v>
      </c>
      <c r="E535" s="84" t="str">
        <f>IF(ISBLANK(A535),"",_xlfn.XLOOKUP(A535,'Requirement Overview'!C:C,'Requirement Overview'!H:H))</f>
        <v>IT</v>
      </c>
      <c r="F535" s="19" t="str">
        <f>IF(ISBLANK(A535),"",_xlfn.XLOOKUP(A535,'Requirement Overview'!C:C,'Requirement Overview'!I:I))</f>
        <v>Display driver</v>
      </c>
      <c r="G535" s="58" t="str">
        <f>IF(ISBLANK(A535),"",_xlfn.XLOOKUP(A535,'Requirement Overview'!C:C,'Requirement Overview'!G:G))</f>
        <v>KPIT</v>
      </c>
      <c r="H535" s="139" t="s">
        <v>2330</v>
      </c>
      <c r="I535" s="46"/>
      <c r="J535" s="226"/>
      <c r="K535" s="139">
        <v>9108567593</v>
      </c>
      <c r="L535" s="46"/>
      <c r="S535" s="24" t="s">
        <v>612</v>
      </c>
      <c r="T535" s="24" t="s">
        <v>103</v>
      </c>
      <c r="U535" s="143">
        <v>46059</v>
      </c>
      <c r="V535" s="143">
        <v>46059</v>
      </c>
    </row>
    <row r="536" spans="1:45" ht="14.45">
      <c r="A536" s="24" t="s">
        <v>40</v>
      </c>
      <c r="B536" s="24" t="s">
        <v>520</v>
      </c>
      <c r="C536" s="84" t="str">
        <f>IF(ISBLANK(B536),"",_xlfn.XLOOKUP(B536,Recruiter!A:A,Recruiter!B:B))</f>
        <v>Narthana</v>
      </c>
      <c r="D536" s="84" t="str">
        <f>IF(ISBLANK(A536),"",_xlfn.XLOOKUP(A536,'Requirement Overview'!C:C,'Requirement Overview'!E:E))</f>
        <v>Talme</v>
      </c>
      <c r="E536" s="84" t="str">
        <f>IF(ISBLANK(A536),"",_xlfn.XLOOKUP(A536,'Requirement Overview'!C:C,'Requirement Overview'!H:H))</f>
        <v>IT</v>
      </c>
      <c r="F536" s="19" t="str">
        <f>IF(ISBLANK(A536),"",_xlfn.XLOOKUP(A536,'Requirement Overview'!C:C,'Requirement Overview'!I:I))</f>
        <v>Display driver</v>
      </c>
      <c r="G536" s="58" t="str">
        <f>IF(ISBLANK(A536),"",_xlfn.XLOOKUP(A536,'Requirement Overview'!C:C,'Requirement Overview'!G:G))</f>
        <v>KPIT</v>
      </c>
      <c r="H536" s="139" t="s">
        <v>2331</v>
      </c>
      <c r="I536" s="46"/>
      <c r="J536" s="226"/>
      <c r="K536" s="139">
        <v>9835392163</v>
      </c>
      <c r="L536" s="46"/>
      <c r="S536" s="24" t="s">
        <v>612</v>
      </c>
      <c r="T536" s="24" t="s">
        <v>103</v>
      </c>
      <c r="U536" s="143">
        <v>46059</v>
      </c>
      <c r="V536" s="143">
        <v>46059</v>
      </c>
      <c r="W536" s="24" t="s">
        <v>2332</v>
      </c>
    </row>
    <row r="537" spans="1:45" ht="14.45">
      <c r="A537" s="24" t="s">
        <v>40</v>
      </c>
      <c r="B537" s="24" t="s">
        <v>520</v>
      </c>
      <c r="C537" s="84" t="str">
        <f>IF(ISBLANK(B537),"",_xlfn.XLOOKUP(B537,Recruiter!A:A,Recruiter!B:B))</f>
        <v>Narthana</v>
      </c>
      <c r="D537" s="84" t="str">
        <f>IF(ISBLANK(A537),"",_xlfn.XLOOKUP(A537,'Requirement Overview'!C:C,'Requirement Overview'!E:E))</f>
        <v>Talme</v>
      </c>
      <c r="E537" s="84" t="str">
        <f>IF(ISBLANK(A537),"",_xlfn.XLOOKUP(A537,'Requirement Overview'!C:C,'Requirement Overview'!H:H))</f>
        <v>IT</v>
      </c>
      <c r="F537" s="19" t="str">
        <f>IF(ISBLANK(A537),"",_xlfn.XLOOKUP(A537,'Requirement Overview'!C:C,'Requirement Overview'!I:I))</f>
        <v>Display driver</v>
      </c>
      <c r="G537" s="58" t="str">
        <f>IF(ISBLANK(A537),"",_xlfn.XLOOKUP(A537,'Requirement Overview'!C:C,'Requirement Overview'!G:G))</f>
        <v>KPIT</v>
      </c>
      <c r="H537" s="139" t="s">
        <v>2295</v>
      </c>
      <c r="I537" s="46"/>
      <c r="J537" s="226"/>
      <c r="K537" s="139">
        <v>7406661381</v>
      </c>
      <c r="L537" s="46"/>
      <c r="S537" s="24" t="s">
        <v>612</v>
      </c>
      <c r="T537" s="24" t="s">
        <v>103</v>
      </c>
      <c r="U537" s="143">
        <v>46059</v>
      </c>
      <c r="V537" s="143">
        <v>46059</v>
      </c>
    </row>
    <row r="538" spans="1:45" ht="14.45">
      <c r="A538" s="24" t="s">
        <v>37</v>
      </c>
      <c r="B538" s="24" t="s">
        <v>520</v>
      </c>
      <c r="C538" s="84" t="str">
        <f>IF(ISBLANK(B538),"",_xlfn.XLOOKUP(B538,Recruiter!A:A,Recruiter!B:B))</f>
        <v>Narthana</v>
      </c>
      <c r="D538" s="84" t="str">
        <f>IF(ISBLANK(A538),"",_xlfn.XLOOKUP(A538,'Requirement Overview'!C:C,'Requirement Overview'!E:E))</f>
        <v>Talme</v>
      </c>
      <c r="E538" s="84" t="str">
        <f>IF(ISBLANK(A538),"",_xlfn.XLOOKUP(A538,'Requirement Overview'!C:C,'Requirement Overview'!H:H))</f>
        <v>IT</v>
      </c>
      <c r="F538" s="19" t="str">
        <f>IF(ISBLANK(A538),"",_xlfn.XLOOKUP(A538,'Requirement Overview'!C:C,'Requirement Overview'!I:I))</f>
        <v>Android BSP Developer</v>
      </c>
      <c r="G538" s="58" t="str">
        <f>IF(ISBLANK(A538),"",_xlfn.XLOOKUP(A538,'Requirement Overview'!C:C,'Requirement Overview'!G:G))</f>
        <v>KPIT</v>
      </c>
      <c r="H538" s="139" t="s">
        <v>1085</v>
      </c>
      <c r="I538" s="46"/>
      <c r="J538" s="226"/>
      <c r="K538" s="139">
        <v>9880062034</v>
      </c>
      <c r="L538" s="46"/>
      <c r="S538" s="24" t="s">
        <v>612</v>
      </c>
      <c r="T538" s="24" t="s">
        <v>103</v>
      </c>
      <c r="U538" s="143">
        <v>46059</v>
      </c>
      <c r="V538" s="143">
        <v>46059</v>
      </c>
    </row>
    <row r="539" spans="1:45" ht="14.45">
      <c r="A539" s="24" t="s">
        <v>37</v>
      </c>
      <c r="B539" s="24" t="s">
        <v>520</v>
      </c>
      <c r="C539" s="84" t="str">
        <f>IF(ISBLANK(B539),"",_xlfn.XLOOKUP(B539,Recruiter!A:A,Recruiter!B:B))</f>
        <v>Narthana</v>
      </c>
      <c r="D539" s="84" t="str">
        <f>IF(ISBLANK(A539),"",_xlfn.XLOOKUP(A539,'Requirement Overview'!C:C,'Requirement Overview'!E:E))</f>
        <v>Talme</v>
      </c>
      <c r="E539" s="84" t="str">
        <f>IF(ISBLANK(A539),"",_xlfn.XLOOKUP(A539,'Requirement Overview'!C:C,'Requirement Overview'!H:H))</f>
        <v>IT</v>
      </c>
      <c r="F539" s="19" t="str">
        <f>IF(ISBLANK(A539),"",_xlfn.XLOOKUP(A539,'Requirement Overview'!C:C,'Requirement Overview'!I:I))</f>
        <v>Android BSP Developer</v>
      </c>
      <c r="G539" s="58" t="str">
        <f>IF(ISBLANK(A539),"",_xlfn.XLOOKUP(A539,'Requirement Overview'!C:C,'Requirement Overview'!G:G))</f>
        <v>KPIT</v>
      </c>
      <c r="H539" s="139" t="s">
        <v>2333</v>
      </c>
      <c r="I539" s="46"/>
      <c r="J539" s="226"/>
      <c r="K539" s="139">
        <v>7337733653</v>
      </c>
      <c r="L539" s="46"/>
      <c r="S539" s="24" t="s">
        <v>612</v>
      </c>
      <c r="T539" s="24" t="s">
        <v>103</v>
      </c>
      <c r="U539" s="143">
        <v>46059</v>
      </c>
      <c r="V539" s="143">
        <v>46059</v>
      </c>
    </row>
    <row r="540" spans="1:45" ht="14.45">
      <c r="A540" s="24" t="s">
        <v>37</v>
      </c>
      <c r="B540" s="24" t="s">
        <v>520</v>
      </c>
      <c r="C540" s="84" t="str">
        <f>IF(ISBLANK(B540),"",_xlfn.XLOOKUP(B540,Recruiter!A:A,Recruiter!B:B))</f>
        <v>Narthana</v>
      </c>
      <c r="D540" s="84" t="str">
        <f>IF(ISBLANK(A540),"",_xlfn.XLOOKUP(A540,'Requirement Overview'!C:C,'Requirement Overview'!E:E))</f>
        <v>Talme</v>
      </c>
      <c r="E540" s="84" t="str">
        <f>IF(ISBLANK(A540),"",_xlfn.XLOOKUP(A540,'Requirement Overview'!C:C,'Requirement Overview'!H:H))</f>
        <v>IT</v>
      </c>
      <c r="F540" s="19" t="str">
        <f>IF(ISBLANK(A540),"",_xlfn.XLOOKUP(A540,'Requirement Overview'!C:C,'Requirement Overview'!I:I))</f>
        <v>Android BSP Developer</v>
      </c>
      <c r="G540" s="58" t="str">
        <f>IF(ISBLANK(A540),"",_xlfn.XLOOKUP(A540,'Requirement Overview'!C:C,'Requirement Overview'!G:G))</f>
        <v>KPIT</v>
      </c>
      <c r="H540" s="139" t="s">
        <v>2334</v>
      </c>
      <c r="I540" s="46"/>
      <c r="J540" s="226"/>
      <c r="K540" s="139">
        <v>8431205420</v>
      </c>
      <c r="L540" s="46"/>
      <c r="S540" s="24" t="s">
        <v>518</v>
      </c>
      <c r="T540" s="24" t="s">
        <v>103</v>
      </c>
      <c r="U540" s="143">
        <v>46059</v>
      </c>
      <c r="V540" s="143">
        <v>46059</v>
      </c>
    </row>
    <row r="541" spans="1:45" ht="14.45">
      <c r="A541" s="24" t="s">
        <v>37</v>
      </c>
      <c r="B541" s="24" t="s">
        <v>520</v>
      </c>
      <c r="C541" s="84" t="str">
        <f>IF(ISBLANK(B541),"",_xlfn.XLOOKUP(B541,Recruiter!A:A,Recruiter!B:B))</f>
        <v>Narthana</v>
      </c>
      <c r="D541" s="84" t="str">
        <f>IF(ISBLANK(A541),"",_xlfn.XLOOKUP(A541,'Requirement Overview'!C:C,'Requirement Overview'!E:E))</f>
        <v>Talme</v>
      </c>
      <c r="E541" s="84" t="str">
        <f>IF(ISBLANK(A541),"",_xlfn.XLOOKUP(A541,'Requirement Overview'!C:C,'Requirement Overview'!H:H))</f>
        <v>IT</v>
      </c>
      <c r="F541" s="19" t="str">
        <f>IF(ISBLANK(A541),"",_xlfn.XLOOKUP(A541,'Requirement Overview'!C:C,'Requirement Overview'!I:I))</f>
        <v>Android BSP Developer</v>
      </c>
      <c r="G541" s="58" t="str">
        <f>IF(ISBLANK(A541),"",_xlfn.XLOOKUP(A541,'Requirement Overview'!C:C,'Requirement Overview'!G:G))</f>
        <v>KPIT</v>
      </c>
      <c r="H541" s="139" t="s">
        <v>2335</v>
      </c>
      <c r="I541" s="46"/>
      <c r="J541" s="226"/>
      <c r="K541" s="139">
        <v>8639018513</v>
      </c>
      <c r="L541" s="46"/>
      <c r="S541" s="24" t="s">
        <v>518</v>
      </c>
      <c r="T541" s="24" t="s">
        <v>103</v>
      </c>
      <c r="U541" s="143">
        <v>46059</v>
      </c>
      <c r="V541" s="143">
        <v>46059</v>
      </c>
    </row>
    <row r="542" spans="1:45" ht="14.45">
      <c r="A542" s="24" t="s">
        <v>37</v>
      </c>
      <c r="B542" s="24" t="s">
        <v>520</v>
      </c>
      <c r="C542" s="84" t="str">
        <f>IF(ISBLANK(B542),"",_xlfn.XLOOKUP(B542,Recruiter!A:A,Recruiter!B:B))</f>
        <v>Narthana</v>
      </c>
      <c r="D542" s="84" t="str">
        <f>IF(ISBLANK(A542),"",_xlfn.XLOOKUP(A542,'Requirement Overview'!C:C,'Requirement Overview'!E:E))</f>
        <v>Talme</v>
      </c>
      <c r="E542" s="84" t="str">
        <f>IF(ISBLANK(A542),"",_xlfn.XLOOKUP(A542,'Requirement Overview'!C:C,'Requirement Overview'!H:H))</f>
        <v>IT</v>
      </c>
      <c r="F542" s="19" t="str">
        <f>IF(ISBLANK(A542),"",_xlfn.XLOOKUP(A542,'Requirement Overview'!C:C,'Requirement Overview'!I:I))</f>
        <v>Android BSP Developer</v>
      </c>
      <c r="G542" s="58" t="str">
        <f>IF(ISBLANK(A542),"",_xlfn.XLOOKUP(A542,'Requirement Overview'!C:C,'Requirement Overview'!G:G))</f>
        <v>KPIT</v>
      </c>
      <c r="H542" s="139" t="s">
        <v>2336</v>
      </c>
      <c r="I542" s="46"/>
      <c r="J542" s="226"/>
      <c r="K542" s="139">
        <v>9497382354</v>
      </c>
      <c r="L542" s="46"/>
      <c r="S542" s="24" t="s">
        <v>518</v>
      </c>
      <c r="T542" s="24" t="s">
        <v>103</v>
      </c>
      <c r="U542" s="143">
        <v>46059</v>
      </c>
      <c r="V542" s="143">
        <v>46059</v>
      </c>
    </row>
    <row r="543" spans="1:45" ht="14.45">
      <c r="A543" s="24" t="s">
        <v>122</v>
      </c>
      <c r="B543" s="24" t="s">
        <v>340</v>
      </c>
      <c r="C543" s="84" t="str">
        <f>IF(ISBLANK(B543),"",_xlfn.XLOOKUP(B543,Recruiter!A:A,Recruiter!B:B))</f>
        <v>Harshitha</v>
      </c>
      <c r="D543" s="84" t="str">
        <f>IF(ISBLANK(A543),"",_xlfn.XLOOKUP(A543,'Requirement Overview'!C:C,'Requirement Overview'!E:E))</f>
        <v>Talme</v>
      </c>
      <c r="E543" s="84" t="str">
        <f>IF(ISBLANK(A543),"",_xlfn.XLOOKUP(A543,'Requirement Overview'!C:C,'Requirement Overview'!H:H))</f>
        <v>IT</v>
      </c>
      <c r="F543" s="19" t="str">
        <f>IF(ISBLANK(A543),"",_xlfn.XLOOKUP(A543,'Requirement Overview'!C:C,'Requirement Overview'!I:I))</f>
        <v>QA Analyst</v>
      </c>
      <c r="G543" s="58" t="str">
        <f>IF(ISBLANK(A543),"",_xlfn.XLOOKUP(A543,'Requirement Overview'!C:C,'Requirement Overview'!G:G))</f>
        <v>GNA</v>
      </c>
      <c r="H543" s="139" t="s">
        <v>2337</v>
      </c>
      <c r="I543" s="46" t="s">
        <v>2338</v>
      </c>
      <c r="J543" s="226" t="s">
        <v>2339</v>
      </c>
      <c r="K543" s="139">
        <v>9600701929</v>
      </c>
      <c r="L543" s="46"/>
      <c r="M543" s="24" t="s">
        <v>1595</v>
      </c>
      <c r="O543" s="24" t="s">
        <v>381</v>
      </c>
      <c r="P543" s="24" t="s">
        <v>268</v>
      </c>
      <c r="Q543" s="24" t="s">
        <v>268</v>
      </c>
      <c r="R543" s="24" t="s">
        <v>382</v>
      </c>
      <c r="S543" s="24" t="s">
        <v>470</v>
      </c>
      <c r="T543" s="24" t="s">
        <v>103</v>
      </c>
      <c r="U543" s="143">
        <v>46057</v>
      </c>
      <c r="V543" s="143"/>
    </row>
    <row r="544" spans="1:45" ht="14.45">
      <c r="A544" s="24" t="s">
        <v>2340</v>
      </c>
      <c r="B544" s="24" t="s">
        <v>340</v>
      </c>
      <c r="C544" s="84" t="str">
        <f>IF(ISBLANK(B544),"",_xlfn.XLOOKUP(B544,Recruiter!A:A,Recruiter!B:B))</f>
        <v>Harshitha</v>
      </c>
      <c r="D544" s="84" t="str">
        <f>IF(ISBLANK(A544),"",_xlfn.XLOOKUP(A544,'Requirement Overview'!C:C,'Requirement Overview'!E:E))</f>
        <v>Talme</v>
      </c>
      <c r="E544" s="84" t="str">
        <f>IF(ISBLANK(A544),"",_xlfn.XLOOKUP(A544,'Requirement Overview'!C:C,'Requirement Overview'!H:H))</f>
        <v>IT</v>
      </c>
      <c r="F544" s="19" t="str">
        <f>IF(ISBLANK(A544),"",_xlfn.XLOOKUP(A544,'Requirement Overview'!C:C,'Requirement Overview'!I:I))</f>
        <v>QA Analyst</v>
      </c>
      <c r="G544" s="58" t="str">
        <f>IF(ISBLANK(A544),"",_xlfn.XLOOKUP(A544,'Requirement Overview'!C:C,'Requirement Overview'!G:G))</f>
        <v>GNA</v>
      </c>
      <c r="H544" s="139" t="s">
        <v>2341</v>
      </c>
      <c r="I544" s="46" t="s">
        <v>2342</v>
      </c>
      <c r="J544" s="226" t="s">
        <v>2343</v>
      </c>
      <c r="K544" s="139">
        <v>7470437329</v>
      </c>
      <c r="L544" s="46"/>
      <c r="M544" s="24" t="s">
        <v>2344</v>
      </c>
      <c r="O544" s="24" t="s">
        <v>2345</v>
      </c>
      <c r="P544" s="24" t="s">
        <v>268</v>
      </c>
      <c r="Q544" s="24" t="s">
        <v>268</v>
      </c>
      <c r="R544" s="24" t="s">
        <v>368</v>
      </c>
      <c r="S544" s="24" t="s">
        <v>470</v>
      </c>
      <c r="T544" s="24" t="s">
        <v>103</v>
      </c>
      <c r="U544" s="143">
        <v>46057</v>
      </c>
      <c r="V544" s="143"/>
    </row>
    <row r="545" spans="1:45" ht="14.45">
      <c r="A545" s="24" t="s">
        <v>122</v>
      </c>
      <c r="B545" s="24" t="s">
        <v>340</v>
      </c>
      <c r="C545" s="84" t="str">
        <f>IF(ISBLANK(B545),"",_xlfn.XLOOKUP(B545,Recruiter!A:A,Recruiter!B:B))</f>
        <v>Harshitha</v>
      </c>
      <c r="D545" s="84" t="str">
        <f>IF(ISBLANK(A545),"",_xlfn.XLOOKUP(A545,'Requirement Overview'!C:C,'Requirement Overview'!E:E))</f>
        <v>Talme</v>
      </c>
      <c r="E545" s="84" t="str">
        <f>IF(ISBLANK(A545),"",_xlfn.XLOOKUP(A545,'Requirement Overview'!C:C,'Requirement Overview'!H:H))</f>
        <v>IT</v>
      </c>
      <c r="F545" s="19" t="str">
        <f>IF(ISBLANK(A545),"",_xlfn.XLOOKUP(A545,'Requirement Overview'!C:C,'Requirement Overview'!I:I))</f>
        <v>QA Analyst</v>
      </c>
      <c r="G545" s="58" t="str">
        <f>IF(ISBLANK(A545),"",_xlfn.XLOOKUP(A545,'Requirement Overview'!C:C,'Requirement Overview'!G:G))</f>
        <v>GNA</v>
      </c>
      <c r="H545" s="139" t="s">
        <v>2346</v>
      </c>
      <c r="I545" s="46" t="s">
        <v>1198</v>
      </c>
      <c r="J545" s="226" t="s">
        <v>2347</v>
      </c>
      <c r="K545" s="139">
        <v>9047266499</v>
      </c>
      <c r="L545" s="46"/>
      <c r="M545" s="24" t="s">
        <v>279</v>
      </c>
      <c r="O545" s="24" t="s">
        <v>407</v>
      </c>
      <c r="P545" s="24" t="s">
        <v>268</v>
      </c>
      <c r="Q545" s="24" t="s">
        <v>268</v>
      </c>
      <c r="R545" s="24" t="s">
        <v>386</v>
      </c>
      <c r="S545" s="24" t="s">
        <v>470</v>
      </c>
      <c r="T545" s="24" t="s">
        <v>103</v>
      </c>
      <c r="U545" s="143">
        <v>46057</v>
      </c>
      <c r="V545" s="143"/>
    </row>
    <row r="546" spans="1:45" ht="14.45">
      <c r="A546" s="24" t="s">
        <v>122</v>
      </c>
      <c r="B546" s="24" t="s">
        <v>340</v>
      </c>
      <c r="C546" s="84" t="str">
        <f>IF(ISBLANK(B546),"",_xlfn.XLOOKUP(B546,Recruiter!A:A,Recruiter!B:B))</f>
        <v>Harshitha</v>
      </c>
      <c r="D546" s="84" t="str">
        <f>IF(ISBLANK(A546),"",_xlfn.XLOOKUP(A546,'Requirement Overview'!C:C,'Requirement Overview'!E:E))</f>
        <v>Talme</v>
      </c>
      <c r="E546" s="84" t="str">
        <f>IF(ISBLANK(A546),"",_xlfn.XLOOKUP(A546,'Requirement Overview'!C:C,'Requirement Overview'!H:H))</f>
        <v>IT</v>
      </c>
      <c r="F546" s="19" t="str">
        <f>IF(ISBLANK(A546),"",_xlfn.XLOOKUP(A546,'Requirement Overview'!C:C,'Requirement Overview'!I:I))</f>
        <v>QA Analyst</v>
      </c>
      <c r="G546" s="58" t="str">
        <f>IF(ISBLANK(A546),"",_xlfn.XLOOKUP(A546,'Requirement Overview'!C:C,'Requirement Overview'!G:G))</f>
        <v>GNA</v>
      </c>
      <c r="H546" s="139" t="s">
        <v>2348</v>
      </c>
      <c r="I546" s="46" t="s">
        <v>519</v>
      </c>
      <c r="J546" s="226" t="s">
        <v>2349</v>
      </c>
      <c r="K546" s="139" t="s">
        <v>2350</v>
      </c>
      <c r="L546" s="46"/>
      <c r="M546" s="24" t="s">
        <v>2351</v>
      </c>
      <c r="O546" s="24" t="s">
        <v>2352</v>
      </c>
      <c r="P546" s="24" t="s">
        <v>268</v>
      </c>
      <c r="Q546" s="24" t="s">
        <v>268</v>
      </c>
      <c r="R546" s="24" t="s">
        <v>407</v>
      </c>
      <c r="S546" s="24" t="s">
        <v>470</v>
      </c>
      <c r="T546" s="24" t="s">
        <v>103</v>
      </c>
      <c r="U546" s="143">
        <v>46057</v>
      </c>
    </row>
    <row r="547" spans="1:45" ht="14.45">
      <c r="A547" s="24" t="s">
        <v>122</v>
      </c>
      <c r="B547" s="24" t="s">
        <v>340</v>
      </c>
      <c r="C547" s="84" t="str">
        <f>IF(ISBLANK(B547),"",_xlfn.XLOOKUP(B547,Recruiter!A:A,Recruiter!B:B))</f>
        <v>Harshitha</v>
      </c>
      <c r="D547" s="84" t="str">
        <f>IF(ISBLANK(A547),"",_xlfn.XLOOKUP(A547,'Requirement Overview'!C:C,'Requirement Overview'!E:E))</f>
        <v>Talme</v>
      </c>
      <c r="E547" s="84" t="str">
        <f>IF(ISBLANK(A547),"",_xlfn.XLOOKUP(A547,'Requirement Overview'!C:C,'Requirement Overview'!H:H))</f>
        <v>IT</v>
      </c>
      <c r="F547" s="19" t="str">
        <f>IF(ISBLANK(A547),"",_xlfn.XLOOKUP(A547,'Requirement Overview'!C:C,'Requirement Overview'!I:I))</f>
        <v>QA Analyst</v>
      </c>
      <c r="G547" s="58" t="str">
        <f>IF(ISBLANK(A547),"",_xlfn.XLOOKUP(A547,'Requirement Overview'!C:C,'Requirement Overview'!G:G))</f>
        <v>GNA</v>
      </c>
      <c r="H547" s="139" t="s">
        <v>2353</v>
      </c>
      <c r="I547" s="46" t="s">
        <v>1198</v>
      </c>
      <c r="J547" s="226" t="s">
        <v>2354</v>
      </c>
      <c r="K547" s="139">
        <v>8763234692</v>
      </c>
      <c r="L547" s="46"/>
      <c r="M547" s="24" t="s">
        <v>1284</v>
      </c>
      <c r="O547" s="24" t="s">
        <v>392</v>
      </c>
      <c r="P547" s="24" t="s">
        <v>268</v>
      </c>
      <c r="Q547" s="24" t="s">
        <v>268</v>
      </c>
      <c r="R547" s="24" t="s">
        <v>1191</v>
      </c>
      <c r="S547" s="24" t="s">
        <v>470</v>
      </c>
      <c r="T547" s="24" t="s">
        <v>103</v>
      </c>
      <c r="U547" s="143">
        <v>46057</v>
      </c>
    </row>
    <row r="548" spans="1:45" ht="14.45">
      <c r="A548" s="24" t="s">
        <v>118</v>
      </c>
      <c r="B548" s="24" t="s">
        <v>520</v>
      </c>
      <c r="C548" s="84" t="str">
        <f>IF(ISBLANK(B548),"",_xlfn.XLOOKUP(B548,Recruiter!A:A,Recruiter!B:B))</f>
        <v>Narthana</v>
      </c>
      <c r="D548" s="84" t="str">
        <f>IF(ISBLANK(A548),"",_xlfn.XLOOKUP(A548,'Requirement Overview'!C:C,'Requirement Overview'!E:E))</f>
        <v>Talme</v>
      </c>
      <c r="E548" s="84" t="str">
        <f>IF(ISBLANK(A548),"",_xlfn.XLOOKUP(A548,'Requirement Overview'!C:C,'Requirement Overview'!H:H))</f>
        <v>IT</v>
      </c>
      <c r="F548" s="19" t="str">
        <f>IF(ISBLANK(A548),"",_xlfn.XLOOKUP(A548,'Requirement Overview'!C:C,'Requirement Overview'!I:I))</f>
        <v>Java Lead Analyst</v>
      </c>
      <c r="G548" s="58" t="str">
        <f>IF(ISBLANK(A548),"",_xlfn.XLOOKUP(A548,'Requirement Overview'!C:C,'Requirement Overview'!G:G))</f>
        <v>Thoughtfocus</v>
      </c>
      <c r="H548" s="139" t="s">
        <v>2355</v>
      </c>
      <c r="I548" s="46"/>
      <c r="J548" s="59"/>
      <c r="K548" s="24">
        <v>9566183390</v>
      </c>
      <c r="L548" s="46"/>
      <c r="S548" s="24" t="s">
        <v>612</v>
      </c>
      <c r="T548" s="24" t="s">
        <v>103</v>
      </c>
      <c r="U548" s="143">
        <v>46059</v>
      </c>
      <c r="V548" s="143">
        <v>46059</v>
      </c>
      <c r="W548" s="24" t="s">
        <v>2332</v>
      </c>
    </row>
    <row r="549" spans="1:45" ht="14.45">
      <c r="A549" s="24" t="s">
        <v>118</v>
      </c>
      <c r="B549" s="24" t="s">
        <v>520</v>
      </c>
      <c r="C549" s="84" t="str">
        <f>IF(ISBLANK(B549),"",_xlfn.XLOOKUP(B549,Recruiter!A:A,Recruiter!B:B))</f>
        <v>Narthana</v>
      </c>
      <c r="D549" s="84" t="str">
        <f>IF(ISBLANK(A549),"",_xlfn.XLOOKUP(A549,'Requirement Overview'!C:C,'Requirement Overview'!E:E))</f>
        <v>Talme</v>
      </c>
      <c r="E549" s="84" t="str">
        <f>IF(ISBLANK(A549),"",_xlfn.XLOOKUP(A549,'Requirement Overview'!C:C,'Requirement Overview'!H:H))</f>
        <v>IT</v>
      </c>
      <c r="F549" s="19" t="str">
        <f>IF(ISBLANK(A549),"",_xlfn.XLOOKUP(A549,'Requirement Overview'!C:C,'Requirement Overview'!I:I))</f>
        <v>Java Lead Analyst</v>
      </c>
      <c r="G549" s="58" t="str">
        <f>IF(ISBLANK(A549),"",_xlfn.XLOOKUP(A549,'Requirement Overview'!C:C,'Requirement Overview'!G:G))</f>
        <v>Thoughtfocus</v>
      </c>
      <c r="H549" s="139" t="s">
        <v>2356</v>
      </c>
      <c r="I549" s="46"/>
      <c r="J549" s="59"/>
      <c r="K549" s="24">
        <v>9123852911</v>
      </c>
      <c r="L549" s="46"/>
      <c r="S549" s="24" t="s">
        <v>612</v>
      </c>
      <c r="T549" s="24" t="s">
        <v>103</v>
      </c>
      <c r="U549" s="143">
        <v>46059</v>
      </c>
      <c r="V549" s="143">
        <v>46059</v>
      </c>
    </row>
    <row r="550" spans="1:45" ht="14.45">
      <c r="A550" s="24" t="s">
        <v>118</v>
      </c>
      <c r="B550" s="24" t="s">
        <v>520</v>
      </c>
      <c r="C550" s="84" t="str">
        <f>IF(ISBLANK(B550),"",_xlfn.XLOOKUP(B550,Recruiter!A:A,Recruiter!B:B))</f>
        <v>Narthana</v>
      </c>
      <c r="D550" s="84" t="str">
        <f>IF(ISBLANK(A550),"",_xlfn.XLOOKUP(A550,'Requirement Overview'!C:C,'Requirement Overview'!E:E))</f>
        <v>Talme</v>
      </c>
      <c r="E550" s="84" t="str">
        <f>IF(ISBLANK(A550),"",_xlfn.XLOOKUP(A550,'Requirement Overview'!C:C,'Requirement Overview'!H:H))</f>
        <v>IT</v>
      </c>
      <c r="F550" s="19" t="str">
        <f>IF(ISBLANK(A550),"",_xlfn.XLOOKUP(A550,'Requirement Overview'!C:C,'Requirement Overview'!I:I))</f>
        <v>Java Lead Analyst</v>
      </c>
      <c r="G550" s="58" t="str">
        <f>IF(ISBLANK(A550),"",_xlfn.XLOOKUP(A550,'Requirement Overview'!C:C,'Requirement Overview'!G:G))</f>
        <v>Thoughtfocus</v>
      </c>
      <c r="H550" s="139" t="s">
        <v>2357</v>
      </c>
      <c r="I550" s="46"/>
      <c r="J550" s="59"/>
      <c r="K550" s="24">
        <v>7500923346</v>
      </c>
      <c r="L550" s="46"/>
      <c r="S550" s="24" t="s">
        <v>518</v>
      </c>
      <c r="T550" s="24" t="s">
        <v>103</v>
      </c>
      <c r="U550" s="143">
        <v>46059</v>
      </c>
      <c r="V550" s="143">
        <v>46059</v>
      </c>
    </row>
    <row r="551" spans="1:45" ht="14.45">
      <c r="A551" s="24" t="s">
        <v>118</v>
      </c>
      <c r="B551" s="24" t="s">
        <v>236</v>
      </c>
      <c r="C551" s="84" t="str">
        <f>IF(ISBLANK(B551),"",_xlfn.XLOOKUP(B551,Recruiter!A:A,Recruiter!B:B))</f>
        <v>Pooja</v>
      </c>
      <c r="D551" s="84" t="str">
        <f>IF(ISBLANK(A551),"",_xlfn.XLOOKUP(A551,'Requirement Overview'!C:C,'Requirement Overview'!E:E))</f>
        <v>Talme</v>
      </c>
      <c r="E551" s="84" t="str">
        <f>IF(ISBLANK(A551),"",_xlfn.XLOOKUP(A551,'Requirement Overview'!C:C,'Requirement Overview'!H:H))</f>
        <v>IT</v>
      </c>
      <c r="F551" s="19" t="str">
        <f>IF(ISBLANK(A551),"",_xlfn.XLOOKUP(A551,'Requirement Overview'!C:C,'Requirement Overview'!I:I))</f>
        <v>Java Lead Analyst</v>
      </c>
      <c r="G551" s="58" t="str">
        <f>IF(ISBLANK(A551),"",_xlfn.XLOOKUP(A551,'Requirement Overview'!C:C,'Requirement Overview'!G:G))</f>
        <v>Thoughtfocus</v>
      </c>
      <c r="H551" s="139" t="s">
        <v>2358</v>
      </c>
      <c r="I551" s="3" t="s">
        <v>2359</v>
      </c>
      <c r="J551" s="71" t="s">
        <v>2360</v>
      </c>
      <c r="K551" s="3">
        <v>7717770180</v>
      </c>
      <c r="L551" s="3" t="s">
        <v>305</v>
      </c>
      <c r="M551" s="3" t="s">
        <v>636</v>
      </c>
      <c r="N551" s="3" t="s">
        <v>2361</v>
      </c>
      <c r="O551" s="3" t="s">
        <v>2362</v>
      </c>
      <c r="P551" s="3" t="s">
        <v>268</v>
      </c>
      <c r="Q551" s="3" t="s">
        <v>1557</v>
      </c>
      <c r="R551" s="3" t="s">
        <v>1853</v>
      </c>
      <c r="S551" s="24" t="s">
        <v>518</v>
      </c>
      <c r="T551" s="24" t="s">
        <v>103</v>
      </c>
      <c r="U551" s="29">
        <v>46060</v>
      </c>
      <c r="V551" s="29">
        <v>46060</v>
      </c>
    </row>
    <row r="552" spans="1:45" ht="14.45">
      <c r="A552" s="24" t="s">
        <v>118</v>
      </c>
      <c r="B552" s="24" t="s">
        <v>236</v>
      </c>
      <c r="C552" s="84" t="str">
        <f>IF(ISBLANK(B552),"",_xlfn.XLOOKUP(B552,Recruiter!A:A,Recruiter!B:B))</f>
        <v>Pooja</v>
      </c>
      <c r="D552" s="84" t="str">
        <f>IF(ISBLANK(A552),"",_xlfn.XLOOKUP(A552,'Requirement Overview'!C:C,'Requirement Overview'!E:E))</f>
        <v>Talme</v>
      </c>
      <c r="E552" s="84" t="str">
        <f>IF(ISBLANK(A552),"",_xlfn.XLOOKUP(A552,'Requirement Overview'!C:C,'Requirement Overview'!H:H))</f>
        <v>IT</v>
      </c>
      <c r="F552" s="19" t="str">
        <f>IF(ISBLANK(A552),"",_xlfn.XLOOKUP(A552,'Requirement Overview'!C:C,'Requirement Overview'!I:I))</f>
        <v>Java Lead Analyst</v>
      </c>
      <c r="G552" s="58" t="str">
        <f>IF(ISBLANK(A552),"",_xlfn.XLOOKUP(A552,'Requirement Overview'!C:C,'Requirement Overview'!G:G))</f>
        <v>Thoughtfocus</v>
      </c>
      <c r="H552" s="139" t="s">
        <v>2363</v>
      </c>
      <c r="I552" s="3" t="s">
        <v>2364</v>
      </c>
      <c r="J552" s="71" t="s">
        <v>2365</v>
      </c>
      <c r="K552" s="3">
        <v>9482044207</v>
      </c>
      <c r="L552" s="3" t="s">
        <v>305</v>
      </c>
      <c r="M552" s="3" t="s">
        <v>2366</v>
      </c>
      <c r="N552" s="3" t="s">
        <v>2367</v>
      </c>
      <c r="O552" s="3" t="s">
        <v>2368</v>
      </c>
      <c r="P552" s="3" t="s">
        <v>2369</v>
      </c>
      <c r="Q552" s="3" t="s">
        <v>1557</v>
      </c>
      <c r="R552" s="3" t="s">
        <v>2370</v>
      </c>
      <c r="S552" s="24" t="s">
        <v>518</v>
      </c>
      <c r="T552" s="24" t="s">
        <v>103</v>
      </c>
      <c r="U552" s="29">
        <v>46060</v>
      </c>
      <c r="V552" s="29">
        <v>46060</v>
      </c>
    </row>
    <row r="553" spans="1:45" ht="14.45">
      <c r="A553" s="24" t="s">
        <v>118</v>
      </c>
      <c r="B553" s="24" t="s">
        <v>236</v>
      </c>
      <c r="C553" s="84" t="str">
        <f>IF(ISBLANK(B553),"",_xlfn.XLOOKUP(B553,Recruiter!A:A,Recruiter!B:B))</f>
        <v>Pooja</v>
      </c>
      <c r="D553" s="84" t="str">
        <f>IF(ISBLANK(A553),"",_xlfn.XLOOKUP(A553,'Requirement Overview'!C:C,'Requirement Overview'!E:E))</f>
        <v>Talme</v>
      </c>
      <c r="E553" s="84" t="str">
        <f>IF(ISBLANK(A553),"",_xlfn.XLOOKUP(A553,'Requirement Overview'!C:C,'Requirement Overview'!H:H))</f>
        <v>IT</v>
      </c>
      <c r="F553" s="19" t="str">
        <f>IF(ISBLANK(A553),"",_xlfn.XLOOKUP(A553,'Requirement Overview'!C:C,'Requirement Overview'!I:I))</f>
        <v>Java Lead Analyst</v>
      </c>
      <c r="G553" s="58" t="str">
        <f>IF(ISBLANK(A553),"",_xlfn.XLOOKUP(A553,'Requirement Overview'!C:C,'Requirement Overview'!G:G))</f>
        <v>Thoughtfocus</v>
      </c>
      <c r="H553" s="139" t="s">
        <v>2371</v>
      </c>
      <c r="I553" s="3" t="s">
        <v>2372</v>
      </c>
      <c r="J553" s="71" t="s">
        <v>2373</v>
      </c>
      <c r="K553" s="3">
        <v>9019317504</v>
      </c>
      <c r="L553" s="3" t="s">
        <v>305</v>
      </c>
      <c r="M553" s="3" t="s">
        <v>647</v>
      </c>
      <c r="N553" s="3" t="s">
        <v>2374</v>
      </c>
      <c r="O553" s="3" t="s">
        <v>374</v>
      </c>
      <c r="P553" s="3" t="s">
        <v>2375</v>
      </c>
      <c r="Q553" s="3" t="s">
        <v>1557</v>
      </c>
      <c r="R553" s="3" t="s">
        <v>1302</v>
      </c>
      <c r="S553" s="24" t="s">
        <v>270</v>
      </c>
      <c r="T553" s="24" t="s">
        <v>103</v>
      </c>
      <c r="U553" s="29">
        <v>46062</v>
      </c>
      <c r="V553" s="29">
        <v>46062</v>
      </c>
    </row>
    <row r="554" spans="1:45" ht="14.45">
      <c r="A554" s="24" t="s">
        <v>118</v>
      </c>
      <c r="B554" s="24" t="s">
        <v>236</v>
      </c>
      <c r="C554" s="84" t="str">
        <f>IF(ISBLANK(B554),"",_xlfn.XLOOKUP(B554,Recruiter!A:A,Recruiter!B:B))</f>
        <v>Pooja</v>
      </c>
      <c r="D554" s="84" t="str">
        <f>IF(ISBLANK(A554),"",_xlfn.XLOOKUP(A554,'Requirement Overview'!C:C,'Requirement Overview'!E:E))</f>
        <v>Talme</v>
      </c>
      <c r="E554" s="84" t="str">
        <f>IF(ISBLANK(A554),"",_xlfn.XLOOKUP(A554,'Requirement Overview'!C:C,'Requirement Overview'!H:H))</f>
        <v>IT</v>
      </c>
      <c r="F554" s="19" t="str">
        <f>IF(ISBLANK(A554),"",_xlfn.XLOOKUP(A554,'Requirement Overview'!C:C,'Requirement Overview'!I:I))</f>
        <v>Java Lead Analyst</v>
      </c>
      <c r="G554" s="58" t="str">
        <f>IF(ISBLANK(A554),"",_xlfn.XLOOKUP(A554,'Requirement Overview'!C:C,'Requirement Overview'!G:G))</f>
        <v>Thoughtfocus</v>
      </c>
      <c r="H554" s="139" t="s">
        <v>2376</v>
      </c>
      <c r="I554" s="50" t="s">
        <v>2377</v>
      </c>
      <c r="J554" s="242" t="s">
        <v>2378</v>
      </c>
      <c r="K554" s="50">
        <v>9632169072</v>
      </c>
      <c r="L554" s="50" t="s">
        <v>305</v>
      </c>
      <c r="M554" s="50" t="s">
        <v>2379</v>
      </c>
      <c r="N554" s="50" t="s">
        <v>2380</v>
      </c>
      <c r="O554" s="50" t="s">
        <v>757</v>
      </c>
      <c r="P554" s="50" t="s">
        <v>569</v>
      </c>
      <c r="Q554" s="3" t="s">
        <v>1557</v>
      </c>
      <c r="R554" s="50" t="s">
        <v>548</v>
      </c>
      <c r="S554" s="24" t="s">
        <v>470</v>
      </c>
      <c r="T554" s="24" t="s">
        <v>103</v>
      </c>
      <c r="U554" s="29">
        <v>46062</v>
      </c>
      <c r="V554" s="29">
        <v>46062</v>
      </c>
    </row>
    <row r="555" spans="1:45" ht="14.45">
      <c r="A555" s="24" t="s">
        <v>110</v>
      </c>
      <c r="B555" s="24" t="s">
        <v>236</v>
      </c>
      <c r="C555" s="84" t="str">
        <f>IF(ISBLANK(B555),"",_xlfn.XLOOKUP(B555,Recruiter!A:A,Recruiter!B:B))</f>
        <v>Pooja</v>
      </c>
      <c r="D555" s="84" t="str">
        <f>IF(ISBLANK(A555),"",_xlfn.XLOOKUP(A555,'Requirement Overview'!C:C,'Requirement Overview'!E:E))</f>
        <v>Talme</v>
      </c>
      <c r="E555" s="84" t="str">
        <f>IF(ISBLANK(A555),"",_xlfn.XLOOKUP(A555,'Requirement Overview'!C:C,'Requirement Overview'!H:H))</f>
        <v>IT</v>
      </c>
      <c r="F555" s="19" t="str">
        <f>IF(ISBLANK(A555),"",_xlfn.XLOOKUP(A555,'Requirement Overview'!C:C,'Requirement Overview'!I:I))</f>
        <v>Technical Lead - Mobile Development</v>
      </c>
      <c r="G555" s="58" t="str">
        <f>IF(ISBLANK(A555),"",_xlfn.XLOOKUP(A555,'Requirement Overview'!C:C,'Requirement Overview'!G:G))</f>
        <v>Semnox Solutions</v>
      </c>
      <c r="H555" s="139" t="s">
        <v>2381</v>
      </c>
      <c r="I555" s="3" t="s">
        <v>519</v>
      </c>
      <c r="J555" s="71" t="s">
        <v>2382</v>
      </c>
      <c r="K555" s="3">
        <v>8249043626</v>
      </c>
      <c r="L555" s="3" t="s">
        <v>305</v>
      </c>
      <c r="M555" s="3" t="s">
        <v>2383</v>
      </c>
      <c r="N555" s="3" t="s">
        <v>995</v>
      </c>
      <c r="O555" s="3" t="s">
        <v>868</v>
      </c>
      <c r="P555" s="3" t="s">
        <v>2384</v>
      </c>
      <c r="Q555" s="3" t="s">
        <v>1471</v>
      </c>
      <c r="R555" s="3" t="s">
        <v>2385</v>
      </c>
      <c r="S555" s="24" t="s">
        <v>470</v>
      </c>
      <c r="T555" s="24" t="s">
        <v>103</v>
      </c>
      <c r="U555" s="29">
        <v>46062</v>
      </c>
      <c r="V555" s="29">
        <v>46062</v>
      </c>
    </row>
    <row r="556" spans="1:45" ht="14.45">
      <c r="A556" s="24" t="s">
        <v>110</v>
      </c>
      <c r="B556" s="24" t="s">
        <v>236</v>
      </c>
      <c r="C556" s="84" t="str">
        <f>IF(ISBLANK(B556),"",_xlfn.XLOOKUP(B556,Recruiter!A:A,Recruiter!B:B))</f>
        <v>Pooja</v>
      </c>
      <c r="D556" s="84" t="str">
        <f>IF(ISBLANK(A556),"",_xlfn.XLOOKUP(A556,'Requirement Overview'!C:C,'Requirement Overview'!E:E))</f>
        <v>Talme</v>
      </c>
      <c r="E556" s="84" t="str">
        <f>IF(ISBLANK(A556),"",_xlfn.XLOOKUP(A556,'Requirement Overview'!C:C,'Requirement Overview'!H:H))</f>
        <v>IT</v>
      </c>
      <c r="F556" s="19" t="str">
        <f>IF(ISBLANK(A556),"",_xlfn.XLOOKUP(A556,'Requirement Overview'!C:C,'Requirement Overview'!I:I))</f>
        <v>Technical Lead - Mobile Development</v>
      </c>
      <c r="G556" s="58" t="str">
        <f>IF(ISBLANK(A556),"",_xlfn.XLOOKUP(A556,'Requirement Overview'!C:C,'Requirement Overview'!G:G))</f>
        <v>Semnox Solutions</v>
      </c>
      <c r="H556" s="139" t="s">
        <v>2386</v>
      </c>
      <c r="I556" s="3" t="s">
        <v>2139</v>
      </c>
      <c r="J556" s="71" t="s">
        <v>2387</v>
      </c>
      <c r="K556" s="3">
        <v>8608864924</v>
      </c>
      <c r="L556" s="3" t="s">
        <v>305</v>
      </c>
      <c r="M556" s="3" t="s">
        <v>899</v>
      </c>
      <c r="N556" s="3" t="s">
        <v>2388</v>
      </c>
      <c r="O556" s="3" t="s">
        <v>589</v>
      </c>
      <c r="P556" s="3" t="s">
        <v>1128</v>
      </c>
      <c r="Q556" s="3" t="s">
        <v>1471</v>
      </c>
      <c r="R556" s="3" t="s">
        <v>715</v>
      </c>
      <c r="S556" s="24" t="s">
        <v>470</v>
      </c>
      <c r="T556" s="24" t="s">
        <v>103</v>
      </c>
      <c r="U556" s="29">
        <v>46062</v>
      </c>
      <c r="V556" s="29">
        <v>46062</v>
      </c>
    </row>
    <row r="557" spans="1:45" ht="14.45">
      <c r="A557" s="51" t="s">
        <v>110</v>
      </c>
      <c r="B557" s="51" t="s">
        <v>236</v>
      </c>
      <c r="C557" s="88" t="str">
        <f>IF(ISBLANK(B557),"",_xlfn.XLOOKUP(B557,Recruiter!A:A,Recruiter!B:B))</f>
        <v>Pooja</v>
      </c>
      <c r="D557" s="88" t="str">
        <f>IF(ISBLANK(A557),"",_xlfn.XLOOKUP(A557,'Requirement Overview'!C:C,'Requirement Overview'!E:E))</f>
        <v>Talme</v>
      </c>
      <c r="E557" s="88" t="str">
        <f>IF(ISBLANK(A557),"",_xlfn.XLOOKUP(A557,'Requirement Overview'!C:C,'Requirement Overview'!H:H))</f>
        <v>IT</v>
      </c>
      <c r="F557" s="73" t="str">
        <f>IF(ISBLANK(A557),"",_xlfn.XLOOKUP(A557,'Requirement Overview'!C:C,'Requirement Overview'!I:I))</f>
        <v>Technical Lead - Mobile Development</v>
      </c>
      <c r="G557" s="62" t="str">
        <f>IF(ISBLANK(A557),"",_xlfn.XLOOKUP(A557,'Requirement Overview'!C:C,'Requirement Overview'!G:G))</f>
        <v>Semnox Solutions</v>
      </c>
      <c r="H557" s="546" t="s">
        <v>2389</v>
      </c>
      <c r="I557" s="50" t="s">
        <v>519</v>
      </c>
      <c r="J557" s="320" t="s">
        <v>2390</v>
      </c>
      <c r="K557" s="320">
        <v>9591909081</v>
      </c>
      <c r="L557" s="50" t="s">
        <v>378</v>
      </c>
      <c r="M557" s="50" t="s">
        <v>899</v>
      </c>
      <c r="N557" s="50" t="s">
        <v>2391</v>
      </c>
      <c r="O557" s="50" t="s">
        <v>353</v>
      </c>
      <c r="P557" s="50" t="s">
        <v>268</v>
      </c>
      <c r="Q557" s="50" t="s">
        <v>1471</v>
      </c>
      <c r="R557" s="50" t="s">
        <v>517</v>
      </c>
      <c r="S557" s="51" t="s">
        <v>470</v>
      </c>
      <c r="T557" s="51" t="s">
        <v>271</v>
      </c>
      <c r="U557" s="89">
        <v>46062</v>
      </c>
      <c r="V557" s="89">
        <v>46062</v>
      </c>
      <c r="W557" s="51"/>
      <c r="X557" s="51"/>
      <c r="Y557" s="51"/>
      <c r="Z557" s="51"/>
      <c r="AA557" s="51"/>
      <c r="AB557" s="51"/>
      <c r="AC557" s="51"/>
      <c r="AD557" s="51"/>
    </row>
    <row r="558" spans="1:45" ht="14.45">
      <c r="A558" s="702" t="s">
        <v>55</v>
      </c>
      <c r="B558" s="702" t="s">
        <v>258</v>
      </c>
      <c r="C558" s="487" t="str">
        <f>IF(ISBLANK(B558),"",_xlfn.XLOOKUP(B558,Recruiter!A:A,Recruiter!B:B))</f>
        <v>Bhoomika</v>
      </c>
      <c r="D558" s="487" t="str">
        <f>IF(ISBLANK(A558),"",_xlfn.XLOOKUP(A558,'Requirement Overview'!C:C,'Requirement Overview'!E:E))</f>
        <v>Talme</v>
      </c>
      <c r="E558" s="487" t="str">
        <f>IF(ISBLANK(A558),"",_xlfn.XLOOKUP(A558,'Requirement Overview'!C:C,'Requirement Overview'!H:H))</f>
        <v>Non - IT</v>
      </c>
      <c r="F558" s="476" t="str">
        <f>IF(ISBLANK(A558),"",_xlfn.XLOOKUP(A558,'Requirement Overview'!C:C,'Requirement Overview'!I:I))</f>
        <v>Inside Sales Executive</v>
      </c>
      <c r="G558" s="702" t="str">
        <f>IF(ISBLANK(A558),"",_xlfn.XLOOKUP(A558,'Requirement Overview'!C:C,'Requirement Overview'!G:G))</f>
        <v>Peritas</v>
      </c>
      <c r="H558" s="515" t="s">
        <v>2392</v>
      </c>
      <c r="I558" s="702" t="s">
        <v>316</v>
      </c>
      <c r="J558" s="478" t="s">
        <v>2393</v>
      </c>
      <c r="K558" s="702">
        <v>9091090886</v>
      </c>
      <c r="L558" s="702" t="s">
        <v>1024</v>
      </c>
      <c r="M558" s="702" t="s">
        <v>1490</v>
      </c>
      <c r="N558" s="702" t="s">
        <v>2394</v>
      </c>
      <c r="O558" s="702" t="s">
        <v>1507</v>
      </c>
      <c r="P558" s="702" t="s">
        <v>294</v>
      </c>
      <c r="Q558" s="702" t="s">
        <v>294</v>
      </c>
      <c r="R558" s="702" t="s">
        <v>1680</v>
      </c>
      <c r="S558" s="702" t="s">
        <v>270</v>
      </c>
      <c r="T558" s="702" t="s">
        <v>103</v>
      </c>
      <c r="U558" s="703">
        <v>46062</v>
      </c>
      <c r="V558" s="703">
        <v>46062</v>
      </c>
      <c r="W558" s="702"/>
      <c r="X558" s="702"/>
      <c r="Y558" s="702"/>
      <c r="Z558" s="702"/>
      <c r="AA558" s="702"/>
      <c r="AB558" s="702"/>
      <c r="AC558" s="702"/>
      <c r="AD558" s="702"/>
      <c r="AE558" s="46"/>
    </row>
    <row r="559" spans="1:45" ht="14.45">
      <c r="A559" s="702" t="s">
        <v>55</v>
      </c>
      <c r="B559" s="702" t="s">
        <v>258</v>
      </c>
      <c r="C559" s="487" t="str">
        <f>IF(ISBLANK(B559),"",_xlfn.XLOOKUP(B559,Recruiter!A:A,Recruiter!B:B))</f>
        <v>Bhoomika</v>
      </c>
      <c r="D559" s="487" t="str">
        <f>IF(ISBLANK(A559),"",_xlfn.XLOOKUP(A559,'Requirement Overview'!C:C,'Requirement Overview'!E:E))</f>
        <v>Talme</v>
      </c>
      <c r="E559" s="487" t="str">
        <f>IF(ISBLANK(A559),"",_xlfn.XLOOKUP(A559,'Requirement Overview'!C:C,'Requirement Overview'!H:H))</f>
        <v>Non - IT</v>
      </c>
      <c r="F559" s="476" t="str">
        <f>IF(ISBLANK(A559),"",_xlfn.XLOOKUP(A559,'Requirement Overview'!C:C,'Requirement Overview'!I:I))</f>
        <v>Inside Sales Executive</v>
      </c>
      <c r="G559" s="702" t="str">
        <f>IF(ISBLANK(A559),"",_xlfn.XLOOKUP(A559,'Requirement Overview'!C:C,'Requirement Overview'!G:G))</f>
        <v>Peritas</v>
      </c>
      <c r="H559" s="515" t="s">
        <v>2395</v>
      </c>
      <c r="I559" s="702" t="s">
        <v>316</v>
      </c>
      <c r="J559" s="478" t="s">
        <v>2396</v>
      </c>
      <c r="K559" s="702">
        <v>9390336646</v>
      </c>
      <c r="L559" s="702" t="s">
        <v>311</v>
      </c>
      <c r="M559" s="702" t="s">
        <v>306</v>
      </c>
      <c r="N559" s="702" t="s">
        <v>2397</v>
      </c>
      <c r="O559" s="702" t="s">
        <v>2398</v>
      </c>
      <c r="P559" s="702" t="s">
        <v>294</v>
      </c>
      <c r="Q559" s="702" t="s">
        <v>294</v>
      </c>
      <c r="R559" s="702" t="s">
        <v>301</v>
      </c>
      <c r="S559" s="702" t="s">
        <v>270</v>
      </c>
      <c r="T559" s="702" t="s">
        <v>103</v>
      </c>
      <c r="U559" s="703">
        <v>46062</v>
      </c>
      <c r="V559" s="703">
        <v>46062</v>
      </c>
      <c r="W559" s="702"/>
      <c r="X559" s="702"/>
      <c r="Y559" s="702"/>
      <c r="Z559" s="702"/>
      <c r="AA559" s="702"/>
      <c r="AB559" s="702"/>
      <c r="AC559" s="702"/>
      <c r="AD559" s="702"/>
      <c r="AE559" s="46"/>
    </row>
    <row r="560" spans="1:45" s="51" customFormat="1" ht="15.6">
      <c r="A560" s="702" t="s">
        <v>75</v>
      </c>
      <c r="B560" s="702" t="s">
        <v>258</v>
      </c>
      <c r="C560" s="487" t="str">
        <f>IF(ISBLANK(B560),"",_xlfn.XLOOKUP(B560,Recruiter!A:A,Recruiter!B:B))</f>
        <v>Bhoomika</v>
      </c>
      <c r="D560" s="487" t="str">
        <f>IF(ISBLANK(A560),"",_xlfn.XLOOKUP(A560,'Requirement Overview'!C:C,'Requirement Overview'!E:E))</f>
        <v>Talme</v>
      </c>
      <c r="E560" s="487" t="str">
        <f>IF(ISBLANK(A560),"",_xlfn.XLOOKUP(A560,'Requirement Overview'!C:C,'Requirement Overview'!H:H))</f>
        <v>Non - IT</v>
      </c>
      <c r="F560" s="476" t="str">
        <f>IF(ISBLANK(A560),"",_xlfn.XLOOKUP(A560,'Requirement Overview'!C:C,'Requirement Overview'!I:I))</f>
        <v>Compliance Officer</v>
      </c>
      <c r="G560" s="702" t="str">
        <f>IF(ISBLANK(A560),"",_xlfn.XLOOKUP(A560,'Requirement Overview'!C:C,'Requirement Overview'!G:G))</f>
        <v>GNA</v>
      </c>
      <c r="H560" s="515" t="s">
        <v>2399</v>
      </c>
      <c r="I560" s="702" t="s">
        <v>497</v>
      </c>
      <c r="J560" s="514" t="s">
        <v>2400</v>
      </c>
      <c r="K560" s="702">
        <v>7032471163</v>
      </c>
      <c r="L560" s="472" t="s">
        <v>305</v>
      </c>
      <c r="M560" s="702" t="s">
        <v>1275</v>
      </c>
      <c r="N560" s="717" t="s">
        <v>2401</v>
      </c>
      <c r="O560" s="702" t="s">
        <v>321</v>
      </c>
      <c r="P560" s="702" t="s">
        <v>294</v>
      </c>
      <c r="Q560" s="702" t="s">
        <v>294</v>
      </c>
      <c r="R560" s="702" t="s">
        <v>327</v>
      </c>
      <c r="S560" s="702" t="s">
        <v>270</v>
      </c>
      <c r="T560" s="702" t="s">
        <v>103</v>
      </c>
      <c r="U560" s="703">
        <v>46062</v>
      </c>
      <c r="V560" s="703">
        <v>46062</v>
      </c>
      <c r="W560" s="702"/>
      <c r="X560" s="702"/>
      <c r="Y560" s="702"/>
      <c r="Z560" s="702"/>
      <c r="AA560" s="702"/>
      <c r="AB560" s="702"/>
      <c r="AC560" s="702"/>
      <c r="AD560" s="702"/>
      <c r="AE560" s="108"/>
      <c r="AL560" s="73"/>
      <c r="AM560" s="73"/>
      <c r="AS560" s="73"/>
    </row>
    <row r="561" spans="1:45" ht="14.45">
      <c r="A561" s="47" t="s">
        <v>40</v>
      </c>
      <c r="B561" s="47" t="s">
        <v>520</v>
      </c>
      <c r="C561" s="129" t="str">
        <f>IF(ISBLANK(B561),"",_xlfn.XLOOKUP(B561,Recruiter!A:A,Recruiter!B:B))</f>
        <v>Narthana</v>
      </c>
      <c r="D561" s="129" t="str">
        <f>IF(ISBLANK(A561),"",_xlfn.XLOOKUP(A561,'Requirement Overview'!C:C,'Requirement Overview'!E:E))</f>
        <v>Talme</v>
      </c>
      <c r="E561" s="129" t="str">
        <f>IF(ISBLANK(A561),"",_xlfn.XLOOKUP(A561,'Requirement Overview'!C:C,'Requirement Overview'!H:H))</f>
        <v>IT</v>
      </c>
      <c r="F561" s="80" t="str">
        <f>IF(ISBLANK(A561),"",_xlfn.XLOOKUP(A561,'Requirement Overview'!C:C,'Requirement Overview'!I:I))</f>
        <v>Display driver</v>
      </c>
      <c r="G561" s="47" t="str">
        <f>IF(ISBLANK(A561),"",_xlfn.XLOOKUP(A561,'Requirement Overview'!C:C,'Requirement Overview'!G:G))</f>
        <v>KPIT</v>
      </c>
      <c r="H561" s="614" t="s">
        <v>2402</v>
      </c>
      <c r="I561" s="595" t="s">
        <v>2403</v>
      </c>
      <c r="J561" s="615" t="s">
        <v>2404</v>
      </c>
      <c r="K561" s="616">
        <v>8013813467</v>
      </c>
      <c r="L561" s="595" t="s">
        <v>305</v>
      </c>
      <c r="M561" s="595" t="s">
        <v>379</v>
      </c>
      <c r="N561" s="617" t="s">
        <v>2405</v>
      </c>
      <c r="O561" s="595" t="s">
        <v>450</v>
      </c>
      <c r="P561" s="595" t="s">
        <v>268</v>
      </c>
      <c r="Q561" s="595" t="s">
        <v>268</v>
      </c>
      <c r="R561" s="595" t="s">
        <v>489</v>
      </c>
      <c r="S561" s="47" t="s">
        <v>601</v>
      </c>
      <c r="T561" s="47" t="s">
        <v>103</v>
      </c>
      <c r="U561" s="118">
        <v>46062</v>
      </c>
      <c r="V561" s="118">
        <v>46062</v>
      </c>
      <c r="W561" s="47"/>
      <c r="X561" s="47"/>
      <c r="Y561" s="47"/>
      <c r="Z561" s="47"/>
      <c r="AA561" s="47"/>
      <c r="AB561" s="47"/>
      <c r="AC561" s="47"/>
      <c r="AD561" s="47"/>
    </row>
    <row r="562" spans="1:45" ht="14.45">
      <c r="A562" s="24" t="s">
        <v>40</v>
      </c>
      <c r="B562" s="24" t="s">
        <v>520</v>
      </c>
      <c r="C562" s="84" t="str">
        <f>IF(ISBLANK(B562),"",_xlfn.XLOOKUP(B562,Recruiter!A:A,Recruiter!B:B))</f>
        <v>Narthana</v>
      </c>
      <c r="D562" s="84" t="str">
        <f>IF(ISBLANK(A562),"",_xlfn.XLOOKUP(A562,'Requirement Overview'!C:C,'Requirement Overview'!E:E))</f>
        <v>Talme</v>
      </c>
      <c r="E562" s="84" t="str">
        <f>IF(ISBLANK(A562),"",_xlfn.XLOOKUP(A562,'Requirement Overview'!C:C,'Requirement Overview'!H:H))</f>
        <v>IT</v>
      </c>
      <c r="F562" s="19" t="str">
        <f>IF(ISBLANK(A562),"",_xlfn.XLOOKUP(A562,'Requirement Overview'!C:C,'Requirement Overview'!I:I))</f>
        <v>Display driver</v>
      </c>
      <c r="G562" s="24" t="str">
        <f>IF(ISBLANK(A562),"",_xlfn.XLOOKUP(A562,'Requirement Overview'!C:C,'Requirement Overview'!G:G))</f>
        <v>KPIT</v>
      </c>
      <c r="H562" s="139" t="s">
        <v>2406</v>
      </c>
      <c r="I562" s="52" t="s">
        <v>2403</v>
      </c>
      <c r="J562" s="244" t="s">
        <v>2407</v>
      </c>
      <c r="K562" s="245">
        <v>9901177051</v>
      </c>
      <c r="L562" s="52" t="s">
        <v>311</v>
      </c>
      <c r="M562" s="52" t="s">
        <v>390</v>
      </c>
      <c r="N562" s="52" t="s">
        <v>2324</v>
      </c>
      <c r="O562" s="52" t="s">
        <v>1302</v>
      </c>
      <c r="P562" s="52" t="s">
        <v>268</v>
      </c>
      <c r="Q562" s="52" t="s">
        <v>268</v>
      </c>
      <c r="R562" s="52" t="s">
        <v>1653</v>
      </c>
      <c r="S562" s="24" t="s">
        <v>601</v>
      </c>
      <c r="T562" s="24" t="s">
        <v>103</v>
      </c>
      <c r="U562" s="29">
        <v>46062</v>
      </c>
      <c r="V562" s="29">
        <v>46062</v>
      </c>
    </row>
    <row r="563" spans="1:45" ht="14.45">
      <c r="A563" s="24" t="s">
        <v>37</v>
      </c>
      <c r="B563" s="24" t="s">
        <v>520</v>
      </c>
      <c r="C563" s="84" t="str">
        <f>IF(ISBLANK(B563),"",_xlfn.XLOOKUP(B563,Recruiter!A:A,Recruiter!B:B))</f>
        <v>Narthana</v>
      </c>
      <c r="D563" s="84" t="str">
        <f>IF(ISBLANK(A563),"",_xlfn.XLOOKUP(A563,'Requirement Overview'!C:C,'Requirement Overview'!E:E))</f>
        <v>Talme</v>
      </c>
      <c r="E563" s="84" t="str">
        <f>IF(ISBLANK(A563),"",_xlfn.XLOOKUP(A563,'Requirement Overview'!C:C,'Requirement Overview'!H:H))</f>
        <v>IT</v>
      </c>
      <c r="F563" s="19" t="str">
        <f>IF(ISBLANK(A563),"",_xlfn.XLOOKUP(A563,'Requirement Overview'!C:C,'Requirement Overview'!I:I))</f>
        <v>Android BSP Developer</v>
      </c>
      <c r="G563" s="24" t="str">
        <f>IF(ISBLANK(A563),"",_xlfn.XLOOKUP(A563,'Requirement Overview'!C:C,'Requirement Overview'!G:G))</f>
        <v>KPIT</v>
      </c>
      <c r="H563" s="139" t="s">
        <v>2408</v>
      </c>
      <c r="I563" s="24" t="s">
        <v>497</v>
      </c>
      <c r="J563" s="25" t="s">
        <v>2409</v>
      </c>
      <c r="K563" s="21">
        <v>9703150888</v>
      </c>
      <c r="L563" s="24" t="s">
        <v>305</v>
      </c>
      <c r="M563" s="21" t="s">
        <v>2410</v>
      </c>
      <c r="N563" s="21" t="s">
        <v>2411</v>
      </c>
      <c r="O563" s="21" t="s">
        <v>474</v>
      </c>
      <c r="P563" s="24" t="s">
        <v>268</v>
      </c>
      <c r="Q563" s="24" t="s">
        <v>268</v>
      </c>
      <c r="R563" s="21" t="s">
        <v>2412</v>
      </c>
      <c r="S563" s="24" t="s">
        <v>601</v>
      </c>
      <c r="T563" s="24" t="s">
        <v>103</v>
      </c>
      <c r="U563" s="29">
        <v>46062</v>
      </c>
      <c r="V563" s="29">
        <v>46062</v>
      </c>
    </row>
    <row r="564" spans="1:45" ht="14.45">
      <c r="A564" s="24" t="s">
        <v>92</v>
      </c>
      <c r="B564" s="24" t="s">
        <v>520</v>
      </c>
      <c r="C564" s="84" t="str">
        <f>IF(ISBLANK(B564),"",_xlfn.XLOOKUP(B564,Recruiter!A:A,Recruiter!B:B))</f>
        <v>Narthana</v>
      </c>
      <c r="D564" s="84" t="str">
        <f>IF(ISBLANK(A564),"",_xlfn.XLOOKUP(A564,'Requirement Overview'!C:C,'Requirement Overview'!E:E))</f>
        <v>Talme</v>
      </c>
      <c r="E564" s="84" t="str">
        <f>IF(ISBLANK(A564),"",_xlfn.XLOOKUP(A564,'Requirement Overview'!C:C,'Requirement Overview'!H:H))</f>
        <v>IT</v>
      </c>
      <c r="F564" s="19" t="str">
        <f>IF(ISBLANK(A564),"",_xlfn.XLOOKUP(A564,'Requirement Overview'!C:C,'Requirement Overview'!I:I))</f>
        <v>Lead Data Engineer</v>
      </c>
      <c r="G564" s="24" t="str">
        <f>IF(ISBLANK(A564),"",_xlfn.XLOOKUP(A564,'Requirement Overview'!C:C,'Requirement Overview'!G:G))</f>
        <v>Thoughtfocus</v>
      </c>
      <c r="H564" s="139" t="s">
        <v>2413</v>
      </c>
      <c r="I564" s="24" t="s">
        <v>2414</v>
      </c>
      <c r="J564" s="25" t="s">
        <v>2415</v>
      </c>
      <c r="K564" s="113">
        <v>8308277257</v>
      </c>
      <c r="L564" s="21" t="s">
        <v>2416</v>
      </c>
      <c r="M564" s="21" t="s">
        <v>2417</v>
      </c>
      <c r="N564" s="21" t="s">
        <v>2418</v>
      </c>
      <c r="O564" s="24" t="s">
        <v>353</v>
      </c>
      <c r="P564" s="24" t="s">
        <v>569</v>
      </c>
      <c r="Q564" s="24" t="s">
        <v>268</v>
      </c>
      <c r="R564" s="24" t="s">
        <v>2419</v>
      </c>
      <c r="S564" s="24" t="s">
        <v>601</v>
      </c>
      <c r="T564" s="24" t="s">
        <v>103</v>
      </c>
      <c r="U564" s="29">
        <v>46062</v>
      </c>
      <c r="V564" s="29">
        <v>46062</v>
      </c>
    </row>
    <row r="565" spans="1:45" s="47" customFormat="1" ht="14.45">
      <c r="A565" s="3" t="s">
        <v>93</v>
      </c>
      <c r="B565" s="3" t="s">
        <v>520</v>
      </c>
      <c r="C565" s="103" t="str">
        <f>IF(ISBLANK(B565),"",_xlfn.XLOOKUP(B565,Recruiter!A:A,Recruiter!B:B))</f>
        <v>Narthana</v>
      </c>
      <c r="D565" s="103" t="str">
        <f>IF(ISBLANK(A565),"",_xlfn.XLOOKUP(A565,'Requirement Overview'!C:C,'Requirement Overview'!E:E))</f>
        <v>Talme</v>
      </c>
      <c r="E565" s="103" t="str">
        <f>IF(ISBLANK(A565),"",_xlfn.XLOOKUP(A565,'Requirement Overview'!C:C,'Requirement Overview'!H:H))</f>
        <v>IT</v>
      </c>
      <c r="F565" s="77" t="str">
        <f>IF(ISBLANK(A565),"",_xlfn.XLOOKUP(A565,'Requirement Overview'!C:C,'Requirement Overview'!I:I))</f>
        <v>Angular JS developer</v>
      </c>
      <c r="G565" s="3" t="str">
        <f>IF(ISBLANK(A565),"",_xlfn.XLOOKUP(A565,'Requirement Overview'!C:C,'Requirement Overview'!G:G))</f>
        <v>EMIDS</v>
      </c>
      <c r="H565" s="139" t="s">
        <v>2420</v>
      </c>
      <c r="I565" s="3" t="s">
        <v>2421</v>
      </c>
      <c r="J565" s="246" t="s">
        <v>2422</v>
      </c>
      <c r="K565" s="74">
        <v>9989902829</v>
      </c>
      <c r="L565" s="247" t="s">
        <v>290</v>
      </c>
      <c r="M565" s="74" t="s">
        <v>1395</v>
      </c>
      <c r="N565" s="74" t="s">
        <v>2423</v>
      </c>
      <c r="O565" s="3" t="s">
        <v>2424</v>
      </c>
      <c r="P565" s="74" t="s">
        <v>2425</v>
      </c>
      <c r="Q565" s="74" t="s">
        <v>1042</v>
      </c>
      <c r="R565" s="3" t="s">
        <v>1011</v>
      </c>
      <c r="S565" s="3" t="s">
        <v>270</v>
      </c>
      <c r="T565" s="3" t="s">
        <v>103</v>
      </c>
      <c r="U565" s="55">
        <v>46063</v>
      </c>
      <c r="V565" s="55">
        <v>46063</v>
      </c>
      <c r="AL565" s="80"/>
      <c r="AM565" s="80"/>
      <c r="AS565" s="80"/>
    </row>
    <row r="566" spans="1:45" ht="14.45">
      <c r="A566" s="3" t="s">
        <v>93</v>
      </c>
      <c r="B566" s="3" t="s">
        <v>520</v>
      </c>
      <c r="C566" s="103" t="str">
        <f>IF(ISBLANK(B566),"",_xlfn.XLOOKUP(B566,Recruiter!A:A,Recruiter!B:B))</f>
        <v>Narthana</v>
      </c>
      <c r="D566" s="103" t="str">
        <f>IF(ISBLANK(A566),"",_xlfn.XLOOKUP(A566,'Requirement Overview'!C:C,'Requirement Overview'!E:E))</f>
        <v>Talme</v>
      </c>
      <c r="E566" s="103" t="str">
        <f>IF(ISBLANK(A566),"",_xlfn.XLOOKUP(A566,'Requirement Overview'!C:C,'Requirement Overview'!H:H))</f>
        <v>IT</v>
      </c>
      <c r="F566" s="77" t="str">
        <f>IF(ISBLANK(A566),"",_xlfn.XLOOKUP(A566,'Requirement Overview'!C:C,'Requirement Overview'!I:I))</f>
        <v>Angular JS developer</v>
      </c>
      <c r="G566" s="3" t="str">
        <f>IF(ISBLANK(A566),"",_xlfn.XLOOKUP(A566,'Requirement Overview'!C:C,'Requirement Overview'!G:G))</f>
        <v>EMIDS</v>
      </c>
      <c r="H566" s="139" t="s">
        <v>2426</v>
      </c>
      <c r="I566" s="3" t="s">
        <v>2427</v>
      </c>
      <c r="J566" s="246" t="s">
        <v>2428</v>
      </c>
      <c r="K566" s="74">
        <v>9943480894</v>
      </c>
      <c r="L566" s="247" t="s">
        <v>378</v>
      </c>
      <c r="M566" s="248" t="s">
        <v>365</v>
      </c>
      <c r="N566" s="74" t="s">
        <v>2429</v>
      </c>
      <c r="O566" s="3" t="s">
        <v>407</v>
      </c>
      <c r="P566" s="248" t="s">
        <v>2430</v>
      </c>
      <c r="Q566" s="248" t="s">
        <v>1042</v>
      </c>
      <c r="R566" s="3" t="s">
        <v>2431</v>
      </c>
      <c r="S566" s="3" t="s">
        <v>270</v>
      </c>
      <c r="T566" s="3" t="s">
        <v>103</v>
      </c>
      <c r="U566" s="55">
        <v>46063</v>
      </c>
      <c r="V566" s="55">
        <v>46063</v>
      </c>
    </row>
    <row r="567" spans="1:45" ht="14.45">
      <c r="A567" s="3" t="s">
        <v>93</v>
      </c>
      <c r="B567" s="3" t="s">
        <v>520</v>
      </c>
      <c r="C567" s="103" t="str">
        <f>IF(ISBLANK(B567),"",_xlfn.XLOOKUP(B567,Recruiter!A:A,Recruiter!B:B))</f>
        <v>Narthana</v>
      </c>
      <c r="D567" s="103" t="str">
        <f>IF(ISBLANK(A567),"",_xlfn.XLOOKUP(A567,'Requirement Overview'!C:C,'Requirement Overview'!E:E))</f>
        <v>Talme</v>
      </c>
      <c r="E567" s="103" t="str">
        <f>IF(ISBLANK(A567),"",_xlfn.XLOOKUP(A567,'Requirement Overview'!C:C,'Requirement Overview'!H:H))</f>
        <v>IT</v>
      </c>
      <c r="F567" s="77" t="str">
        <f>IF(ISBLANK(A567),"",_xlfn.XLOOKUP(A567,'Requirement Overview'!C:C,'Requirement Overview'!I:I))</f>
        <v>Angular JS developer</v>
      </c>
      <c r="G567" s="3" t="str">
        <f>IF(ISBLANK(A567),"",_xlfn.XLOOKUP(A567,'Requirement Overview'!C:C,'Requirement Overview'!G:G))</f>
        <v>EMIDS</v>
      </c>
      <c r="H567" s="139" t="s">
        <v>2432</v>
      </c>
      <c r="I567" s="3" t="s">
        <v>2433</v>
      </c>
      <c r="J567" s="246" t="s">
        <v>2434</v>
      </c>
      <c r="K567" s="74">
        <v>9420114428</v>
      </c>
      <c r="L567" s="247" t="s">
        <v>305</v>
      </c>
      <c r="M567" s="74" t="s">
        <v>379</v>
      </c>
      <c r="N567" s="74" t="s">
        <v>400</v>
      </c>
      <c r="O567" s="3" t="s">
        <v>407</v>
      </c>
      <c r="P567" s="74" t="s">
        <v>2435</v>
      </c>
      <c r="Q567" s="74" t="s">
        <v>879</v>
      </c>
      <c r="R567" s="3" t="s">
        <v>2101</v>
      </c>
      <c r="S567" s="3" t="s">
        <v>1380</v>
      </c>
      <c r="T567" s="3" t="s">
        <v>103</v>
      </c>
      <c r="U567" s="55">
        <v>46063</v>
      </c>
      <c r="V567" s="55">
        <v>46063</v>
      </c>
      <c r="W567" s="24" t="s">
        <v>1913</v>
      </c>
      <c r="X567" s="29">
        <v>46065</v>
      </c>
    </row>
    <row r="568" spans="1:45" ht="14.45">
      <c r="A568" s="3" t="s">
        <v>93</v>
      </c>
      <c r="B568" s="3" t="s">
        <v>520</v>
      </c>
      <c r="C568" s="103" t="str">
        <f>IF(ISBLANK(B568),"",_xlfn.XLOOKUP(B568,Recruiter!A:A,Recruiter!B:B))</f>
        <v>Narthana</v>
      </c>
      <c r="D568" s="103" t="str">
        <f>IF(ISBLANK(A568),"",_xlfn.XLOOKUP(A568,'Requirement Overview'!C:C,'Requirement Overview'!E:E))</f>
        <v>Talme</v>
      </c>
      <c r="E568" s="103" t="str">
        <f>IF(ISBLANK(A568),"",_xlfn.XLOOKUP(A568,'Requirement Overview'!C:C,'Requirement Overview'!H:H))</f>
        <v>IT</v>
      </c>
      <c r="F568" s="77" t="str">
        <f>IF(ISBLANK(A568),"",_xlfn.XLOOKUP(A568,'Requirement Overview'!C:C,'Requirement Overview'!I:I))</f>
        <v>Angular JS developer</v>
      </c>
      <c r="G568" s="3" t="str">
        <f>IF(ISBLANK(A568),"",_xlfn.XLOOKUP(A568,'Requirement Overview'!C:C,'Requirement Overview'!G:G))</f>
        <v>EMIDS</v>
      </c>
      <c r="H568" s="139" t="s">
        <v>2436</v>
      </c>
      <c r="I568" s="3" t="s">
        <v>2427</v>
      </c>
      <c r="J568" s="246" t="s">
        <v>2437</v>
      </c>
      <c r="K568" s="74">
        <v>8149982145</v>
      </c>
      <c r="L568" s="247" t="s">
        <v>378</v>
      </c>
      <c r="M568" s="74" t="s">
        <v>379</v>
      </c>
      <c r="N568" s="74" t="s">
        <v>2438</v>
      </c>
      <c r="O568" s="3" t="s">
        <v>868</v>
      </c>
      <c r="P568" s="74" t="s">
        <v>2439</v>
      </c>
      <c r="Q568" s="74" t="s">
        <v>879</v>
      </c>
      <c r="R568" s="3" t="s">
        <v>589</v>
      </c>
      <c r="S568" s="3" t="s">
        <v>1380</v>
      </c>
      <c r="T568" s="3" t="s">
        <v>103</v>
      </c>
      <c r="U568" s="55">
        <v>46063</v>
      </c>
      <c r="V568" s="55">
        <v>46063</v>
      </c>
      <c r="W568" s="24" t="s">
        <v>1913</v>
      </c>
      <c r="X568" s="29">
        <v>46065</v>
      </c>
    </row>
    <row r="569" spans="1:45" ht="14.45">
      <c r="A569" s="3" t="s">
        <v>70</v>
      </c>
      <c r="B569" s="3" t="s">
        <v>236</v>
      </c>
      <c r="C569" s="103" t="str">
        <f>IF(ISBLANK(B569),"",_xlfn.XLOOKUP(B569,Recruiter!A:A,Recruiter!B:B))</f>
        <v>Pooja</v>
      </c>
      <c r="D569" s="103" t="str">
        <f>IF(ISBLANK(A569),"",_xlfn.XLOOKUP(A569,'Requirement Overview'!C:C,'Requirement Overview'!E:E))</f>
        <v>Talme</v>
      </c>
      <c r="E569" s="103" t="str">
        <f>IF(ISBLANK(A569),"",_xlfn.XLOOKUP(A569,'Requirement Overview'!C:C,'Requirement Overview'!H:H))</f>
        <v>Non - IT</v>
      </c>
      <c r="F569" s="77" t="str">
        <f>IF(ISBLANK(A569),"",_xlfn.XLOOKUP(A569,'Requirement Overview'!C:C,'Requirement Overview'!I:I))</f>
        <v>Key Accounts Manager</v>
      </c>
      <c r="G569" s="3" t="str">
        <f>IF(ISBLANK(A569),"",_xlfn.XLOOKUP(A569,'Requirement Overview'!C:C,'Requirement Overview'!G:G))</f>
        <v>Avinashi Ads</v>
      </c>
      <c r="H569" s="139" t="s">
        <v>2440</v>
      </c>
      <c r="I569" s="3" t="s">
        <v>2139</v>
      </c>
      <c r="J569" s="71" t="s">
        <v>2441</v>
      </c>
      <c r="K569" s="3">
        <v>8618253594</v>
      </c>
      <c r="L569" s="3" t="s">
        <v>330</v>
      </c>
      <c r="M569" s="3" t="s">
        <v>514</v>
      </c>
      <c r="N569" s="3" t="s">
        <v>2442</v>
      </c>
      <c r="O569" s="3" t="s">
        <v>810</v>
      </c>
      <c r="P569" s="3" t="s">
        <v>268</v>
      </c>
      <c r="Q569" s="3" t="s">
        <v>268</v>
      </c>
      <c r="R569" s="3" t="s">
        <v>1470</v>
      </c>
      <c r="S569" s="3" t="s">
        <v>601</v>
      </c>
      <c r="T569" s="3" t="s">
        <v>103</v>
      </c>
      <c r="U569" s="55">
        <v>46063</v>
      </c>
      <c r="V569" s="55">
        <v>46063</v>
      </c>
    </row>
    <row r="570" spans="1:45" ht="14.45">
      <c r="A570" s="3" t="s">
        <v>70</v>
      </c>
      <c r="B570" s="3" t="s">
        <v>236</v>
      </c>
      <c r="C570" s="103" t="str">
        <f>IF(ISBLANK(B570),"",_xlfn.XLOOKUP(B570,Recruiter!A:A,Recruiter!B:B))</f>
        <v>Pooja</v>
      </c>
      <c r="D570" s="103" t="str">
        <f>IF(ISBLANK(A570),"",_xlfn.XLOOKUP(A570,'Requirement Overview'!C:C,'Requirement Overview'!E:E))</f>
        <v>Talme</v>
      </c>
      <c r="E570" s="103" t="str">
        <f>IF(ISBLANK(A570),"",_xlfn.XLOOKUP(A570,'Requirement Overview'!C:C,'Requirement Overview'!H:H))</f>
        <v>Non - IT</v>
      </c>
      <c r="F570" s="77" t="str">
        <f>IF(ISBLANK(A570),"",_xlfn.XLOOKUP(A570,'Requirement Overview'!C:C,'Requirement Overview'!I:I))</f>
        <v>Key Accounts Manager</v>
      </c>
      <c r="G570" s="3" t="str">
        <f>IF(ISBLANK(A570),"",_xlfn.XLOOKUP(A570,'Requirement Overview'!C:C,'Requirement Overview'!G:G))</f>
        <v>Avinashi Ads</v>
      </c>
      <c r="H570" s="139" t="s">
        <v>2443</v>
      </c>
      <c r="I570" s="3" t="s">
        <v>519</v>
      </c>
      <c r="J570" s="71" t="s">
        <v>2444</v>
      </c>
      <c r="K570" s="3">
        <v>9164329309</v>
      </c>
      <c r="L570" s="3" t="s">
        <v>2445</v>
      </c>
      <c r="M570" s="3" t="s">
        <v>647</v>
      </c>
      <c r="N570" s="3" t="s">
        <v>2446</v>
      </c>
      <c r="O570" s="3" t="s">
        <v>535</v>
      </c>
      <c r="P570" s="3" t="s">
        <v>268</v>
      </c>
      <c r="Q570" s="3" t="s">
        <v>268</v>
      </c>
      <c r="R570" s="3" t="s">
        <v>407</v>
      </c>
      <c r="S570" s="3" t="s">
        <v>601</v>
      </c>
      <c r="T570" s="3" t="s">
        <v>103</v>
      </c>
      <c r="U570" s="55">
        <v>46063</v>
      </c>
      <c r="V570" s="55">
        <v>46063</v>
      </c>
    </row>
    <row r="571" spans="1:45" ht="14.45">
      <c r="A571" s="3" t="s">
        <v>70</v>
      </c>
      <c r="B571" s="3" t="s">
        <v>236</v>
      </c>
      <c r="C571" s="103" t="str">
        <f>IF(ISBLANK(B571),"",_xlfn.XLOOKUP(B571,Recruiter!A:A,Recruiter!B:B))</f>
        <v>Pooja</v>
      </c>
      <c r="D571" s="103" t="str">
        <f>IF(ISBLANK(A571),"",_xlfn.XLOOKUP(A571,'Requirement Overview'!C:C,'Requirement Overview'!E:E))</f>
        <v>Talme</v>
      </c>
      <c r="E571" s="103" t="str">
        <f>IF(ISBLANK(A571),"",_xlfn.XLOOKUP(A571,'Requirement Overview'!C:C,'Requirement Overview'!H:H))</f>
        <v>Non - IT</v>
      </c>
      <c r="F571" s="77" t="str">
        <f>IF(ISBLANK(A571),"",_xlfn.XLOOKUP(A571,'Requirement Overview'!C:C,'Requirement Overview'!I:I))</f>
        <v>Key Accounts Manager</v>
      </c>
      <c r="G571" s="3" t="str">
        <f>IF(ISBLANK(A571),"",_xlfn.XLOOKUP(A571,'Requirement Overview'!C:C,'Requirement Overview'!G:G))</f>
        <v>Avinashi Ads</v>
      </c>
      <c r="H571" s="139" t="s">
        <v>2447</v>
      </c>
      <c r="I571" s="3" t="s">
        <v>519</v>
      </c>
      <c r="J571" s="71" t="s">
        <v>2448</v>
      </c>
      <c r="K571" s="3">
        <v>8904012834</v>
      </c>
      <c r="L571" s="3" t="s">
        <v>2445</v>
      </c>
      <c r="M571" s="3" t="s">
        <v>937</v>
      </c>
      <c r="N571" s="3" t="s">
        <v>2449</v>
      </c>
      <c r="O571" s="3" t="s">
        <v>1020</v>
      </c>
      <c r="P571" s="3" t="s">
        <v>268</v>
      </c>
      <c r="Q571" s="3" t="s">
        <v>268</v>
      </c>
      <c r="R571" s="3" t="s">
        <v>381</v>
      </c>
      <c r="S571" s="3" t="s">
        <v>601</v>
      </c>
      <c r="T571" s="3" t="s">
        <v>103</v>
      </c>
      <c r="U571" s="55">
        <v>46063</v>
      </c>
      <c r="V571" s="55">
        <v>46063</v>
      </c>
    </row>
    <row r="572" spans="1:45" ht="14.45">
      <c r="A572" s="3" t="s">
        <v>55</v>
      </c>
      <c r="B572" s="3" t="s">
        <v>236</v>
      </c>
      <c r="C572" s="103" t="str">
        <f>IF(ISBLANK(B572),"",_xlfn.XLOOKUP(B572,Recruiter!A:A,Recruiter!B:B))</f>
        <v>Pooja</v>
      </c>
      <c r="D572" s="103" t="str">
        <f>IF(ISBLANK(A572),"",_xlfn.XLOOKUP(A572,'Requirement Overview'!C:C,'Requirement Overview'!E:E))</f>
        <v>Talme</v>
      </c>
      <c r="E572" s="103" t="str">
        <f>IF(ISBLANK(A572),"",_xlfn.XLOOKUP(A572,'Requirement Overview'!C:C,'Requirement Overview'!H:H))</f>
        <v>Non - IT</v>
      </c>
      <c r="F572" s="77" t="str">
        <f>IF(ISBLANK(A572),"",_xlfn.XLOOKUP(A572,'Requirement Overview'!C:C,'Requirement Overview'!I:I))</f>
        <v>Inside Sales Executive</v>
      </c>
      <c r="G572" s="3" t="str">
        <f>IF(ISBLANK(A572),"",_xlfn.XLOOKUP(A572,'Requirement Overview'!C:C,'Requirement Overview'!G:G))</f>
        <v>Peritas</v>
      </c>
      <c r="H572" s="139" t="s">
        <v>2450</v>
      </c>
      <c r="I572" s="3" t="s">
        <v>497</v>
      </c>
      <c r="J572" s="71" t="s">
        <v>2451</v>
      </c>
      <c r="K572" s="81">
        <v>8688281854</v>
      </c>
      <c r="L572" s="3" t="s">
        <v>330</v>
      </c>
      <c r="M572" s="3" t="s">
        <v>1258</v>
      </c>
      <c r="N572" s="81" t="s">
        <v>2452</v>
      </c>
      <c r="O572" s="3" t="s">
        <v>314</v>
      </c>
      <c r="P572" s="3" t="s">
        <v>268</v>
      </c>
      <c r="Q572" s="3" t="s">
        <v>268</v>
      </c>
      <c r="R572" s="3" t="s">
        <v>730</v>
      </c>
      <c r="S572" s="3" t="s">
        <v>270</v>
      </c>
      <c r="T572" s="3" t="s">
        <v>103</v>
      </c>
      <c r="U572" s="55">
        <v>46063</v>
      </c>
      <c r="V572" s="55">
        <v>46063</v>
      </c>
    </row>
    <row r="573" spans="1:45" thickBot="1">
      <c r="A573" s="24" t="s">
        <v>118</v>
      </c>
      <c r="B573" s="24" t="s">
        <v>520</v>
      </c>
      <c r="C573" s="84" t="str">
        <f>IF(ISBLANK(B573),"",_xlfn.XLOOKUP(B573,Recruiter!A:A,Recruiter!B:B))</f>
        <v>Narthana</v>
      </c>
      <c r="D573" s="84" t="str">
        <f>IF(ISBLANK(A573),"",_xlfn.XLOOKUP(A573,'Requirement Overview'!C:C,'Requirement Overview'!E:E))</f>
        <v>Talme</v>
      </c>
      <c r="E573" s="84" t="str">
        <f>IF(ISBLANK(A573),"",_xlfn.XLOOKUP(A573,'Requirement Overview'!C:C,'Requirement Overview'!H:H))</f>
        <v>IT</v>
      </c>
      <c r="F573" s="19" t="str">
        <f>IF(ISBLANK(A573),"",_xlfn.XLOOKUP(A573,'Requirement Overview'!C:C,'Requirement Overview'!I:I))</f>
        <v>Java Lead Analyst</v>
      </c>
      <c r="G573" s="58" t="str">
        <f>IF(ISBLANK(A573),"",_xlfn.XLOOKUP(A573,'Requirement Overview'!C:C,'Requirement Overview'!G:G))</f>
        <v>Thoughtfocus</v>
      </c>
      <c r="H573" s="139" t="s">
        <v>2453</v>
      </c>
      <c r="I573" s="136" t="s">
        <v>519</v>
      </c>
      <c r="J573" s="249" t="s">
        <v>2454</v>
      </c>
      <c r="K573" s="136">
        <v>7358390899</v>
      </c>
      <c r="L573" s="46" t="s">
        <v>311</v>
      </c>
      <c r="M573" s="136" t="s">
        <v>2455</v>
      </c>
      <c r="N573" s="138" t="s">
        <v>2324</v>
      </c>
      <c r="O573" s="136" t="s">
        <v>1653</v>
      </c>
      <c r="P573" s="136" t="s">
        <v>1128</v>
      </c>
      <c r="Q573" s="24" t="s">
        <v>1557</v>
      </c>
      <c r="R573" s="136" t="s">
        <v>353</v>
      </c>
      <c r="S573" s="24" t="s">
        <v>601</v>
      </c>
      <c r="T573" s="3" t="s">
        <v>103</v>
      </c>
      <c r="U573" s="55">
        <v>46063</v>
      </c>
      <c r="V573" s="55">
        <v>46063</v>
      </c>
    </row>
    <row r="574" spans="1:45" thickBot="1">
      <c r="A574" s="24" t="s">
        <v>118</v>
      </c>
      <c r="B574" s="24" t="s">
        <v>520</v>
      </c>
      <c r="C574" s="84" t="str">
        <f>IF(ISBLANK(B574),"",_xlfn.XLOOKUP(B574,Recruiter!A:A,Recruiter!B:B))</f>
        <v>Narthana</v>
      </c>
      <c r="D574" s="84" t="str">
        <f>IF(ISBLANK(A574),"",_xlfn.XLOOKUP(A574,'Requirement Overview'!C:C,'Requirement Overview'!E:E))</f>
        <v>Talme</v>
      </c>
      <c r="E574" s="84" t="str">
        <f>IF(ISBLANK(A574),"",_xlfn.XLOOKUP(A574,'Requirement Overview'!C:C,'Requirement Overview'!H:H))</f>
        <v>IT</v>
      </c>
      <c r="F574" s="19" t="str">
        <f>IF(ISBLANK(A574),"",_xlfn.XLOOKUP(A574,'Requirement Overview'!C:C,'Requirement Overview'!I:I))</f>
        <v>Java Lead Analyst</v>
      </c>
      <c r="G574" s="58" t="str">
        <f>IF(ISBLANK(A574),"",_xlfn.XLOOKUP(A574,'Requirement Overview'!C:C,'Requirement Overview'!G:G))</f>
        <v>Thoughtfocus</v>
      </c>
      <c r="H574" s="139" t="s">
        <v>2456</v>
      </c>
      <c r="I574" s="135" t="s">
        <v>2457</v>
      </c>
      <c r="J574" s="250" t="s">
        <v>2458</v>
      </c>
      <c r="K574" s="135">
        <v>8296362739</v>
      </c>
      <c r="L574" s="46" t="s">
        <v>311</v>
      </c>
      <c r="M574" s="135" t="s">
        <v>395</v>
      </c>
      <c r="N574" s="137" t="s">
        <v>2459</v>
      </c>
      <c r="O574" s="135" t="s">
        <v>1525</v>
      </c>
      <c r="P574" s="135" t="s">
        <v>1042</v>
      </c>
      <c r="Q574" s="24" t="s">
        <v>1557</v>
      </c>
      <c r="R574" s="135" t="s">
        <v>1145</v>
      </c>
      <c r="S574" s="24" t="s">
        <v>601</v>
      </c>
      <c r="T574" s="3" t="s">
        <v>103</v>
      </c>
      <c r="U574" s="55">
        <v>46063</v>
      </c>
      <c r="V574" s="55">
        <v>46063</v>
      </c>
    </row>
    <row r="575" spans="1:45" ht="14.45">
      <c r="A575" s="24" t="s">
        <v>92</v>
      </c>
      <c r="B575" s="24" t="s">
        <v>340</v>
      </c>
      <c r="C575" s="84" t="str">
        <f>IF(ISBLANK(B575),"",_xlfn.XLOOKUP(B575,Recruiter!A:A,Recruiter!B:B))</f>
        <v>Harshitha</v>
      </c>
      <c r="D575" s="84" t="str">
        <f>IF(ISBLANK(A575),"",_xlfn.XLOOKUP(A575,'Requirement Overview'!C:C,'Requirement Overview'!E:E))</f>
        <v>Talme</v>
      </c>
      <c r="E575" s="84" t="str">
        <f>IF(ISBLANK(A575),"",_xlfn.XLOOKUP(A575,'Requirement Overview'!C:C,'Requirement Overview'!H:H))</f>
        <v>IT</v>
      </c>
      <c r="F575" s="19" t="str">
        <f>IF(ISBLANK(A575),"",_xlfn.XLOOKUP(A575,'Requirement Overview'!C:C,'Requirement Overview'!I:I))</f>
        <v>Lead Data Engineer</v>
      </c>
      <c r="G575" s="58" t="str">
        <f>IF(ISBLANK(A575),"",_xlfn.XLOOKUP(A575,'Requirement Overview'!C:C,'Requirement Overview'!G:G))</f>
        <v>Thoughtfocus</v>
      </c>
      <c r="H575" s="139" t="s">
        <v>2460</v>
      </c>
      <c r="I575" s="3" t="s">
        <v>1193</v>
      </c>
      <c r="J575" s="257" t="s">
        <v>2461</v>
      </c>
      <c r="K575" s="258">
        <v>9741543327</v>
      </c>
      <c r="L575" s="3" t="s">
        <v>378</v>
      </c>
      <c r="M575" s="3" t="s">
        <v>487</v>
      </c>
      <c r="N575" s="252" t="s">
        <v>2462</v>
      </c>
      <c r="O575" s="3" t="s">
        <v>541</v>
      </c>
      <c r="P575" s="3" t="s">
        <v>268</v>
      </c>
      <c r="Q575" s="3" t="s">
        <v>268</v>
      </c>
      <c r="R575" s="3" t="s">
        <v>2463</v>
      </c>
      <c r="S575" s="24" t="s">
        <v>601</v>
      </c>
      <c r="T575" s="3" t="s">
        <v>103</v>
      </c>
      <c r="U575" s="55">
        <v>46063</v>
      </c>
      <c r="V575" s="55">
        <v>46063</v>
      </c>
    </row>
    <row r="576" spans="1:45" ht="14.45">
      <c r="A576" s="24" t="s">
        <v>92</v>
      </c>
      <c r="B576" s="24" t="s">
        <v>340</v>
      </c>
      <c r="C576" s="84" t="str">
        <f>IF(ISBLANK(B576),"",_xlfn.XLOOKUP(B576,Recruiter!A:A,Recruiter!B:B))</f>
        <v>Harshitha</v>
      </c>
      <c r="D576" s="84" t="str">
        <f>IF(ISBLANK(A576),"",_xlfn.XLOOKUP(A576,'Requirement Overview'!C:C,'Requirement Overview'!E:E))</f>
        <v>Talme</v>
      </c>
      <c r="E576" s="84" t="str">
        <f>IF(ISBLANK(A576),"",_xlfn.XLOOKUP(A576,'Requirement Overview'!C:C,'Requirement Overview'!H:H))</f>
        <v>IT</v>
      </c>
      <c r="F576" s="19" t="str">
        <f>IF(ISBLANK(A576),"",_xlfn.XLOOKUP(A576,'Requirement Overview'!C:C,'Requirement Overview'!I:I))</f>
        <v>Lead Data Engineer</v>
      </c>
      <c r="G576" s="58" t="str">
        <f>IF(ISBLANK(A576),"",_xlfn.XLOOKUP(A576,'Requirement Overview'!C:C,'Requirement Overview'!G:G))</f>
        <v>Thoughtfocus</v>
      </c>
      <c r="H576" s="139" t="s">
        <v>2464</v>
      </c>
      <c r="I576" s="3" t="s">
        <v>2465</v>
      </c>
      <c r="J576" s="257" t="s">
        <v>2466</v>
      </c>
      <c r="K576" s="258">
        <v>7489593522</v>
      </c>
      <c r="L576" s="3" t="s">
        <v>305</v>
      </c>
      <c r="M576" s="3" t="s">
        <v>487</v>
      </c>
      <c r="N576" s="252" t="s">
        <v>380</v>
      </c>
      <c r="O576" s="3" t="s">
        <v>1653</v>
      </c>
      <c r="P576" s="3" t="s">
        <v>1499</v>
      </c>
      <c r="Q576" s="3" t="s">
        <v>268</v>
      </c>
      <c r="R576" s="3" t="s">
        <v>2467</v>
      </c>
      <c r="S576" s="24" t="s">
        <v>601</v>
      </c>
      <c r="T576" s="3" t="s">
        <v>103</v>
      </c>
      <c r="U576" s="55">
        <v>46063</v>
      </c>
      <c r="V576" s="55">
        <v>46063</v>
      </c>
    </row>
    <row r="577" spans="1:24" ht="14.45">
      <c r="A577" s="24" t="s">
        <v>92</v>
      </c>
      <c r="B577" s="24" t="s">
        <v>340</v>
      </c>
      <c r="C577" s="84" t="str">
        <f>IF(ISBLANK(B577),"",_xlfn.XLOOKUP(B577,Recruiter!A:A,Recruiter!B:B))</f>
        <v>Harshitha</v>
      </c>
      <c r="D577" s="84" t="str">
        <f>IF(ISBLANK(A577),"",_xlfn.XLOOKUP(A577,'Requirement Overview'!C:C,'Requirement Overview'!E:E))</f>
        <v>Talme</v>
      </c>
      <c r="E577" s="84" t="str">
        <f>IF(ISBLANK(A577),"",_xlfn.XLOOKUP(A577,'Requirement Overview'!C:C,'Requirement Overview'!H:H))</f>
        <v>IT</v>
      </c>
      <c r="F577" s="19" t="str">
        <f>IF(ISBLANK(A577),"",_xlfn.XLOOKUP(A577,'Requirement Overview'!C:C,'Requirement Overview'!I:I))</f>
        <v>Lead Data Engineer</v>
      </c>
      <c r="G577" s="58" t="str">
        <f>IF(ISBLANK(A577),"",_xlfn.XLOOKUP(A577,'Requirement Overview'!C:C,'Requirement Overview'!G:G))</f>
        <v>Thoughtfocus</v>
      </c>
      <c r="H577" s="139" t="s">
        <v>2468</v>
      </c>
      <c r="I577" s="3" t="s">
        <v>2469</v>
      </c>
      <c r="J577" s="251" t="s">
        <v>2470</v>
      </c>
      <c r="K577" s="259">
        <v>7019543696</v>
      </c>
      <c r="L577" s="3" t="s">
        <v>378</v>
      </c>
      <c r="M577" s="3" t="s">
        <v>1552</v>
      </c>
      <c r="N577" s="252" t="s">
        <v>2471</v>
      </c>
      <c r="O577" s="3" t="s">
        <v>2472</v>
      </c>
      <c r="P577" s="3" t="s">
        <v>268</v>
      </c>
      <c r="Q577" s="3" t="s">
        <v>268</v>
      </c>
      <c r="R577" s="3" t="s">
        <v>445</v>
      </c>
      <c r="S577" s="24" t="s">
        <v>601</v>
      </c>
      <c r="T577" s="3" t="s">
        <v>103</v>
      </c>
      <c r="U577" s="55">
        <v>46063</v>
      </c>
      <c r="V577" s="55">
        <v>46063</v>
      </c>
    </row>
    <row r="578" spans="1:24" ht="14.45">
      <c r="A578" s="24" t="s">
        <v>92</v>
      </c>
      <c r="B578" s="24" t="s">
        <v>340</v>
      </c>
      <c r="C578" s="84" t="str">
        <f>IF(ISBLANK(B578),"",_xlfn.XLOOKUP(B578,Recruiter!A:A,Recruiter!B:B))</f>
        <v>Harshitha</v>
      </c>
      <c r="D578" s="84" t="str">
        <f>IF(ISBLANK(A578),"",_xlfn.XLOOKUP(A578,'Requirement Overview'!C:C,'Requirement Overview'!E:E))</f>
        <v>Talme</v>
      </c>
      <c r="E578" s="84" t="str">
        <f>IF(ISBLANK(A578),"",_xlfn.XLOOKUP(A578,'Requirement Overview'!C:C,'Requirement Overview'!H:H))</f>
        <v>IT</v>
      </c>
      <c r="F578" s="19" t="str">
        <f>IF(ISBLANK(A578),"",_xlfn.XLOOKUP(A578,'Requirement Overview'!C:C,'Requirement Overview'!I:I))</f>
        <v>Lead Data Engineer</v>
      </c>
      <c r="G578" s="58" t="str">
        <f>IF(ISBLANK(A578),"",_xlfn.XLOOKUP(A578,'Requirement Overview'!C:C,'Requirement Overview'!G:G))</f>
        <v>Thoughtfocus</v>
      </c>
      <c r="H578" s="139" t="s">
        <v>2473</v>
      </c>
      <c r="I578" s="3" t="s">
        <v>519</v>
      </c>
      <c r="J578" s="257" t="s">
        <v>2474</v>
      </c>
      <c r="K578" s="258">
        <v>8340338538</v>
      </c>
      <c r="L578" s="3" t="s">
        <v>290</v>
      </c>
      <c r="M578" s="3" t="s">
        <v>788</v>
      </c>
      <c r="N578" s="252" t="s">
        <v>2475</v>
      </c>
      <c r="O578" s="3" t="s">
        <v>468</v>
      </c>
      <c r="P578" s="3" t="s">
        <v>268</v>
      </c>
      <c r="Q578" s="3" t="s">
        <v>268</v>
      </c>
      <c r="R578" s="3" t="s">
        <v>2476</v>
      </c>
      <c r="S578" s="24" t="s">
        <v>601</v>
      </c>
      <c r="T578" s="3" t="s">
        <v>103</v>
      </c>
      <c r="U578" s="55">
        <v>46063</v>
      </c>
      <c r="V578" s="55">
        <v>46063</v>
      </c>
    </row>
    <row r="579" spans="1:24" ht="14.45">
      <c r="A579" s="24" t="s">
        <v>126</v>
      </c>
      <c r="B579" s="24" t="s">
        <v>340</v>
      </c>
      <c r="C579" s="84" t="str">
        <f>IF(ISBLANK(B579),"",_xlfn.XLOOKUP(B579,Recruiter!A:A,Recruiter!B:B))</f>
        <v>Harshitha</v>
      </c>
      <c r="D579" s="84" t="str">
        <f>IF(ISBLANK(A579),"",_xlfn.XLOOKUP(A579,'Requirement Overview'!C:C,'Requirement Overview'!E:E))</f>
        <v>Talme</v>
      </c>
      <c r="E579" s="84" t="str">
        <f>IF(ISBLANK(A579),"",_xlfn.XLOOKUP(A579,'Requirement Overview'!C:C,'Requirement Overview'!H:H))</f>
        <v>IT</v>
      </c>
      <c r="F579" s="19" t="str">
        <f>IF(ISBLANK(A579),"",_xlfn.XLOOKUP(A579,'Requirement Overview'!C:C,'Requirement Overview'!I:I))</f>
        <v>Full Stack Developer</v>
      </c>
      <c r="G579" s="58" t="str">
        <f>IF(ISBLANK(A579),"",_xlfn.XLOOKUP(A579,'Requirement Overview'!C:C,'Requirement Overview'!G:G))</f>
        <v>Thoughtfocus</v>
      </c>
      <c r="H579" s="139" t="s">
        <v>2477</v>
      </c>
      <c r="I579" s="44" t="s">
        <v>519</v>
      </c>
      <c r="J579" s="260" t="s">
        <v>2478</v>
      </c>
      <c r="K579" s="261">
        <v>7980641371</v>
      </c>
      <c r="L579" s="44" t="s">
        <v>2479</v>
      </c>
      <c r="M579" s="44" t="s">
        <v>1001</v>
      </c>
      <c r="N579" s="44" t="s">
        <v>2480</v>
      </c>
      <c r="O579" s="44" t="s">
        <v>429</v>
      </c>
      <c r="P579" s="44" t="s">
        <v>268</v>
      </c>
      <c r="Q579" s="44" t="s">
        <v>268</v>
      </c>
      <c r="R579" s="44" t="s">
        <v>589</v>
      </c>
      <c r="S579" s="24" t="s">
        <v>601</v>
      </c>
      <c r="T579" s="3" t="s">
        <v>103</v>
      </c>
      <c r="U579" s="29">
        <v>46064</v>
      </c>
      <c r="V579" s="29">
        <v>46064</v>
      </c>
    </row>
    <row r="580" spans="1:24" ht="14.45">
      <c r="A580" s="24" t="s">
        <v>126</v>
      </c>
      <c r="B580" s="24" t="s">
        <v>340</v>
      </c>
      <c r="C580" s="84" t="str">
        <f>IF(ISBLANK(B580),"",_xlfn.XLOOKUP(B580,Recruiter!A:A,Recruiter!B:B))</f>
        <v>Harshitha</v>
      </c>
      <c r="D580" s="84" t="str">
        <f>IF(ISBLANK(A580),"",_xlfn.XLOOKUP(A580,'Requirement Overview'!C:C,'Requirement Overview'!E:E))</f>
        <v>Talme</v>
      </c>
      <c r="E580" s="84" t="str">
        <f>IF(ISBLANK(A580),"",_xlfn.XLOOKUP(A580,'Requirement Overview'!C:C,'Requirement Overview'!H:H))</f>
        <v>IT</v>
      </c>
      <c r="F580" s="19" t="str">
        <f>IF(ISBLANK(A580),"",_xlfn.XLOOKUP(A580,'Requirement Overview'!C:C,'Requirement Overview'!I:I))</f>
        <v>Full Stack Developer</v>
      </c>
      <c r="G580" s="58" t="str">
        <f>IF(ISBLANK(A580),"",_xlfn.XLOOKUP(A580,'Requirement Overview'!C:C,'Requirement Overview'!G:G))</f>
        <v>Thoughtfocus</v>
      </c>
      <c r="H580" s="139" t="s">
        <v>2481</v>
      </c>
      <c r="I580" s="44" t="s">
        <v>519</v>
      </c>
      <c r="J580" s="260" t="s">
        <v>2482</v>
      </c>
      <c r="K580" s="261">
        <v>9714849240</v>
      </c>
      <c r="L580" s="44" t="s">
        <v>2483</v>
      </c>
      <c r="M580" s="44" t="s">
        <v>2484</v>
      </c>
      <c r="N580" s="44" t="s">
        <v>2485</v>
      </c>
      <c r="O580" s="44" t="s">
        <v>2486</v>
      </c>
      <c r="P580" s="44" t="s">
        <v>2487</v>
      </c>
      <c r="Q580" s="44" t="s">
        <v>268</v>
      </c>
      <c r="R580" s="44" t="s">
        <v>2488</v>
      </c>
      <c r="S580" s="24" t="s">
        <v>601</v>
      </c>
      <c r="T580" s="3" t="s">
        <v>103</v>
      </c>
      <c r="U580" s="29">
        <v>46064</v>
      </c>
      <c r="V580" s="29">
        <v>46064</v>
      </c>
    </row>
    <row r="581" spans="1:24" ht="14.45">
      <c r="A581" s="24" t="s">
        <v>126</v>
      </c>
      <c r="B581" s="24" t="s">
        <v>340</v>
      </c>
      <c r="C581" s="84" t="str">
        <f>IF(ISBLANK(B581),"",_xlfn.XLOOKUP(B581,Recruiter!A:A,Recruiter!B:B))</f>
        <v>Harshitha</v>
      </c>
      <c r="D581" s="84" t="str">
        <f>IF(ISBLANK(A581),"",_xlfn.XLOOKUP(A581,'Requirement Overview'!C:C,'Requirement Overview'!E:E))</f>
        <v>Talme</v>
      </c>
      <c r="E581" s="84" t="str">
        <f>IF(ISBLANK(A581),"",_xlfn.XLOOKUP(A581,'Requirement Overview'!C:C,'Requirement Overview'!H:H))</f>
        <v>IT</v>
      </c>
      <c r="F581" s="19" t="str">
        <f>IF(ISBLANK(A581),"",_xlfn.XLOOKUP(A581,'Requirement Overview'!C:C,'Requirement Overview'!I:I))</f>
        <v>Full Stack Developer</v>
      </c>
      <c r="G581" s="58" t="str">
        <f>IF(ISBLANK(A581),"",_xlfn.XLOOKUP(A581,'Requirement Overview'!C:C,'Requirement Overview'!G:G))</f>
        <v>Thoughtfocus</v>
      </c>
      <c r="H581" s="139" t="s">
        <v>2489</v>
      </c>
      <c r="I581" s="44" t="s">
        <v>519</v>
      </c>
      <c r="J581" s="260" t="s">
        <v>2490</v>
      </c>
      <c r="K581" s="261">
        <v>7899735469</v>
      </c>
      <c r="L581" s="44" t="s">
        <v>2491</v>
      </c>
      <c r="M581" s="44" t="s">
        <v>1395</v>
      </c>
      <c r="N581" s="44" t="s">
        <v>2492</v>
      </c>
      <c r="O581" s="44" t="s">
        <v>1416</v>
      </c>
      <c r="P581" s="44" t="s">
        <v>268</v>
      </c>
      <c r="Q581" s="44" t="s">
        <v>268</v>
      </c>
      <c r="R581" s="44" t="s">
        <v>2493</v>
      </c>
      <c r="S581" s="24" t="s">
        <v>601</v>
      </c>
      <c r="T581" s="3" t="s">
        <v>103</v>
      </c>
      <c r="U581" s="29">
        <v>46064</v>
      </c>
      <c r="V581" s="29">
        <v>46064</v>
      </c>
    </row>
    <row r="582" spans="1:24" ht="14.45">
      <c r="A582" s="24" t="s">
        <v>126</v>
      </c>
      <c r="B582" s="24" t="s">
        <v>340</v>
      </c>
      <c r="C582" s="84" t="str">
        <f>IF(ISBLANK(B582),"",_xlfn.XLOOKUP(B582,Recruiter!A:A,Recruiter!B:B))</f>
        <v>Harshitha</v>
      </c>
      <c r="D582" s="84" t="str">
        <f>IF(ISBLANK(A582),"",_xlfn.XLOOKUP(A582,'Requirement Overview'!C:C,'Requirement Overview'!E:E))</f>
        <v>Talme</v>
      </c>
      <c r="E582" s="84" t="str">
        <f>IF(ISBLANK(A582),"",_xlfn.XLOOKUP(A582,'Requirement Overview'!C:C,'Requirement Overview'!H:H))</f>
        <v>IT</v>
      </c>
      <c r="F582" s="19" t="str">
        <f>IF(ISBLANK(A582),"",_xlfn.XLOOKUP(A582,'Requirement Overview'!C:C,'Requirement Overview'!I:I))</f>
        <v>Full Stack Developer</v>
      </c>
      <c r="G582" s="58" t="str">
        <f>IF(ISBLANK(A582),"",_xlfn.XLOOKUP(A582,'Requirement Overview'!C:C,'Requirement Overview'!G:G))</f>
        <v>Thoughtfocus</v>
      </c>
      <c r="H582" s="139" t="s">
        <v>2494</v>
      </c>
      <c r="I582" s="44" t="s">
        <v>519</v>
      </c>
      <c r="J582" s="257" t="s">
        <v>2495</v>
      </c>
      <c r="K582" s="258">
        <v>7093094753</v>
      </c>
      <c r="L582" s="126" t="s">
        <v>2496</v>
      </c>
      <c r="M582" s="44" t="s">
        <v>395</v>
      </c>
      <c r="N582" s="126" t="s">
        <v>2497</v>
      </c>
      <c r="O582" s="44" t="s">
        <v>1853</v>
      </c>
      <c r="P582" s="44" t="s">
        <v>268</v>
      </c>
      <c r="Q582" s="44" t="s">
        <v>268</v>
      </c>
      <c r="R582" s="44" t="s">
        <v>1653</v>
      </c>
      <c r="S582" s="24" t="s">
        <v>601</v>
      </c>
      <c r="T582" s="3" t="s">
        <v>103</v>
      </c>
      <c r="U582" s="29">
        <v>46064</v>
      </c>
      <c r="V582" s="29">
        <v>46064</v>
      </c>
    </row>
    <row r="583" spans="1:24" ht="14.45">
      <c r="A583" s="24" t="s">
        <v>129</v>
      </c>
      <c r="B583" s="24" t="s">
        <v>340</v>
      </c>
      <c r="C583" s="84" t="str">
        <f>IF(ISBLANK(B583),"",_xlfn.XLOOKUP(B583,Recruiter!A:A,Recruiter!B:B))</f>
        <v>Harshitha</v>
      </c>
      <c r="D583" s="84" t="str">
        <f>IF(ISBLANK(A583),"",_xlfn.XLOOKUP(A583,'Requirement Overview'!C:C,'Requirement Overview'!E:E))</f>
        <v>Talme</v>
      </c>
      <c r="E583" s="84" t="str">
        <f>IF(ISBLANK(A583),"",_xlfn.XLOOKUP(A583,'Requirement Overview'!C:C,'Requirement Overview'!H:H))</f>
        <v>IT</v>
      </c>
      <c r="F583" s="19" t="str">
        <f>IF(ISBLANK(A583),"",_xlfn.XLOOKUP(A583,'Requirement Overview'!C:C,'Requirement Overview'!I:I))</f>
        <v>Front end developer</v>
      </c>
      <c r="G583" s="58" t="str">
        <f>IF(ISBLANK(A583),"",_xlfn.XLOOKUP(A583,'Requirement Overview'!C:C,'Requirement Overview'!G:G))</f>
        <v>Thoughtfocus</v>
      </c>
      <c r="H583" s="139" t="s">
        <v>2498</v>
      </c>
      <c r="I583" s="3" t="s">
        <v>519</v>
      </c>
      <c r="J583" s="260" t="s">
        <v>2499</v>
      </c>
      <c r="K583" s="44">
        <v>8863951109</v>
      </c>
      <c r="L583" s="3" t="s">
        <v>2500</v>
      </c>
      <c r="M583" s="3" t="s">
        <v>768</v>
      </c>
      <c r="N583" s="126" t="s">
        <v>2501</v>
      </c>
      <c r="O583" s="3" t="s">
        <v>715</v>
      </c>
      <c r="P583" s="3" t="s">
        <v>2502</v>
      </c>
      <c r="Q583" s="3" t="s">
        <v>268</v>
      </c>
      <c r="R583" s="3" t="s">
        <v>541</v>
      </c>
      <c r="S583" s="24" t="s">
        <v>270</v>
      </c>
      <c r="T583" s="3" t="s">
        <v>103</v>
      </c>
      <c r="U583" s="29">
        <v>46064</v>
      </c>
      <c r="V583" s="29">
        <v>46064</v>
      </c>
    </row>
    <row r="584" spans="1:24" ht="14.45">
      <c r="A584" s="24" t="s">
        <v>129</v>
      </c>
      <c r="B584" s="24" t="s">
        <v>340</v>
      </c>
      <c r="C584" s="84" t="str">
        <f>IF(ISBLANK(B584),"",_xlfn.XLOOKUP(B584,Recruiter!A:A,Recruiter!B:B))</f>
        <v>Harshitha</v>
      </c>
      <c r="D584" s="84" t="str">
        <f>IF(ISBLANK(A584),"",_xlfn.XLOOKUP(A584,'Requirement Overview'!C:C,'Requirement Overview'!E:E))</f>
        <v>Talme</v>
      </c>
      <c r="E584" s="84" t="str">
        <f>IF(ISBLANK(A584),"",_xlfn.XLOOKUP(A584,'Requirement Overview'!C:C,'Requirement Overview'!H:H))</f>
        <v>IT</v>
      </c>
      <c r="F584" s="19" t="str">
        <f>IF(ISBLANK(A584),"",_xlfn.XLOOKUP(A584,'Requirement Overview'!C:C,'Requirement Overview'!I:I))</f>
        <v>Front end developer</v>
      </c>
      <c r="G584" s="58" t="str">
        <f>IF(ISBLANK(A584),"",_xlfn.XLOOKUP(A584,'Requirement Overview'!C:C,'Requirement Overview'!G:G))</f>
        <v>Thoughtfocus</v>
      </c>
      <c r="H584" s="139" t="s">
        <v>2503</v>
      </c>
      <c r="I584" s="3" t="s">
        <v>2504</v>
      </c>
      <c r="J584" s="260" t="s">
        <v>2505</v>
      </c>
      <c r="K584" s="261">
        <v>7975206747</v>
      </c>
      <c r="L584" s="3" t="s">
        <v>2506</v>
      </c>
      <c r="M584" s="3" t="s">
        <v>379</v>
      </c>
      <c r="N584" s="126" t="s">
        <v>2507</v>
      </c>
      <c r="O584" s="3" t="s">
        <v>600</v>
      </c>
      <c r="P584" s="3" t="s">
        <v>268</v>
      </c>
      <c r="Q584" s="3" t="s">
        <v>268</v>
      </c>
      <c r="R584" s="3" t="s">
        <v>1653</v>
      </c>
      <c r="S584" s="24" t="s">
        <v>375</v>
      </c>
      <c r="T584" s="3" t="s">
        <v>103</v>
      </c>
      <c r="U584" s="29">
        <v>46064</v>
      </c>
      <c r="V584" s="29">
        <v>46064</v>
      </c>
      <c r="X584" s="29">
        <v>46065</v>
      </c>
    </row>
    <row r="585" spans="1:24" ht="14.45">
      <c r="A585" s="24" t="s">
        <v>129</v>
      </c>
      <c r="B585" s="24" t="s">
        <v>340</v>
      </c>
      <c r="C585" s="84" t="str">
        <f>IF(ISBLANK(B585),"",_xlfn.XLOOKUP(B585,Recruiter!A:A,Recruiter!B:B))</f>
        <v>Harshitha</v>
      </c>
      <c r="D585" s="84" t="str">
        <f>IF(ISBLANK(A585),"",_xlfn.XLOOKUP(A585,'Requirement Overview'!C:C,'Requirement Overview'!E:E))</f>
        <v>Talme</v>
      </c>
      <c r="E585" s="84" t="str">
        <f>IF(ISBLANK(A585),"",_xlfn.XLOOKUP(A585,'Requirement Overview'!C:C,'Requirement Overview'!H:H))</f>
        <v>IT</v>
      </c>
      <c r="F585" s="19" t="str">
        <f>IF(ISBLANK(A585),"",_xlfn.XLOOKUP(A585,'Requirement Overview'!C:C,'Requirement Overview'!I:I))</f>
        <v>Front end developer</v>
      </c>
      <c r="G585" s="58" t="str">
        <f>IF(ISBLANK(A585),"",_xlfn.XLOOKUP(A585,'Requirement Overview'!C:C,'Requirement Overview'!G:G))</f>
        <v>Thoughtfocus</v>
      </c>
      <c r="H585" s="139" t="s">
        <v>2508</v>
      </c>
      <c r="I585" s="3" t="s">
        <v>2509</v>
      </c>
      <c r="J585" s="260" t="s">
        <v>2510</v>
      </c>
      <c r="K585" s="261">
        <v>9742812339</v>
      </c>
      <c r="L585" s="3" t="s">
        <v>2511</v>
      </c>
      <c r="M585" s="3" t="s">
        <v>1486</v>
      </c>
      <c r="N585" s="126" t="s">
        <v>2512</v>
      </c>
      <c r="O585" s="3" t="s">
        <v>715</v>
      </c>
      <c r="P585" s="3" t="s">
        <v>268</v>
      </c>
      <c r="Q585" s="3" t="s">
        <v>268</v>
      </c>
      <c r="R585" s="3" t="s">
        <v>1653</v>
      </c>
      <c r="S585" s="24" t="s">
        <v>601</v>
      </c>
      <c r="T585" s="3" t="s">
        <v>103</v>
      </c>
      <c r="U585" s="29">
        <v>46064</v>
      </c>
      <c r="V585" s="29">
        <v>46064</v>
      </c>
    </row>
    <row r="586" spans="1:24" ht="14.45">
      <c r="A586" s="24" t="s">
        <v>129</v>
      </c>
      <c r="B586" s="24" t="s">
        <v>340</v>
      </c>
      <c r="C586" s="84" t="str">
        <f>IF(ISBLANK(B586),"",_xlfn.XLOOKUP(B586,Recruiter!A:A,Recruiter!B:B))</f>
        <v>Harshitha</v>
      </c>
      <c r="D586" s="84" t="str">
        <f>IF(ISBLANK(A586),"",_xlfn.XLOOKUP(A586,'Requirement Overview'!C:C,'Requirement Overview'!E:E))</f>
        <v>Talme</v>
      </c>
      <c r="E586" s="84" t="str">
        <f>IF(ISBLANK(A586),"",_xlfn.XLOOKUP(A586,'Requirement Overview'!C:C,'Requirement Overview'!H:H))</f>
        <v>IT</v>
      </c>
      <c r="F586" s="19" t="str">
        <f>IF(ISBLANK(A586),"",_xlfn.XLOOKUP(A586,'Requirement Overview'!C:C,'Requirement Overview'!I:I))</f>
        <v>Front end developer</v>
      </c>
      <c r="G586" s="58" t="str">
        <f>IF(ISBLANK(A586),"",_xlfn.XLOOKUP(A586,'Requirement Overview'!C:C,'Requirement Overview'!G:G))</f>
        <v>Thoughtfocus</v>
      </c>
      <c r="H586" s="139" t="s">
        <v>2513</v>
      </c>
      <c r="I586" s="3" t="s">
        <v>519</v>
      </c>
      <c r="J586" s="260" t="s">
        <v>2514</v>
      </c>
      <c r="K586" s="261">
        <v>8105365929</v>
      </c>
      <c r="L586" s="3" t="s">
        <v>2511</v>
      </c>
      <c r="M586" s="3" t="s">
        <v>2515</v>
      </c>
      <c r="N586" s="126" t="s">
        <v>2516</v>
      </c>
      <c r="O586" s="3" t="s">
        <v>691</v>
      </c>
      <c r="P586" s="3" t="s">
        <v>268</v>
      </c>
      <c r="Q586" s="3" t="s">
        <v>268</v>
      </c>
      <c r="R586" s="3" t="s">
        <v>455</v>
      </c>
      <c r="S586" s="24" t="s">
        <v>601</v>
      </c>
      <c r="T586" s="3" t="s">
        <v>103</v>
      </c>
      <c r="U586" s="29">
        <v>46064</v>
      </c>
      <c r="V586" s="29">
        <v>46064</v>
      </c>
    </row>
    <row r="587" spans="1:24" ht="14.45">
      <c r="A587" s="24" t="s">
        <v>129</v>
      </c>
      <c r="B587" s="24" t="s">
        <v>340</v>
      </c>
      <c r="C587" s="84" t="str">
        <f>IF(ISBLANK(B587),"",_xlfn.XLOOKUP(B587,Recruiter!A:A,Recruiter!B:B))</f>
        <v>Harshitha</v>
      </c>
      <c r="D587" s="84" t="str">
        <f>IF(ISBLANK(A587),"",_xlfn.XLOOKUP(A587,'Requirement Overview'!C:C,'Requirement Overview'!E:E))</f>
        <v>Talme</v>
      </c>
      <c r="E587" s="84" t="str">
        <f>IF(ISBLANK(A587),"",_xlfn.XLOOKUP(A587,'Requirement Overview'!C:C,'Requirement Overview'!H:H))</f>
        <v>IT</v>
      </c>
      <c r="F587" s="19" t="str">
        <f>IF(ISBLANK(A587),"",_xlfn.XLOOKUP(A587,'Requirement Overview'!C:C,'Requirement Overview'!I:I))</f>
        <v>Front end developer</v>
      </c>
      <c r="G587" s="58" t="str">
        <f>IF(ISBLANK(A587),"",_xlfn.XLOOKUP(A587,'Requirement Overview'!C:C,'Requirement Overview'!G:G))</f>
        <v>Thoughtfocus</v>
      </c>
      <c r="H587" s="139" t="s">
        <v>2517</v>
      </c>
      <c r="I587" s="3" t="s">
        <v>519</v>
      </c>
      <c r="J587" s="260" t="s">
        <v>2518</v>
      </c>
      <c r="K587" s="261">
        <v>9380994660</v>
      </c>
      <c r="L587" s="3" t="s">
        <v>2511</v>
      </c>
      <c r="M587" s="3" t="s">
        <v>1486</v>
      </c>
      <c r="N587" s="120" t="s">
        <v>948</v>
      </c>
      <c r="O587" s="3" t="s">
        <v>715</v>
      </c>
      <c r="P587" s="3" t="s">
        <v>268</v>
      </c>
      <c r="Q587" s="3" t="s">
        <v>268</v>
      </c>
      <c r="R587" s="3" t="s">
        <v>548</v>
      </c>
      <c r="S587" s="24" t="s">
        <v>270</v>
      </c>
      <c r="T587" s="3" t="s">
        <v>103</v>
      </c>
      <c r="U587" s="29">
        <v>46064</v>
      </c>
      <c r="V587" s="29">
        <v>46064</v>
      </c>
    </row>
    <row r="588" spans="1:24" ht="14.45">
      <c r="A588" s="24" t="s">
        <v>127</v>
      </c>
      <c r="B588" s="24" t="s">
        <v>340</v>
      </c>
      <c r="C588" s="84" t="str">
        <f>IF(ISBLANK(B588),"",_xlfn.XLOOKUP(B588,Recruiter!A:A,Recruiter!B:B))</f>
        <v>Harshitha</v>
      </c>
      <c r="D588" s="84" t="str">
        <f>IF(ISBLANK(A588),"",_xlfn.XLOOKUP(A588,'Requirement Overview'!C:C,'Requirement Overview'!E:E))</f>
        <v>Talme</v>
      </c>
      <c r="E588" s="84" t="str">
        <f>IF(ISBLANK(A588),"",_xlfn.XLOOKUP(A588,'Requirement Overview'!C:C,'Requirement Overview'!H:H))</f>
        <v>IT</v>
      </c>
      <c r="F588" s="19" t="str">
        <f>IF(ISBLANK(A588),"",_xlfn.XLOOKUP(A588,'Requirement Overview'!C:C,'Requirement Overview'!I:I))</f>
        <v>Backend developer</v>
      </c>
      <c r="G588" s="58" t="str">
        <f>IF(ISBLANK(A588),"",_xlfn.XLOOKUP(A588,'Requirement Overview'!C:C,'Requirement Overview'!G:G))</f>
        <v>Thoughtfocus</v>
      </c>
      <c r="H588" s="139" t="s">
        <v>2519</v>
      </c>
      <c r="I588" s="3" t="s">
        <v>519</v>
      </c>
      <c r="J588" s="260" t="s">
        <v>2520</v>
      </c>
      <c r="K588" s="261">
        <v>7842014615</v>
      </c>
      <c r="L588" s="44" t="s">
        <v>2521</v>
      </c>
      <c r="M588" s="3" t="s">
        <v>395</v>
      </c>
      <c r="N588" s="126" t="s">
        <v>2522</v>
      </c>
      <c r="O588" s="3" t="s">
        <v>589</v>
      </c>
      <c r="P588" s="3" t="s">
        <v>268</v>
      </c>
      <c r="Q588" s="3" t="s">
        <v>268</v>
      </c>
      <c r="R588" s="3" t="s">
        <v>757</v>
      </c>
      <c r="S588" s="24" t="s">
        <v>270</v>
      </c>
      <c r="T588" s="3" t="s">
        <v>103</v>
      </c>
      <c r="U588" s="29">
        <v>46064</v>
      </c>
      <c r="V588" s="29">
        <v>46064</v>
      </c>
    </row>
    <row r="589" spans="1:24" ht="14.45">
      <c r="A589" s="24" t="s">
        <v>127</v>
      </c>
      <c r="B589" s="24" t="s">
        <v>340</v>
      </c>
      <c r="C589" s="84" t="str">
        <f>IF(ISBLANK(B589),"",_xlfn.XLOOKUP(B589,Recruiter!A:A,Recruiter!B:B))</f>
        <v>Harshitha</v>
      </c>
      <c r="D589" s="84" t="str">
        <f>IF(ISBLANK(A589),"",_xlfn.XLOOKUP(A589,'Requirement Overview'!C:C,'Requirement Overview'!E:E))</f>
        <v>Talme</v>
      </c>
      <c r="E589" s="84" t="str">
        <f>IF(ISBLANK(A589),"",_xlfn.XLOOKUP(A589,'Requirement Overview'!C:C,'Requirement Overview'!H:H))</f>
        <v>IT</v>
      </c>
      <c r="F589" s="19" t="str">
        <f>IF(ISBLANK(A589),"",_xlfn.XLOOKUP(A589,'Requirement Overview'!C:C,'Requirement Overview'!I:I))</f>
        <v>Backend developer</v>
      </c>
      <c r="G589" s="58" t="str">
        <f>IF(ISBLANK(A589),"",_xlfn.XLOOKUP(A589,'Requirement Overview'!C:C,'Requirement Overview'!G:G))</f>
        <v>Thoughtfocus</v>
      </c>
      <c r="H589" s="139" t="s">
        <v>2523</v>
      </c>
      <c r="I589" s="3" t="s">
        <v>519</v>
      </c>
      <c r="J589" s="260" t="s">
        <v>2524</v>
      </c>
      <c r="K589" s="261">
        <v>7008594475</v>
      </c>
      <c r="L589" s="3" t="s">
        <v>2525</v>
      </c>
      <c r="M589" s="3" t="s">
        <v>390</v>
      </c>
      <c r="N589" s="126" t="s">
        <v>2526</v>
      </c>
      <c r="O589" s="3" t="s">
        <v>541</v>
      </c>
      <c r="P589" s="3" t="s">
        <v>268</v>
      </c>
      <c r="Q589" s="3" t="s">
        <v>268</v>
      </c>
      <c r="R589" s="3" t="s">
        <v>2527</v>
      </c>
      <c r="S589" s="24" t="s">
        <v>601</v>
      </c>
      <c r="T589" s="3" t="s">
        <v>103</v>
      </c>
      <c r="U589" s="29">
        <v>46064</v>
      </c>
      <c r="V589" s="29">
        <v>46064</v>
      </c>
    </row>
    <row r="590" spans="1:24" ht="14.45">
      <c r="A590" s="24" t="s">
        <v>127</v>
      </c>
      <c r="B590" s="24" t="s">
        <v>340</v>
      </c>
      <c r="C590" s="84" t="str">
        <f>IF(ISBLANK(B590),"",_xlfn.XLOOKUP(B590,Recruiter!A:A,Recruiter!B:B))</f>
        <v>Harshitha</v>
      </c>
      <c r="D590" s="84" t="str">
        <f>IF(ISBLANK(A590),"",_xlfn.XLOOKUP(A590,'Requirement Overview'!C:C,'Requirement Overview'!E:E))</f>
        <v>Talme</v>
      </c>
      <c r="E590" s="84" t="str">
        <f>IF(ISBLANK(A590),"",_xlfn.XLOOKUP(A590,'Requirement Overview'!C:C,'Requirement Overview'!H:H))</f>
        <v>IT</v>
      </c>
      <c r="F590" s="19" t="str">
        <f>IF(ISBLANK(A590),"",_xlfn.XLOOKUP(A590,'Requirement Overview'!C:C,'Requirement Overview'!I:I))</f>
        <v>Backend developer</v>
      </c>
      <c r="G590" s="58" t="str">
        <f>IF(ISBLANK(A590),"",_xlfn.XLOOKUP(A590,'Requirement Overview'!C:C,'Requirement Overview'!G:G))</f>
        <v>Thoughtfocus</v>
      </c>
      <c r="H590" s="139" t="s">
        <v>2528</v>
      </c>
      <c r="I590" s="3" t="s">
        <v>519</v>
      </c>
      <c r="J590" s="260" t="s">
        <v>2529</v>
      </c>
      <c r="K590" s="258">
        <v>9908436844</v>
      </c>
      <c r="L590" s="3" t="s">
        <v>2530</v>
      </c>
      <c r="M590" s="3" t="s">
        <v>395</v>
      </c>
      <c r="N590" s="252" t="s">
        <v>2531</v>
      </c>
      <c r="O590" s="3" t="s">
        <v>2532</v>
      </c>
      <c r="P590" s="3" t="s">
        <v>268</v>
      </c>
      <c r="Q590" s="3" t="s">
        <v>268</v>
      </c>
      <c r="R590" s="3" t="s">
        <v>1145</v>
      </c>
      <c r="S590" s="24" t="s">
        <v>270</v>
      </c>
      <c r="T590" s="3" t="s">
        <v>103</v>
      </c>
      <c r="U590" s="29">
        <v>46064</v>
      </c>
      <c r="V590" s="29">
        <v>46064</v>
      </c>
    </row>
    <row r="591" spans="1:24" ht="14.45">
      <c r="A591" s="24" t="s">
        <v>127</v>
      </c>
      <c r="B591" s="24" t="s">
        <v>340</v>
      </c>
      <c r="C591" s="84" t="str">
        <f>IF(ISBLANK(B591),"",_xlfn.XLOOKUP(B591,Recruiter!A:A,Recruiter!B:B))</f>
        <v>Harshitha</v>
      </c>
      <c r="D591" s="84" t="str">
        <f>IF(ISBLANK(A591),"",_xlfn.XLOOKUP(A591,'Requirement Overview'!C:C,'Requirement Overview'!E:E))</f>
        <v>Talme</v>
      </c>
      <c r="E591" s="84" t="str">
        <f>IF(ISBLANK(A591),"",_xlfn.XLOOKUP(A591,'Requirement Overview'!C:C,'Requirement Overview'!H:H))</f>
        <v>IT</v>
      </c>
      <c r="F591" s="19" t="str">
        <f>IF(ISBLANK(A591),"",_xlfn.XLOOKUP(A591,'Requirement Overview'!C:C,'Requirement Overview'!I:I))</f>
        <v>Backend developer</v>
      </c>
      <c r="G591" s="58" t="str">
        <f>IF(ISBLANK(A591),"",_xlfn.XLOOKUP(A591,'Requirement Overview'!C:C,'Requirement Overview'!G:G))</f>
        <v>Thoughtfocus</v>
      </c>
      <c r="H591" s="139" t="s">
        <v>2533</v>
      </c>
      <c r="I591" s="3" t="s">
        <v>519</v>
      </c>
      <c r="J591" s="260" t="s">
        <v>2534</v>
      </c>
      <c r="K591" s="258" t="s">
        <v>2535</v>
      </c>
      <c r="L591" s="3" t="s">
        <v>2536</v>
      </c>
      <c r="M591" s="3" t="s">
        <v>1395</v>
      </c>
      <c r="N591" s="252" t="s">
        <v>2537</v>
      </c>
      <c r="O591" s="3" t="s">
        <v>716</v>
      </c>
      <c r="P591" s="3" t="s">
        <v>2538</v>
      </c>
      <c r="Q591" s="3" t="s">
        <v>268</v>
      </c>
      <c r="R591" s="3" t="s">
        <v>1191</v>
      </c>
      <c r="S591" s="24" t="s">
        <v>601</v>
      </c>
      <c r="T591" s="3" t="s">
        <v>103</v>
      </c>
      <c r="U591" s="29">
        <v>46064</v>
      </c>
      <c r="V591" s="29">
        <v>46064</v>
      </c>
    </row>
    <row r="592" spans="1:24" ht="14.45">
      <c r="A592" s="24" t="s">
        <v>127</v>
      </c>
      <c r="B592" s="51" t="s">
        <v>340</v>
      </c>
      <c r="C592" s="88" t="str">
        <f>IF(ISBLANK(B592),"",_xlfn.XLOOKUP(B592,Recruiter!A:A,Recruiter!B:B))</f>
        <v>Harshitha</v>
      </c>
      <c r="D592" s="88" t="str">
        <f>IF(ISBLANK(A592),"",_xlfn.XLOOKUP(A592,'Requirement Overview'!C:C,'Requirement Overview'!E:E))</f>
        <v>Talme</v>
      </c>
      <c r="E592" s="88" t="str">
        <f>IF(ISBLANK(A592),"",_xlfn.XLOOKUP(A592,'Requirement Overview'!C:C,'Requirement Overview'!H:H))</f>
        <v>IT</v>
      </c>
      <c r="F592" s="73" t="str">
        <f>IF(ISBLANK(A592),"",_xlfn.XLOOKUP(A592,'Requirement Overview'!C:C,'Requirement Overview'!I:I))</f>
        <v>Backend developer</v>
      </c>
      <c r="G592" s="62" t="str">
        <f>IF(ISBLANK(A592),"",_xlfn.XLOOKUP(A592,'Requirement Overview'!C:C,'Requirement Overview'!G:G))</f>
        <v>Thoughtfocus</v>
      </c>
      <c r="H592" s="139" t="s">
        <v>2539</v>
      </c>
      <c r="I592" s="50" t="s">
        <v>519</v>
      </c>
      <c r="J592" s="262" t="s">
        <v>2540</v>
      </c>
      <c r="K592" s="263">
        <v>8908732172</v>
      </c>
      <c r="L592" s="50" t="s">
        <v>2541</v>
      </c>
      <c r="M592" s="50" t="s">
        <v>405</v>
      </c>
      <c r="N592" s="254" t="s">
        <v>2542</v>
      </c>
      <c r="O592" s="50" t="s">
        <v>386</v>
      </c>
      <c r="P592" s="50" t="s">
        <v>268</v>
      </c>
      <c r="Q592" s="50" t="s">
        <v>268</v>
      </c>
      <c r="R592" s="50" t="s">
        <v>1144</v>
      </c>
      <c r="S592" s="51" t="s">
        <v>270</v>
      </c>
      <c r="T592" s="50" t="s">
        <v>103</v>
      </c>
      <c r="U592" s="89">
        <v>46064</v>
      </c>
      <c r="V592" s="89">
        <v>46064</v>
      </c>
    </row>
    <row r="593" spans="1:45" ht="14.45">
      <c r="A593" s="3" t="s">
        <v>64</v>
      </c>
      <c r="B593" s="3" t="s">
        <v>236</v>
      </c>
      <c r="C593" s="103" t="str">
        <f>IF(ISBLANK(B593),"",_xlfn.XLOOKUP(B593,Recruiter!A:A,Recruiter!B:B))</f>
        <v>Pooja</v>
      </c>
      <c r="D593" s="103" t="str">
        <f>IF(ISBLANK(A593),"",_xlfn.XLOOKUP(A593,'Requirement Overview'!C:C,'Requirement Overview'!E:E))</f>
        <v>Talme</v>
      </c>
      <c r="E593" s="103" t="str">
        <f>IF(ISBLANK(A593),"",_xlfn.XLOOKUP(A593,'Requirement Overview'!C:C,'Requirement Overview'!H:H))</f>
        <v>Non - IT</v>
      </c>
      <c r="F593" s="77" t="str">
        <f>IF(ISBLANK(A593),"",_xlfn.XLOOKUP(A593,'Requirement Overview'!C:C,'Requirement Overview'!I:I))</f>
        <v>Sales Head</v>
      </c>
      <c r="G593" s="3" t="str">
        <f>IF(ISBLANK(A593),"",_xlfn.XLOOKUP(A593,'Requirement Overview'!C:C,'Requirement Overview'!G:G))</f>
        <v>Avinashi Ads</v>
      </c>
      <c r="H593" s="139" t="s">
        <v>2543</v>
      </c>
      <c r="I593" s="3" t="s">
        <v>519</v>
      </c>
      <c r="J593" s="71" t="s">
        <v>2544</v>
      </c>
      <c r="K593" s="3">
        <v>6360884550</v>
      </c>
      <c r="L593" s="3" t="s">
        <v>305</v>
      </c>
      <c r="M593" s="3" t="s">
        <v>696</v>
      </c>
      <c r="N593" s="3" t="s">
        <v>2545</v>
      </c>
      <c r="O593" s="3" t="s">
        <v>540</v>
      </c>
      <c r="P593" s="3" t="s">
        <v>268</v>
      </c>
      <c r="Q593" s="3" t="s">
        <v>268</v>
      </c>
      <c r="R593" s="3" t="s">
        <v>822</v>
      </c>
      <c r="S593" s="3" t="s">
        <v>470</v>
      </c>
      <c r="T593" s="3" t="s">
        <v>103</v>
      </c>
      <c r="U593" s="55">
        <v>46064</v>
      </c>
      <c r="V593" s="55">
        <v>46064</v>
      </c>
      <c r="W593" s="46"/>
    </row>
    <row r="594" spans="1:45" ht="14.45">
      <c r="A594" s="3" t="s">
        <v>64</v>
      </c>
      <c r="B594" s="3" t="s">
        <v>236</v>
      </c>
      <c r="C594" s="103" t="str">
        <f>IF(ISBLANK(B594),"",_xlfn.XLOOKUP(B594,Recruiter!A:A,Recruiter!B:B))</f>
        <v>Pooja</v>
      </c>
      <c r="D594" s="103" t="str">
        <f>IF(ISBLANK(A594),"",_xlfn.XLOOKUP(A594,'Requirement Overview'!C:C,'Requirement Overview'!E:E))</f>
        <v>Talme</v>
      </c>
      <c r="E594" s="103" t="str">
        <f>IF(ISBLANK(A594),"",_xlfn.XLOOKUP(A594,'Requirement Overview'!C:C,'Requirement Overview'!H:H))</f>
        <v>Non - IT</v>
      </c>
      <c r="F594" s="77" t="str">
        <f>IF(ISBLANK(A594),"",_xlfn.XLOOKUP(A594,'Requirement Overview'!C:C,'Requirement Overview'!I:I))</f>
        <v>Sales Head</v>
      </c>
      <c r="G594" s="3" t="str">
        <f>IF(ISBLANK(A594),"",_xlfn.XLOOKUP(A594,'Requirement Overview'!C:C,'Requirement Overview'!G:G))</f>
        <v>Avinashi Ads</v>
      </c>
      <c r="H594" s="139" t="s">
        <v>2546</v>
      </c>
      <c r="I594" s="3" t="s">
        <v>2139</v>
      </c>
      <c r="J594" s="71" t="s">
        <v>2547</v>
      </c>
      <c r="K594" s="3">
        <v>9845251725</v>
      </c>
      <c r="L594" s="3" t="s">
        <v>2548</v>
      </c>
      <c r="M594" s="3" t="s">
        <v>2383</v>
      </c>
      <c r="N594" s="253" t="s">
        <v>2549</v>
      </c>
      <c r="O594" s="3" t="s">
        <v>374</v>
      </c>
      <c r="P594" s="3" t="s">
        <v>268</v>
      </c>
      <c r="Q594" s="3" t="s">
        <v>268</v>
      </c>
      <c r="R594" s="3" t="s">
        <v>1144</v>
      </c>
      <c r="S594" s="3" t="s">
        <v>470</v>
      </c>
      <c r="T594" s="3" t="s">
        <v>103</v>
      </c>
      <c r="U594" s="55">
        <v>46064</v>
      </c>
      <c r="V594" s="55">
        <v>46064</v>
      </c>
      <c r="W594" s="46"/>
    </row>
    <row r="595" spans="1:45" ht="14.45">
      <c r="A595" s="3" t="s">
        <v>64</v>
      </c>
      <c r="B595" s="3" t="s">
        <v>236</v>
      </c>
      <c r="C595" s="103" t="str">
        <f>IF(ISBLANK(B595),"",_xlfn.XLOOKUP(B595,Recruiter!A:A,Recruiter!B:B))</f>
        <v>Pooja</v>
      </c>
      <c r="D595" s="103" t="str">
        <f>IF(ISBLANK(A595),"",_xlfn.XLOOKUP(A595,'Requirement Overview'!C:C,'Requirement Overview'!E:E))</f>
        <v>Talme</v>
      </c>
      <c r="E595" s="103" t="str">
        <f>IF(ISBLANK(A595),"",_xlfn.XLOOKUP(A595,'Requirement Overview'!C:C,'Requirement Overview'!H:H))</f>
        <v>Non - IT</v>
      </c>
      <c r="F595" s="77" t="str">
        <f>IF(ISBLANK(A595),"",_xlfn.XLOOKUP(A595,'Requirement Overview'!C:C,'Requirement Overview'!I:I))</f>
        <v>Sales Head</v>
      </c>
      <c r="G595" s="3" t="str">
        <f>IF(ISBLANK(A595),"",_xlfn.XLOOKUP(A595,'Requirement Overview'!C:C,'Requirement Overview'!G:G))</f>
        <v>Avinashi Ads</v>
      </c>
      <c r="H595" s="139" t="s">
        <v>2550</v>
      </c>
      <c r="I595" s="3" t="s">
        <v>497</v>
      </c>
      <c r="J595" s="71" t="s">
        <v>2551</v>
      </c>
      <c r="K595" s="3">
        <v>9008432220</v>
      </c>
      <c r="L595" s="3" t="s">
        <v>290</v>
      </c>
      <c r="M595" s="3" t="s">
        <v>899</v>
      </c>
      <c r="N595" s="3" t="s">
        <v>2552</v>
      </c>
      <c r="O595" s="3" t="s">
        <v>2553</v>
      </c>
      <c r="P595" s="3" t="s">
        <v>268</v>
      </c>
      <c r="Q595" s="3" t="s">
        <v>268</v>
      </c>
      <c r="R595" s="3" t="s">
        <v>715</v>
      </c>
      <c r="S595" s="3" t="s">
        <v>470</v>
      </c>
      <c r="T595" s="3" t="s">
        <v>103</v>
      </c>
      <c r="U595" s="55">
        <v>46064</v>
      </c>
      <c r="V595" s="55">
        <v>46064</v>
      </c>
      <c r="W595" s="46"/>
    </row>
    <row r="596" spans="1:45" ht="14.45">
      <c r="A596" s="50" t="s">
        <v>118</v>
      </c>
      <c r="B596" s="50" t="s">
        <v>236</v>
      </c>
      <c r="C596" s="104" t="str">
        <f>IF(ISBLANK(B596),"",_xlfn.XLOOKUP(B596,Recruiter!A:A,Recruiter!B:B))</f>
        <v>Pooja</v>
      </c>
      <c r="D596" s="104" t="str">
        <f>IF(ISBLANK(A596),"",_xlfn.XLOOKUP(A596,'Requirement Overview'!C:C,'Requirement Overview'!E:E))</f>
        <v>Talme</v>
      </c>
      <c r="E596" s="104" t="str">
        <f>IF(ISBLANK(A596),"",_xlfn.XLOOKUP(A596,'Requirement Overview'!C:C,'Requirement Overview'!H:H))</f>
        <v>IT</v>
      </c>
      <c r="F596" s="445" t="str">
        <f>IF(ISBLANK(A596),"",_xlfn.XLOOKUP(A596,'Requirement Overview'!C:C,'Requirement Overview'!I:I))</f>
        <v>Java Lead Analyst</v>
      </c>
      <c r="G596" s="50" t="str">
        <f>IF(ISBLANK(A596),"",_xlfn.XLOOKUP(A596,'Requirement Overview'!C:C,'Requirement Overview'!G:G))</f>
        <v>Thoughtfocus</v>
      </c>
      <c r="H596" s="546" t="s">
        <v>2554</v>
      </c>
      <c r="I596" s="547" t="s">
        <v>2074</v>
      </c>
      <c r="J596" s="548" t="s">
        <v>2555</v>
      </c>
      <c r="K596" s="547">
        <v>8750328420</v>
      </c>
      <c r="L596" s="547" t="s">
        <v>311</v>
      </c>
      <c r="M596" s="50" t="s">
        <v>598</v>
      </c>
      <c r="N596" s="547" t="s">
        <v>2556</v>
      </c>
      <c r="O596" s="547" t="s">
        <v>600</v>
      </c>
      <c r="P596" s="50" t="s">
        <v>806</v>
      </c>
      <c r="Q596" s="50" t="s">
        <v>1557</v>
      </c>
      <c r="R596" s="547" t="s">
        <v>2065</v>
      </c>
      <c r="S596" s="50" t="s">
        <v>470</v>
      </c>
      <c r="T596" s="50" t="s">
        <v>103</v>
      </c>
      <c r="U596" s="106">
        <v>46064</v>
      </c>
      <c r="V596" s="106">
        <v>46064</v>
      </c>
      <c r="W596" s="108"/>
      <c r="X596" s="51"/>
      <c r="Y596" s="51"/>
      <c r="Z596" s="51"/>
      <c r="AA596" s="51"/>
      <c r="AB596" s="51"/>
      <c r="AC596" s="51"/>
      <c r="AD596" s="51"/>
    </row>
    <row r="597" spans="1:45" ht="14.45">
      <c r="A597" s="702" t="s">
        <v>64</v>
      </c>
      <c r="B597" s="702" t="s">
        <v>258</v>
      </c>
      <c r="C597" s="487" t="str">
        <f>IF(ISBLANK(B597),"",_xlfn.XLOOKUP(B597,Recruiter!A:A,Recruiter!B:B))</f>
        <v>Bhoomika</v>
      </c>
      <c r="D597" s="487" t="str">
        <f>IF(ISBLANK(A597),"",_xlfn.XLOOKUP(A597,'Requirement Overview'!C:C,'Requirement Overview'!E:E))</f>
        <v>Talme</v>
      </c>
      <c r="E597" s="487" t="str">
        <f>IF(ISBLANK(A597),"",_xlfn.XLOOKUP(A597,'Requirement Overview'!C:C,'Requirement Overview'!H:H))</f>
        <v>Non - IT</v>
      </c>
      <c r="F597" s="476" t="str">
        <f>IF(ISBLANK(A597),"",_xlfn.XLOOKUP(A597,'Requirement Overview'!C:C,'Requirement Overview'!I:I))</f>
        <v>Sales Head</v>
      </c>
      <c r="G597" s="702" t="str">
        <f>IF(ISBLANK(A597),"",_xlfn.XLOOKUP(A597,'Requirement Overview'!C:C,'Requirement Overview'!G:G))</f>
        <v>Avinashi Ads</v>
      </c>
      <c r="H597" s="515" t="s">
        <v>2557</v>
      </c>
      <c r="I597" s="702" t="s">
        <v>262</v>
      </c>
      <c r="J597" s="478" t="s">
        <v>2558</v>
      </c>
      <c r="K597" s="702">
        <v>9886616786</v>
      </c>
      <c r="L597" s="702" t="s">
        <v>290</v>
      </c>
      <c r="M597" s="702" t="s">
        <v>351</v>
      </c>
      <c r="N597" s="702" t="s">
        <v>2559</v>
      </c>
      <c r="O597" s="702" t="s">
        <v>374</v>
      </c>
      <c r="P597" s="702" t="s">
        <v>294</v>
      </c>
      <c r="Q597" s="702" t="s">
        <v>294</v>
      </c>
      <c r="R597" s="702" t="s">
        <v>1302</v>
      </c>
      <c r="S597" s="702" t="s">
        <v>270</v>
      </c>
      <c r="T597" s="702" t="s">
        <v>103</v>
      </c>
      <c r="U597" s="703">
        <v>46064</v>
      </c>
      <c r="V597" s="703">
        <v>46064</v>
      </c>
      <c r="W597" s="702"/>
      <c r="X597" s="702"/>
      <c r="Y597" s="702"/>
      <c r="Z597" s="702"/>
      <c r="AA597" s="702"/>
      <c r="AB597" s="702"/>
      <c r="AC597" s="702"/>
      <c r="AD597" s="702"/>
      <c r="AE597" s="46"/>
    </row>
    <row r="598" spans="1:45" ht="14.45">
      <c r="A598" s="702" t="s">
        <v>64</v>
      </c>
      <c r="B598" s="702" t="s">
        <v>258</v>
      </c>
      <c r="C598" s="487" t="str">
        <f>IF(ISBLANK(B598),"",_xlfn.XLOOKUP(B598,Recruiter!A:A,Recruiter!B:B))</f>
        <v>Bhoomika</v>
      </c>
      <c r="D598" s="487" t="str">
        <f>IF(ISBLANK(A598),"",_xlfn.XLOOKUP(A598,'Requirement Overview'!C:C,'Requirement Overview'!E:E))</f>
        <v>Talme</v>
      </c>
      <c r="E598" s="487" t="str">
        <f>IF(ISBLANK(A598),"",_xlfn.XLOOKUP(A598,'Requirement Overview'!C:C,'Requirement Overview'!H:H))</f>
        <v>Non - IT</v>
      </c>
      <c r="F598" s="476" t="str">
        <f>IF(ISBLANK(A598),"",_xlfn.XLOOKUP(A598,'Requirement Overview'!C:C,'Requirement Overview'!I:I))</f>
        <v>Sales Head</v>
      </c>
      <c r="G598" s="702" t="str">
        <f>IF(ISBLANK(A598),"",_xlfn.XLOOKUP(A598,'Requirement Overview'!C:C,'Requirement Overview'!G:G))</f>
        <v>Avinashi Ads</v>
      </c>
      <c r="H598" s="515" t="s">
        <v>2560</v>
      </c>
      <c r="I598" s="702" t="s">
        <v>2561</v>
      </c>
      <c r="J598" s="478" t="s">
        <v>2562</v>
      </c>
      <c r="K598" s="702">
        <v>9619343895</v>
      </c>
      <c r="L598" s="702" t="s">
        <v>2563</v>
      </c>
      <c r="M598" s="702" t="s">
        <v>1150</v>
      </c>
      <c r="N598" s="702" t="s">
        <v>2564</v>
      </c>
      <c r="O598" s="702" t="s">
        <v>678</v>
      </c>
      <c r="P598" s="702" t="s">
        <v>294</v>
      </c>
      <c r="Q598" s="702" t="s">
        <v>294</v>
      </c>
      <c r="R598" s="702" t="s">
        <v>368</v>
      </c>
      <c r="S598" s="702" t="s">
        <v>270</v>
      </c>
      <c r="T598" s="702" t="s">
        <v>103</v>
      </c>
      <c r="U598" s="703">
        <v>46064</v>
      </c>
      <c r="V598" s="703">
        <v>46064</v>
      </c>
      <c r="W598" s="702"/>
      <c r="X598" s="702"/>
      <c r="Y598" s="702"/>
      <c r="Z598" s="702"/>
      <c r="AA598" s="702"/>
      <c r="AB598" s="702"/>
      <c r="AC598" s="702"/>
      <c r="AD598" s="702"/>
      <c r="AE598" s="46"/>
    </row>
    <row r="599" spans="1:45" ht="14.45">
      <c r="A599" s="702" t="s">
        <v>64</v>
      </c>
      <c r="B599" s="702" t="s">
        <v>258</v>
      </c>
      <c r="C599" s="487" t="str">
        <f>IF(ISBLANK(B599),"",_xlfn.XLOOKUP(B599,Recruiter!A:A,Recruiter!B:B))</f>
        <v>Bhoomika</v>
      </c>
      <c r="D599" s="487" t="str">
        <f>IF(ISBLANK(A599),"",_xlfn.XLOOKUP(A599,'Requirement Overview'!C:C,'Requirement Overview'!E:E))</f>
        <v>Talme</v>
      </c>
      <c r="E599" s="487" t="str">
        <f>IF(ISBLANK(A599),"",_xlfn.XLOOKUP(A599,'Requirement Overview'!C:C,'Requirement Overview'!H:H))</f>
        <v>Non - IT</v>
      </c>
      <c r="F599" s="476" t="str">
        <f>IF(ISBLANK(A599),"",_xlfn.XLOOKUP(A599,'Requirement Overview'!C:C,'Requirement Overview'!I:I))</f>
        <v>Sales Head</v>
      </c>
      <c r="G599" s="702" t="str">
        <f>IF(ISBLANK(A599),"",_xlfn.XLOOKUP(A599,'Requirement Overview'!C:C,'Requirement Overview'!G:G))</f>
        <v>Avinashi Ads</v>
      </c>
      <c r="H599" s="515" t="s">
        <v>2565</v>
      </c>
      <c r="I599" s="702" t="s">
        <v>262</v>
      </c>
      <c r="J599" s="478" t="s">
        <v>2566</v>
      </c>
      <c r="K599" s="702">
        <v>9980113662</v>
      </c>
      <c r="L599" s="702" t="s">
        <v>604</v>
      </c>
      <c r="M599" s="702" t="s">
        <v>1650</v>
      </c>
      <c r="N599" s="702" t="s">
        <v>2567</v>
      </c>
      <c r="O599" s="702" t="s">
        <v>429</v>
      </c>
      <c r="P599" s="702" t="s">
        <v>294</v>
      </c>
      <c r="Q599" s="702" t="s">
        <v>294</v>
      </c>
      <c r="R599" s="706" t="s">
        <v>308</v>
      </c>
      <c r="S599" s="702" t="s">
        <v>270</v>
      </c>
      <c r="T599" s="702" t="s">
        <v>103</v>
      </c>
      <c r="U599" s="703">
        <v>46064</v>
      </c>
      <c r="V599" s="703">
        <v>46064</v>
      </c>
      <c r="W599" s="702"/>
      <c r="X599" s="702"/>
      <c r="Y599" s="702"/>
      <c r="Z599" s="702"/>
      <c r="AA599" s="702"/>
      <c r="AB599" s="702"/>
      <c r="AC599" s="702"/>
      <c r="AD599" s="702"/>
      <c r="AE599" s="46"/>
    </row>
    <row r="600" spans="1:45" ht="14.45">
      <c r="A600" s="702" t="s">
        <v>64</v>
      </c>
      <c r="B600" s="702" t="s">
        <v>258</v>
      </c>
      <c r="C600" s="487" t="str">
        <f>IF(ISBLANK(B600),"",_xlfn.XLOOKUP(B600,Recruiter!A:A,Recruiter!B:B))</f>
        <v>Bhoomika</v>
      </c>
      <c r="D600" s="487" t="str">
        <f>IF(ISBLANK(A600),"",_xlfn.XLOOKUP(A600,'Requirement Overview'!C:C,'Requirement Overview'!E:E))</f>
        <v>Talme</v>
      </c>
      <c r="E600" s="487" t="str">
        <f>IF(ISBLANK(A600),"",_xlfn.XLOOKUP(A600,'Requirement Overview'!C:C,'Requirement Overview'!H:H))</f>
        <v>Non - IT</v>
      </c>
      <c r="F600" s="476" t="str">
        <f>IF(ISBLANK(A600),"",_xlfn.XLOOKUP(A600,'Requirement Overview'!C:C,'Requirement Overview'!I:I))</f>
        <v>Sales Head</v>
      </c>
      <c r="G600" s="702" t="str">
        <f>IF(ISBLANK(A600),"",_xlfn.XLOOKUP(A600,'Requirement Overview'!C:C,'Requirement Overview'!G:G))</f>
        <v>Avinashi Ads</v>
      </c>
      <c r="H600" s="515" t="s">
        <v>2568</v>
      </c>
      <c r="I600" s="702" t="s">
        <v>497</v>
      </c>
      <c r="J600" s="478" t="s">
        <v>2569</v>
      </c>
      <c r="K600" s="702">
        <v>8904841914</v>
      </c>
      <c r="L600" s="702" t="s">
        <v>2563</v>
      </c>
      <c r="M600" s="702" t="s">
        <v>685</v>
      </c>
      <c r="N600" s="702" t="s">
        <v>2570</v>
      </c>
      <c r="O600" s="702" t="s">
        <v>1144</v>
      </c>
      <c r="P600" s="702" t="s">
        <v>294</v>
      </c>
      <c r="Q600" s="702" t="s">
        <v>294</v>
      </c>
      <c r="R600" s="702" t="s">
        <v>623</v>
      </c>
      <c r="S600" s="702" t="s">
        <v>270</v>
      </c>
      <c r="T600" s="702" t="s">
        <v>103</v>
      </c>
      <c r="U600" s="703">
        <v>46064</v>
      </c>
      <c r="V600" s="703">
        <v>46064</v>
      </c>
      <c r="W600" s="702"/>
      <c r="X600" s="702"/>
      <c r="Y600" s="702"/>
      <c r="Z600" s="702"/>
      <c r="AA600" s="702"/>
      <c r="AB600" s="702"/>
      <c r="AC600" s="702"/>
      <c r="AD600" s="702"/>
      <c r="AE600" s="46"/>
    </row>
    <row r="601" spans="1:45" ht="14.45">
      <c r="A601" s="702" t="s">
        <v>64</v>
      </c>
      <c r="B601" s="702" t="s">
        <v>258</v>
      </c>
      <c r="C601" s="487" t="str">
        <f>IF(ISBLANK(B601),"",_xlfn.XLOOKUP(B601,Recruiter!A:A,Recruiter!B:B))</f>
        <v>Bhoomika</v>
      </c>
      <c r="D601" s="487" t="str">
        <f>IF(ISBLANK(A601),"",_xlfn.XLOOKUP(A601,'Requirement Overview'!C:C,'Requirement Overview'!E:E))</f>
        <v>Talme</v>
      </c>
      <c r="E601" s="487" t="str">
        <f>IF(ISBLANK(A601),"",_xlfn.XLOOKUP(A601,'Requirement Overview'!C:C,'Requirement Overview'!H:H))</f>
        <v>Non - IT</v>
      </c>
      <c r="F601" s="476" t="str">
        <f>IF(ISBLANK(A601),"",_xlfn.XLOOKUP(A601,'Requirement Overview'!C:C,'Requirement Overview'!I:I))</f>
        <v>Sales Head</v>
      </c>
      <c r="G601" s="702" t="str">
        <f>IF(ISBLANK(A601),"",_xlfn.XLOOKUP(A601,'Requirement Overview'!C:C,'Requirement Overview'!G:G))</f>
        <v>Avinashi Ads</v>
      </c>
      <c r="H601" s="515" t="s">
        <v>2571</v>
      </c>
      <c r="I601" s="702" t="s">
        <v>316</v>
      </c>
      <c r="J601" s="478" t="s">
        <v>2572</v>
      </c>
      <c r="K601" s="702">
        <v>9972203737</v>
      </c>
      <c r="L601" s="702" t="s">
        <v>2563</v>
      </c>
      <c r="M601" s="702" t="s">
        <v>390</v>
      </c>
      <c r="N601" s="702" t="s">
        <v>2573</v>
      </c>
      <c r="O601" s="702" t="s">
        <v>730</v>
      </c>
      <c r="P601" s="702" t="s">
        <v>294</v>
      </c>
      <c r="Q601" s="702" t="s">
        <v>294</v>
      </c>
      <c r="R601" s="702" t="s">
        <v>623</v>
      </c>
      <c r="S601" s="702" t="s">
        <v>270</v>
      </c>
      <c r="T601" s="702" t="s">
        <v>103</v>
      </c>
      <c r="U601" s="703">
        <v>46064</v>
      </c>
      <c r="V601" s="703">
        <v>46064</v>
      </c>
      <c r="W601" s="702"/>
      <c r="X601" s="702"/>
      <c r="Y601" s="702"/>
      <c r="Z601" s="702"/>
      <c r="AA601" s="702"/>
      <c r="AB601" s="702"/>
      <c r="AC601" s="702"/>
      <c r="AD601" s="702"/>
      <c r="AE601" s="46"/>
    </row>
    <row r="602" spans="1:45" ht="14.45">
      <c r="A602" s="702" t="s">
        <v>55</v>
      </c>
      <c r="B602" s="702" t="s">
        <v>258</v>
      </c>
      <c r="C602" s="487" t="str">
        <f>IF(ISBLANK(B602),"",_xlfn.XLOOKUP(B602,Recruiter!A:A,Recruiter!B:B))</f>
        <v>Bhoomika</v>
      </c>
      <c r="D602" s="487" t="str">
        <f>IF(ISBLANK(A602),"",_xlfn.XLOOKUP(A602,'Requirement Overview'!C:C,'Requirement Overview'!E:E))</f>
        <v>Talme</v>
      </c>
      <c r="E602" s="487" t="str">
        <f>IF(ISBLANK(A602),"",_xlfn.XLOOKUP(A602,'Requirement Overview'!C:C,'Requirement Overview'!H:H))</f>
        <v>Non - IT</v>
      </c>
      <c r="F602" s="476" t="str">
        <f>IF(ISBLANK(A602),"",_xlfn.XLOOKUP(A602,'Requirement Overview'!C:C,'Requirement Overview'!I:I))</f>
        <v>Inside Sales Executive</v>
      </c>
      <c r="G602" s="702" t="str">
        <f>IF(ISBLANK(A602),"",_xlfn.XLOOKUP(A602,'Requirement Overview'!C:C,'Requirement Overview'!G:G))</f>
        <v>Peritas</v>
      </c>
      <c r="H602" s="515" t="s">
        <v>2574</v>
      </c>
      <c r="I602" s="702" t="s">
        <v>316</v>
      </c>
      <c r="J602" s="478" t="s">
        <v>2575</v>
      </c>
      <c r="K602" s="702">
        <v>9668799883</v>
      </c>
      <c r="L602" s="702" t="s">
        <v>305</v>
      </c>
      <c r="M602" s="702" t="s">
        <v>2576</v>
      </c>
      <c r="N602" s="702" t="s">
        <v>2577</v>
      </c>
      <c r="O602" s="702" t="s">
        <v>301</v>
      </c>
      <c r="P602" s="702" t="s">
        <v>316</v>
      </c>
      <c r="Q602" s="702" t="s">
        <v>294</v>
      </c>
      <c r="R602" s="702" t="s">
        <v>2578</v>
      </c>
      <c r="S602" s="702" t="s">
        <v>360</v>
      </c>
      <c r="T602" s="702" t="s">
        <v>103</v>
      </c>
      <c r="U602" s="716">
        <v>46175</v>
      </c>
      <c r="V602" s="716">
        <v>46175</v>
      </c>
      <c r="W602" s="702"/>
      <c r="X602" s="716">
        <v>46328</v>
      </c>
      <c r="Y602" s="702" t="s">
        <v>362</v>
      </c>
      <c r="Z602" s="702"/>
      <c r="AA602" s="702"/>
      <c r="AB602" s="702"/>
      <c r="AC602" s="702"/>
      <c r="AD602" s="702"/>
      <c r="AE602" s="46"/>
    </row>
    <row r="603" spans="1:45" ht="14.45">
      <c r="A603" s="702" t="s">
        <v>55</v>
      </c>
      <c r="B603" s="702" t="s">
        <v>258</v>
      </c>
      <c r="C603" s="487" t="str">
        <f>IF(ISBLANK(B603),"",_xlfn.XLOOKUP(B603,Recruiter!A:A,Recruiter!B:B))</f>
        <v>Bhoomika</v>
      </c>
      <c r="D603" s="487" t="str">
        <f>IF(ISBLANK(A603),"",_xlfn.XLOOKUP(A603,'Requirement Overview'!C:C,'Requirement Overview'!E:E))</f>
        <v>Talme</v>
      </c>
      <c r="E603" s="487" t="str">
        <f>IF(ISBLANK(A603),"",_xlfn.XLOOKUP(A603,'Requirement Overview'!C:C,'Requirement Overview'!H:H))</f>
        <v>Non - IT</v>
      </c>
      <c r="F603" s="476" t="str">
        <f>IF(ISBLANK(A603),"",_xlfn.XLOOKUP(A603,'Requirement Overview'!C:C,'Requirement Overview'!I:I))</f>
        <v>Inside Sales Executive</v>
      </c>
      <c r="G603" s="702" t="str">
        <f>IF(ISBLANK(A603),"",_xlfn.XLOOKUP(A603,'Requirement Overview'!C:C,'Requirement Overview'!G:G))</f>
        <v>Peritas</v>
      </c>
      <c r="H603" s="515" t="s">
        <v>2579</v>
      </c>
      <c r="I603" s="702" t="s">
        <v>316</v>
      </c>
      <c r="J603" s="478" t="s">
        <v>2580</v>
      </c>
      <c r="K603" s="702">
        <v>7411630236</v>
      </c>
      <c r="L603" s="702" t="s">
        <v>2563</v>
      </c>
      <c r="M603" s="702" t="s">
        <v>1490</v>
      </c>
      <c r="N603" s="702" t="s">
        <v>2581</v>
      </c>
      <c r="O603" s="702" t="s">
        <v>1020</v>
      </c>
      <c r="P603" s="702" t="s">
        <v>316</v>
      </c>
      <c r="Q603" s="702" t="s">
        <v>294</v>
      </c>
      <c r="R603" s="702" t="s">
        <v>1680</v>
      </c>
      <c r="S603" s="702" t="s">
        <v>1021</v>
      </c>
      <c r="T603" s="702" t="s">
        <v>103</v>
      </c>
      <c r="U603" s="716">
        <v>46175</v>
      </c>
      <c r="V603" s="716">
        <v>46175</v>
      </c>
      <c r="W603" s="702"/>
      <c r="X603" s="716">
        <v>46358</v>
      </c>
      <c r="Y603" s="702" t="s">
        <v>784</v>
      </c>
      <c r="Z603" s="702"/>
      <c r="AA603" s="702"/>
      <c r="AB603" s="703">
        <v>46071</v>
      </c>
      <c r="AC603" s="702" t="s">
        <v>362</v>
      </c>
      <c r="AD603" s="702"/>
      <c r="AE603" s="46"/>
    </row>
    <row r="604" spans="1:45" s="51" customFormat="1" ht="14.45">
      <c r="A604" s="702" t="s">
        <v>55</v>
      </c>
      <c r="B604" s="702" t="s">
        <v>258</v>
      </c>
      <c r="C604" s="487" t="str">
        <f>IF(ISBLANK(B604),"",_xlfn.XLOOKUP(B604,Recruiter!A:A,Recruiter!B:B))</f>
        <v>Bhoomika</v>
      </c>
      <c r="D604" s="487" t="str">
        <f>IF(ISBLANK(A604),"",_xlfn.XLOOKUP(A604,'Requirement Overview'!C:C,'Requirement Overview'!E:E))</f>
        <v>Talme</v>
      </c>
      <c r="E604" s="487" t="str">
        <f>IF(ISBLANK(A604),"",_xlfn.XLOOKUP(A604,'Requirement Overview'!C:C,'Requirement Overview'!H:H))</f>
        <v>Non - IT</v>
      </c>
      <c r="F604" s="476" t="str">
        <f>IF(ISBLANK(A604),"",_xlfn.XLOOKUP(A604,'Requirement Overview'!C:C,'Requirement Overview'!I:I))</f>
        <v>Inside Sales Executive</v>
      </c>
      <c r="G604" s="702" t="str">
        <f>IF(ISBLANK(A604),"",_xlfn.XLOOKUP(A604,'Requirement Overview'!C:C,'Requirement Overview'!G:G))</f>
        <v>Peritas</v>
      </c>
      <c r="H604" s="515" t="s">
        <v>2582</v>
      </c>
      <c r="I604" s="702" t="s">
        <v>262</v>
      </c>
      <c r="J604" s="702" t="s">
        <v>2583</v>
      </c>
      <c r="K604" s="702">
        <v>9019406980</v>
      </c>
      <c r="L604" s="702" t="s">
        <v>318</v>
      </c>
      <c r="M604" s="702" t="s">
        <v>1165</v>
      </c>
      <c r="N604" s="702" t="s">
        <v>2584</v>
      </c>
      <c r="O604" s="702" t="s">
        <v>2585</v>
      </c>
      <c r="P604" s="702" t="s">
        <v>262</v>
      </c>
      <c r="Q604" s="702" t="s">
        <v>294</v>
      </c>
      <c r="R604" s="702" t="s">
        <v>1680</v>
      </c>
      <c r="S604" s="702" t="s">
        <v>270</v>
      </c>
      <c r="T604" s="702" t="s">
        <v>103</v>
      </c>
      <c r="U604" s="716">
        <v>46175</v>
      </c>
      <c r="V604" s="716">
        <v>46175</v>
      </c>
      <c r="W604" s="702"/>
      <c r="X604" s="702"/>
      <c r="Y604" s="702"/>
      <c r="Z604" s="702"/>
      <c r="AA604" s="702"/>
      <c r="AB604" s="702"/>
      <c r="AC604" s="702"/>
      <c r="AD604" s="702"/>
      <c r="AE604" s="108"/>
      <c r="AL604" s="73"/>
      <c r="AM604" s="73"/>
      <c r="AS604" s="73"/>
    </row>
    <row r="605" spans="1:45" ht="14.45">
      <c r="A605" s="47" t="s">
        <v>127</v>
      </c>
      <c r="B605" s="47" t="s">
        <v>520</v>
      </c>
      <c r="C605" s="129" t="str">
        <f>IF(ISBLANK(B605),"",_xlfn.XLOOKUP(B605,Recruiter!A:A,Recruiter!B:B))</f>
        <v>Narthana</v>
      </c>
      <c r="D605" s="129" t="str">
        <f>IF(ISBLANK(A605),"",_xlfn.XLOOKUP(A605,'Requirement Overview'!C:C,'Requirement Overview'!E:E))</f>
        <v>Talme</v>
      </c>
      <c r="E605" s="129" t="str">
        <f>IF(ISBLANK(A605),"",_xlfn.XLOOKUP(A605,'Requirement Overview'!C:C,'Requirement Overview'!H:H))</f>
        <v>IT</v>
      </c>
      <c r="F605" s="80" t="str">
        <f>IF(ISBLANK(A605),"",_xlfn.XLOOKUP(A605,'Requirement Overview'!C:C,'Requirement Overview'!I:I))</f>
        <v>Backend developer</v>
      </c>
      <c r="G605" s="47" t="str">
        <f>IF(ISBLANK(A605),"",_xlfn.XLOOKUP(A605,'Requirement Overview'!C:C,'Requirement Overview'!G:G))</f>
        <v>Thoughtfocus</v>
      </c>
      <c r="H605" s="614" t="s">
        <v>2586</v>
      </c>
      <c r="I605" s="602" t="s">
        <v>2587</v>
      </c>
      <c r="J605" s="602" t="s">
        <v>2588</v>
      </c>
      <c r="K605" s="602">
        <v>7022816736</v>
      </c>
      <c r="L605" s="602" t="s">
        <v>2589</v>
      </c>
      <c r="M605" s="602" t="s">
        <v>437</v>
      </c>
      <c r="N605" s="602" t="s">
        <v>2590</v>
      </c>
      <c r="O605" s="602" t="s">
        <v>374</v>
      </c>
      <c r="P605" s="602" t="s">
        <v>268</v>
      </c>
      <c r="Q605" s="602" t="s">
        <v>268</v>
      </c>
      <c r="R605" s="602" t="s">
        <v>1302</v>
      </c>
      <c r="S605" s="47" t="s">
        <v>601</v>
      </c>
      <c r="T605" s="47" t="s">
        <v>103</v>
      </c>
      <c r="U605" s="118">
        <v>46064</v>
      </c>
      <c r="V605" s="118">
        <v>46064</v>
      </c>
      <c r="W605" s="47"/>
      <c r="X605" s="47"/>
      <c r="Y605" s="47"/>
      <c r="Z605" s="47"/>
      <c r="AA605" s="47"/>
      <c r="AB605" s="47"/>
      <c r="AC605" s="47"/>
      <c r="AD605" s="47"/>
    </row>
    <row r="606" spans="1:45" ht="14.45">
      <c r="A606" s="24" t="s">
        <v>127</v>
      </c>
      <c r="B606" s="24" t="s">
        <v>520</v>
      </c>
      <c r="C606" s="84" t="str">
        <f>IF(ISBLANK(B606),"",_xlfn.XLOOKUP(B606,Recruiter!A:A,Recruiter!B:B))</f>
        <v>Narthana</v>
      </c>
      <c r="D606" s="84" t="str">
        <f>IF(ISBLANK(A606),"",_xlfn.XLOOKUP(A606,'Requirement Overview'!C:C,'Requirement Overview'!E:E))</f>
        <v>Talme</v>
      </c>
      <c r="E606" s="84" t="str">
        <f>IF(ISBLANK(A606),"",_xlfn.XLOOKUP(A606,'Requirement Overview'!C:C,'Requirement Overview'!H:H))</f>
        <v>IT</v>
      </c>
      <c r="F606" s="19" t="str">
        <f>IF(ISBLANK(A606),"",_xlfn.XLOOKUP(A606,'Requirement Overview'!C:C,'Requirement Overview'!I:I))</f>
        <v>Backend developer</v>
      </c>
      <c r="G606" s="24" t="str">
        <f>IF(ISBLANK(A606),"",_xlfn.XLOOKUP(A606,'Requirement Overview'!C:C,'Requirement Overview'!G:G))</f>
        <v>Thoughtfocus</v>
      </c>
      <c r="H606" s="139" t="s">
        <v>2591</v>
      </c>
      <c r="I606" s="274" t="s">
        <v>519</v>
      </c>
      <c r="J606" s="189" t="s">
        <v>2592</v>
      </c>
      <c r="K606" s="189">
        <v>9740610193</v>
      </c>
      <c r="L606" s="189" t="s">
        <v>2593</v>
      </c>
      <c r="M606" s="92" t="s">
        <v>524</v>
      </c>
      <c r="N606" s="189" t="s">
        <v>2594</v>
      </c>
      <c r="O606" s="48" t="s">
        <v>678</v>
      </c>
      <c r="P606" s="92" t="s">
        <v>268</v>
      </c>
      <c r="Q606" s="92" t="s">
        <v>268</v>
      </c>
      <c r="R606" s="48" t="s">
        <v>2101</v>
      </c>
      <c r="S606" s="24" t="s">
        <v>601</v>
      </c>
      <c r="T606" s="24" t="s">
        <v>103</v>
      </c>
      <c r="U606" s="29">
        <v>46064</v>
      </c>
      <c r="V606" s="29">
        <v>46064</v>
      </c>
    </row>
    <row r="607" spans="1:45" ht="14.45">
      <c r="A607" s="24" t="s">
        <v>127</v>
      </c>
      <c r="B607" s="24" t="s">
        <v>520</v>
      </c>
      <c r="C607" s="84" t="str">
        <f>IF(ISBLANK(B607),"",_xlfn.XLOOKUP(B607,Recruiter!A:A,Recruiter!B:B))</f>
        <v>Narthana</v>
      </c>
      <c r="D607" s="84" t="str">
        <f>IF(ISBLANK(A607),"",_xlfn.XLOOKUP(A607,'Requirement Overview'!C:C,'Requirement Overview'!E:E))</f>
        <v>Talme</v>
      </c>
      <c r="E607" s="84" t="str">
        <f>IF(ISBLANK(A607),"",_xlfn.XLOOKUP(A607,'Requirement Overview'!C:C,'Requirement Overview'!H:H))</f>
        <v>IT</v>
      </c>
      <c r="F607" s="19" t="str">
        <f>IF(ISBLANK(A607),"",_xlfn.XLOOKUP(A607,'Requirement Overview'!C:C,'Requirement Overview'!I:I))</f>
        <v>Backend developer</v>
      </c>
      <c r="G607" s="24" t="str">
        <f>IF(ISBLANK(A607),"",_xlfn.XLOOKUP(A607,'Requirement Overview'!C:C,'Requirement Overview'!G:G))</f>
        <v>Thoughtfocus</v>
      </c>
      <c r="H607" s="139" t="s">
        <v>2595</v>
      </c>
      <c r="I607" s="275" t="s">
        <v>519</v>
      </c>
      <c r="J607" s="264" t="s">
        <v>2596</v>
      </c>
      <c r="K607" s="92">
        <v>9502116463</v>
      </c>
      <c r="L607" s="92" t="s">
        <v>2597</v>
      </c>
      <c r="M607" s="92" t="s">
        <v>558</v>
      </c>
      <c r="N607" s="92" t="s">
        <v>2598</v>
      </c>
      <c r="O607" s="48" t="s">
        <v>2532</v>
      </c>
      <c r="P607" s="92" t="s">
        <v>268</v>
      </c>
      <c r="Q607" s="92" t="s">
        <v>268</v>
      </c>
      <c r="R607" s="48" t="s">
        <v>715</v>
      </c>
      <c r="S607" s="24" t="s">
        <v>601</v>
      </c>
      <c r="T607" s="24" t="s">
        <v>103</v>
      </c>
      <c r="U607" s="29">
        <v>46064</v>
      </c>
      <c r="V607" s="29">
        <v>46064</v>
      </c>
    </row>
    <row r="608" spans="1:45" ht="14.45">
      <c r="A608" s="24" t="s">
        <v>126</v>
      </c>
      <c r="B608" s="24" t="s">
        <v>520</v>
      </c>
      <c r="C608" s="84" t="str">
        <f>IF(ISBLANK(B608),"",_xlfn.XLOOKUP(B608,Recruiter!A:A,Recruiter!B:B))</f>
        <v>Narthana</v>
      </c>
      <c r="D608" s="84" t="str">
        <f>IF(ISBLANK(A608),"",_xlfn.XLOOKUP(A608,'Requirement Overview'!C:C,'Requirement Overview'!E:E))</f>
        <v>Talme</v>
      </c>
      <c r="E608" s="84" t="str">
        <f>IF(ISBLANK(A608),"",_xlfn.XLOOKUP(A608,'Requirement Overview'!C:C,'Requirement Overview'!H:H))</f>
        <v>IT</v>
      </c>
      <c r="F608" s="19" t="str">
        <f>IF(ISBLANK(A608),"",_xlfn.XLOOKUP(A608,'Requirement Overview'!C:C,'Requirement Overview'!I:I))</f>
        <v>Full Stack Developer</v>
      </c>
      <c r="G608" s="24" t="str">
        <f>IF(ISBLANK(A608),"",_xlfn.XLOOKUP(A608,'Requirement Overview'!C:C,'Requirement Overview'!G:G))</f>
        <v>Thoughtfocus</v>
      </c>
      <c r="H608" s="139" t="s">
        <v>2599</v>
      </c>
      <c r="I608" s="248" t="s">
        <v>519</v>
      </c>
      <c r="J608" s="265" t="s">
        <v>2600</v>
      </c>
      <c r="K608" s="52">
        <v>9741978541</v>
      </c>
      <c r="L608" s="52" t="s">
        <v>2601</v>
      </c>
      <c r="M608" s="52" t="s">
        <v>1150</v>
      </c>
      <c r="N608" s="52" t="s">
        <v>2602</v>
      </c>
      <c r="O608" s="52" t="s">
        <v>1302</v>
      </c>
      <c r="P608" s="52" t="s">
        <v>268</v>
      </c>
      <c r="Q608" s="52" t="s">
        <v>268</v>
      </c>
      <c r="R608" s="52" t="s">
        <v>541</v>
      </c>
      <c r="S608" s="24" t="s">
        <v>601</v>
      </c>
      <c r="T608" s="24" t="s">
        <v>103</v>
      </c>
      <c r="U608" s="29">
        <v>46064</v>
      </c>
      <c r="V608" s="29">
        <v>46064</v>
      </c>
    </row>
    <row r="609" spans="1:45" ht="14.45">
      <c r="A609" s="24" t="s">
        <v>126</v>
      </c>
      <c r="B609" s="24" t="s">
        <v>520</v>
      </c>
      <c r="C609" s="84" t="str">
        <f>IF(ISBLANK(B609),"",_xlfn.XLOOKUP(B609,Recruiter!A:A,Recruiter!B:B))</f>
        <v>Narthana</v>
      </c>
      <c r="D609" s="84" t="str">
        <f>IF(ISBLANK(A609),"",_xlfn.XLOOKUP(A609,'Requirement Overview'!C:C,'Requirement Overview'!E:E))</f>
        <v>Talme</v>
      </c>
      <c r="E609" s="84" t="str">
        <f>IF(ISBLANK(A609),"",_xlfn.XLOOKUP(A609,'Requirement Overview'!C:C,'Requirement Overview'!H:H))</f>
        <v>IT</v>
      </c>
      <c r="F609" s="19" t="str">
        <f>IF(ISBLANK(A609),"",_xlfn.XLOOKUP(A609,'Requirement Overview'!C:C,'Requirement Overview'!I:I))</f>
        <v>Full Stack Developer</v>
      </c>
      <c r="G609" s="24" t="str">
        <f>IF(ISBLANK(A609),"",_xlfn.XLOOKUP(A609,'Requirement Overview'!C:C,'Requirement Overview'!G:G))</f>
        <v>Thoughtfocus</v>
      </c>
      <c r="H609" s="139" t="s">
        <v>2420</v>
      </c>
      <c r="I609" s="248" t="s">
        <v>519</v>
      </c>
      <c r="J609" s="265" t="s">
        <v>2422</v>
      </c>
      <c r="K609" s="52">
        <v>9989902829</v>
      </c>
      <c r="L609" s="52" t="s">
        <v>2603</v>
      </c>
      <c r="M609" s="52" t="s">
        <v>1395</v>
      </c>
      <c r="N609" s="52" t="s">
        <v>2423</v>
      </c>
      <c r="O609" s="52" t="s">
        <v>2424</v>
      </c>
      <c r="P609" s="52" t="s">
        <v>2425</v>
      </c>
      <c r="Q609" s="52" t="s">
        <v>268</v>
      </c>
      <c r="R609" s="52" t="s">
        <v>1011</v>
      </c>
      <c r="S609" s="24" t="s">
        <v>601</v>
      </c>
      <c r="T609" s="24" t="s">
        <v>103</v>
      </c>
      <c r="U609" s="29">
        <v>46064</v>
      </c>
      <c r="V609" s="29">
        <v>46064</v>
      </c>
    </row>
    <row r="610" spans="1:45" ht="14.45">
      <c r="A610" s="24" t="s">
        <v>126</v>
      </c>
      <c r="B610" s="24" t="s">
        <v>520</v>
      </c>
      <c r="C610" s="84" t="str">
        <f>IF(ISBLANK(B610),"",_xlfn.XLOOKUP(B610,Recruiter!A:A,Recruiter!B:B))</f>
        <v>Narthana</v>
      </c>
      <c r="D610" s="84" t="str">
        <f>IF(ISBLANK(A610),"",_xlfn.XLOOKUP(A610,'Requirement Overview'!C:C,'Requirement Overview'!E:E))</f>
        <v>Talme</v>
      </c>
      <c r="E610" s="84" t="str">
        <f>IF(ISBLANK(A610),"",_xlfn.XLOOKUP(A610,'Requirement Overview'!C:C,'Requirement Overview'!H:H))</f>
        <v>IT</v>
      </c>
      <c r="F610" s="19" t="str">
        <f>IF(ISBLANK(A610),"",_xlfn.XLOOKUP(A610,'Requirement Overview'!C:C,'Requirement Overview'!I:I))</f>
        <v>Full Stack Developer</v>
      </c>
      <c r="G610" s="24" t="str">
        <f>IF(ISBLANK(A610),"",_xlfn.XLOOKUP(A610,'Requirement Overview'!C:C,'Requirement Overview'!G:G))</f>
        <v>Thoughtfocus</v>
      </c>
      <c r="H610" s="139" t="s">
        <v>2426</v>
      </c>
      <c r="I610" s="248" t="s">
        <v>519</v>
      </c>
      <c r="J610" s="265" t="s">
        <v>2604</v>
      </c>
      <c r="K610" s="52">
        <v>9943480894</v>
      </c>
      <c r="L610" s="52" t="s">
        <v>2605</v>
      </c>
      <c r="M610" s="52" t="s">
        <v>365</v>
      </c>
      <c r="N610" s="52" t="s">
        <v>2429</v>
      </c>
      <c r="O610" s="52" t="s">
        <v>407</v>
      </c>
      <c r="P610" s="52" t="s">
        <v>2430</v>
      </c>
      <c r="Q610" s="52" t="s">
        <v>268</v>
      </c>
      <c r="R610" s="52" t="s">
        <v>2431</v>
      </c>
      <c r="S610" s="24" t="s">
        <v>601</v>
      </c>
      <c r="T610" s="24" t="s">
        <v>103</v>
      </c>
      <c r="U610" s="29">
        <v>46064</v>
      </c>
      <c r="V610" s="29">
        <v>46064</v>
      </c>
    </row>
    <row r="611" spans="1:45" ht="14.45">
      <c r="A611" s="51" t="s">
        <v>126</v>
      </c>
      <c r="B611" s="51" t="s">
        <v>520</v>
      </c>
      <c r="C611" s="88" t="str">
        <f>IF(ISBLANK(B611),"",_xlfn.XLOOKUP(B611,Recruiter!A:A,Recruiter!B:B))</f>
        <v>Narthana</v>
      </c>
      <c r="D611" s="88" t="str">
        <f>IF(ISBLANK(A611),"",_xlfn.XLOOKUP(A611,'Requirement Overview'!C:C,'Requirement Overview'!E:E))</f>
        <v>Talme</v>
      </c>
      <c r="E611" s="88" t="str">
        <f>IF(ISBLANK(A611),"",_xlfn.XLOOKUP(A611,'Requirement Overview'!C:C,'Requirement Overview'!H:H))</f>
        <v>IT</v>
      </c>
      <c r="F611" s="73" t="str">
        <f>IF(ISBLANK(A611),"",_xlfn.XLOOKUP(A611,'Requirement Overview'!C:C,'Requirement Overview'!I:I))</f>
        <v>Full Stack Developer</v>
      </c>
      <c r="G611" s="51" t="str">
        <f>IF(ISBLANK(A611),"",_xlfn.XLOOKUP(A611,'Requirement Overview'!C:C,'Requirement Overview'!G:G))</f>
        <v>Thoughtfocus</v>
      </c>
      <c r="H611" s="546" t="s">
        <v>2606</v>
      </c>
      <c r="I611" s="549" t="s">
        <v>2607</v>
      </c>
      <c r="J611" s="550" t="s">
        <v>2608</v>
      </c>
      <c r="K611" s="551">
        <v>8130738994</v>
      </c>
      <c r="L611" s="551" t="s">
        <v>2603</v>
      </c>
      <c r="M611" s="551" t="s">
        <v>414</v>
      </c>
      <c r="N611" s="551" t="s">
        <v>2609</v>
      </c>
      <c r="O611" s="551" t="s">
        <v>716</v>
      </c>
      <c r="P611" s="551" t="s">
        <v>268</v>
      </c>
      <c r="Q611" s="551" t="s">
        <v>268</v>
      </c>
      <c r="R611" s="551" t="s">
        <v>353</v>
      </c>
      <c r="S611" s="51" t="s">
        <v>270</v>
      </c>
      <c r="T611" s="51" t="s">
        <v>103</v>
      </c>
      <c r="U611" s="89">
        <v>46064</v>
      </c>
      <c r="V611" s="89">
        <v>46064</v>
      </c>
      <c r="W611" s="51"/>
      <c r="X611" s="51"/>
      <c r="Y611" s="51"/>
      <c r="Z611" s="51"/>
      <c r="AA611" s="51"/>
      <c r="AB611" s="51"/>
      <c r="AC611" s="51"/>
      <c r="AD611" s="51"/>
    </row>
    <row r="612" spans="1:45" s="47" customFormat="1" ht="14.45">
      <c r="A612" s="702" t="s">
        <v>64</v>
      </c>
      <c r="B612" s="702" t="s">
        <v>258</v>
      </c>
      <c r="C612" s="487" t="str">
        <f>IF(ISBLANK(B612),"",_xlfn.XLOOKUP(B612,Recruiter!A:A,Recruiter!B:B))</f>
        <v>Bhoomika</v>
      </c>
      <c r="D612" s="487" t="str">
        <f>IF(ISBLANK(A612),"",_xlfn.XLOOKUP(A612,'Requirement Overview'!C:C,'Requirement Overview'!E:E))</f>
        <v>Talme</v>
      </c>
      <c r="E612" s="487" t="str">
        <f>IF(ISBLANK(A612),"",_xlfn.XLOOKUP(A612,'Requirement Overview'!C:C,'Requirement Overview'!H:H))</f>
        <v>Non - IT</v>
      </c>
      <c r="F612" s="476" t="str">
        <f>IF(ISBLANK(A612),"",_xlfn.XLOOKUP(A612,'Requirement Overview'!C:C,'Requirement Overview'!I:I))</f>
        <v>Sales Head</v>
      </c>
      <c r="G612" s="702" t="str">
        <f>IF(ISBLANK(A612),"",_xlfn.XLOOKUP(A612,'Requirement Overview'!C:C,'Requirement Overview'!G:G))</f>
        <v>Avinashi Ads</v>
      </c>
      <c r="H612" s="702" t="s">
        <v>2610</v>
      </c>
      <c r="I612" s="702" t="s">
        <v>262</v>
      </c>
      <c r="J612" s="702" t="s">
        <v>2611</v>
      </c>
      <c r="K612" s="702">
        <v>8792527393</v>
      </c>
      <c r="L612" s="702" t="s">
        <v>2563</v>
      </c>
      <c r="M612" s="702" t="s">
        <v>788</v>
      </c>
      <c r="N612" s="702" t="s">
        <v>2612</v>
      </c>
      <c r="O612" s="702" t="s">
        <v>424</v>
      </c>
      <c r="P612" s="702" t="s">
        <v>294</v>
      </c>
      <c r="Q612" s="702" t="s">
        <v>294</v>
      </c>
      <c r="R612" s="702" t="s">
        <v>623</v>
      </c>
      <c r="S612" s="702" t="s">
        <v>270</v>
      </c>
      <c r="T612" s="702" t="s">
        <v>103</v>
      </c>
      <c r="U612" s="703">
        <v>46065</v>
      </c>
      <c r="V612" s="703">
        <v>46065</v>
      </c>
      <c r="W612" s="702"/>
      <c r="X612" s="702"/>
      <c r="Y612" s="702"/>
      <c r="Z612" s="702"/>
      <c r="AA612" s="702"/>
      <c r="AB612" s="702"/>
      <c r="AC612" s="702"/>
      <c r="AD612" s="702"/>
      <c r="AE612" s="184"/>
      <c r="AL612" s="80"/>
      <c r="AM612" s="80"/>
      <c r="AS612" s="80"/>
    </row>
    <row r="613" spans="1:45" ht="14.45">
      <c r="A613" s="702" t="s">
        <v>64</v>
      </c>
      <c r="B613" s="702" t="s">
        <v>258</v>
      </c>
      <c r="C613" s="487" t="str">
        <f>IF(ISBLANK(B613),"",_xlfn.XLOOKUP(B613,Recruiter!A:A,Recruiter!B:B))</f>
        <v>Bhoomika</v>
      </c>
      <c r="D613" s="487" t="str">
        <f>IF(ISBLANK(A613),"",_xlfn.XLOOKUP(A613,'Requirement Overview'!C:C,'Requirement Overview'!E:E))</f>
        <v>Talme</v>
      </c>
      <c r="E613" s="487" t="str">
        <f>IF(ISBLANK(A613),"",_xlfn.XLOOKUP(A613,'Requirement Overview'!C:C,'Requirement Overview'!H:H))</f>
        <v>Non - IT</v>
      </c>
      <c r="F613" s="476" t="str">
        <f>IF(ISBLANK(A613),"",_xlfn.XLOOKUP(A613,'Requirement Overview'!C:C,'Requirement Overview'!I:I))</f>
        <v>Sales Head</v>
      </c>
      <c r="G613" s="702" t="str">
        <f>IF(ISBLANK(A613),"",_xlfn.XLOOKUP(A613,'Requirement Overview'!C:C,'Requirement Overview'!G:G))</f>
        <v>Avinashi Ads</v>
      </c>
      <c r="H613" s="713" t="s">
        <v>2613</v>
      </c>
      <c r="I613" s="702" t="s">
        <v>262</v>
      </c>
      <c r="J613" s="717" t="s">
        <v>2614</v>
      </c>
      <c r="K613" s="702">
        <v>7204298541</v>
      </c>
      <c r="L613" s="702" t="s">
        <v>427</v>
      </c>
      <c r="M613" s="702" t="s">
        <v>351</v>
      </c>
      <c r="N613" s="702" t="s">
        <v>2615</v>
      </c>
      <c r="O613" s="702" t="s">
        <v>890</v>
      </c>
      <c r="P613" s="702" t="s">
        <v>2616</v>
      </c>
      <c r="Q613" s="702" t="s">
        <v>294</v>
      </c>
      <c r="R613" s="706" t="s">
        <v>308</v>
      </c>
      <c r="S613" s="702" t="s">
        <v>518</v>
      </c>
      <c r="T613" s="702" t="s">
        <v>103</v>
      </c>
      <c r="U613" s="703">
        <v>46065</v>
      </c>
      <c r="V613" s="703">
        <v>46065</v>
      </c>
      <c r="W613" s="702"/>
      <c r="X613" s="702"/>
      <c r="Y613" s="702"/>
      <c r="Z613" s="702"/>
      <c r="AA613" s="702"/>
      <c r="AB613" s="702"/>
      <c r="AC613" s="702"/>
      <c r="AD613" s="702"/>
      <c r="AE613" s="46"/>
    </row>
    <row r="614" spans="1:45" ht="14.45">
      <c r="A614" s="702" t="s">
        <v>64</v>
      </c>
      <c r="B614" s="702" t="s">
        <v>258</v>
      </c>
      <c r="C614" s="487" t="str">
        <f>IF(ISBLANK(B614),"",_xlfn.XLOOKUP(B614,Recruiter!A:A,Recruiter!B:B))</f>
        <v>Bhoomika</v>
      </c>
      <c r="D614" s="487" t="str">
        <f>IF(ISBLANK(A614),"",_xlfn.XLOOKUP(A614,'Requirement Overview'!C:C,'Requirement Overview'!E:E))</f>
        <v>Talme</v>
      </c>
      <c r="E614" s="487" t="str">
        <f>IF(ISBLANK(A614),"",_xlfn.XLOOKUP(A614,'Requirement Overview'!C:C,'Requirement Overview'!H:H))</f>
        <v>Non - IT</v>
      </c>
      <c r="F614" s="476" t="str">
        <f>IF(ISBLANK(A614),"",_xlfn.XLOOKUP(A614,'Requirement Overview'!C:C,'Requirement Overview'!I:I))</f>
        <v>Sales Head</v>
      </c>
      <c r="G614" s="702" t="str">
        <f>IF(ISBLANK(A614),"",_xlfn.XLOOKUP(A614,'Requirement Overview'!C:C,'Requirement Overview'!G:G))</f>
        <v>Avinashi Ads</v>
      </c>
      <c r="H614" s="702" t="s">
        <v>2617</v>
      </c>
      <c r="I614" s="702" t="s">
        <v>497</v>
      </c>
      <c r="J614" s="717" t="s">
        <v>2618</v>
      </c>
      <c r="K614" s="702">
        <v>6363068399</v>
      </c>
      <c r="L614" s="702" t="s">
        <v>311</v>
      </c>
      <c r="M614" s="702" t="s">
        <v>365</v>
      </c>
      <c r="N614" s="702" t="s">
        <v>2619</v>
      </c>
      <c r="O614" s="702" t="s">
        <v>373</v>
      </c>
      <c r="P614" s="702" t="s">
        <v>294</v>
      </c>
      <c r="Q614" s="702" t="s">
        <v>294</v>
      </c>
      <c r="R614" s="706" t="s">
        <v>308</v>
      </c>
      <c r="S614" s="702" t="s">
        <v>518</v>
      </c>
      <c r="T614" s="702" t="s">
        <v>103</v>
      </c>
      <c r="U614" s="703">
        <v>46065</v>
      </c>
      <c r="V614" s="703">
        <v>46065</v>
      </c>
      <c r="W614" s="702"/>
      <c r="X614" s="702"/>
      <c r="Y614" s="702"/>
      <c r="Z614" s="702"/>
      <c r="AA614" s="702"/>
      <c r="AB614" s="702"/>
      <c r="AC614" s="702"/>
      <c r="AD614" s="702"/>
      <c r="AE614" s="46"/>
    </row>
    <row r="615" spans="1:45" ht="14.45">
      <c r="A615" s="702" t="s">
        <v>64</v>
      </c>
      <c r="B615" s="702" t="s">
        <v>258</v>
      </c>
      <c r="C615" s="487" t="str">
        <f>IF(ISBLANK(B615),"",_xlfn.XLOOKUP(B615,Recruiter!A:A,Recruiter!B:B))</f>
        <v>Bhoomika</v>
      </c>
      <c r="D615" s="487" t="str">
        <f>IF(ISBLANK(A615),"",_xlfn.XLOOKUP(A615,'Requirement Overview'!C:C,'Requirement Overview'!E:E))</f>
        <v>Talme</v>
      </c>
      <c r="E615" s="487" t="str">
        <f>IF(ISBLANK(A615),"",_xlfn.XLOOKUP(A615,'Requirement Overview'!C:C,'Requirement Overview'!H:H))</f>
        <v>Non - IT</v>
      </c>
      <c r="F615" s="476" t="str">
        <f>IF(ISBLANK(A615),"",_xlfn.XLOOKUP(A615,'Requirement Overview'!C:C,'Requirement Overview'!I:I))</f>
        <v>Sales Head</v>
      </c>
      <c r="G615" s="702" t="str">
        <f>IF(ISBLANK(A615),"",_xlfn.XLOOKUP(A615,'Requirement Overview'!C:C,'Requirement Overview'!G:G))</f>
        <v>Avinashi Ads</v>
      </c>
      <c r="H615" s="702" t="s">
        <v>2620</v>
      </c>
      <c r="I615" s="702" t="s">
        <v>316</v>
      </c>
      <c r="J615" s="717" t="s">
        <v>2621</v>
      </c>
      <c r="K615" s="702">
        <v>8217714800</v>
      </c>
      <c r="L615" s="702" t="s">
        <v>2622</v>
      </c>
      <c r="M615" s="702" t="s">
        <v>365</v>
      </c>
      <c r="N615" s="702" t="s">
        <v>2623</v>
      </c>
      <c r="O615" s="702" t="s">
        <v>429</v>
      </c>
      <c r="P615" s="702" t="s">
        <v>294</v>
      </c>
      <c r="Q615" s="702" t="s">
        <v>294</v>
      </c>
      <c r="R615" s="702" t="s">
        <v>623</v>
      </c>
      <c r="S615" s="702" t="s">
        <v>518</v>
      </c>
      <c r="T615" s="702" t="s">
        <v>271</v>
      </c>
      <c r="U615" s="703">
        <v>46065</v>
      </c>
      <c r="V615" s="703">
        <v>46065</v>
      </c>
      <c r="W615" s="702"/>
      <c r="X615" s="702"/>
      <c r="Y615" s="702"/>
      <c r="Z615" s="702"/>
      <c r="AA615" s="702"/>
      <c r="AB615" s="702"/>
      <c r="AC615" s="702"/>
      <c r="AD615" s="702"/>
      <c r="AE615" s="46"/>
    </row>
    <row r="616" spans="1:45" ht="14.45">
      <c r="A616" s="5" t="s">
        <v>118</v>
      </c>
      <c r="B616" s="5" t="s">
        <v>236</v>
      </c>
      <c r="C616" s="433" t="str">
        <f>IF(ISBLANK(B616),"",_xlfn.XLOOKUP(B616,Recruiter!A:A,Recruiter!B:B))</f>
        <v>Pooja</v>
      </c>
      <c r="D616" s="433" t="str">
        <f>IF(ISBLANK(A616),"",_xlfn.XLOOKUP(A616,'Requirement Overview'!C:C,'Requirement Overview'!E:E))</f>
        <v>Talme</v>
      </c>
      <c r="E616" s="433" t="str">
        <f>IF(ISBLANK(A616),"",_xlfn.XLOOKUP(A616,'Requirement Overview'!C:C,'Requirement Overview'!H:H))</f>
        <v>IT</v>
      </c>
      <c r="F616" s="434" t="str">
        <f>IF(ISBLANK(A616),"",_xlfn.XLOOKUP(A616,'Requirement Overview'!C:C,'Requirement Overview'!I:I))</f>
        <v>Java Lead Analyst</v>
      </c>
      <c r="G616" s="5" t="str">
        <f>IF(ISBLANK(A616),"",_xlfn.XLOOKUP(A616,'Requirement Overview'!C:C,'Requirement Overview'!G:G))</f>
        <v>Thoughtfocus</v>
      </c>
      <c r="H616" s="452" t="s">
        <v>2624</v>
      </c>
      <c r="I616" s="5" t="s">
        <v>2625</v>
      </c>
      <c r="J616" s="618" t="s">
        <v>2626</v>
      </c>
      <c r="K616" s="5">
        <v>8100444533</v>
      </c>
      <c r="L616" s="5" t="s">
        <v>305</v>
      </c>
      <c r="M616" s="5" t="s">
        <v>2627</v>
      </c>
      <c r="N616" s="5" t="s">
        <v>2628</v>
      </c>
      <c r="O616" s="5" t="s">
        <v>2318</v>
      </c>
      <c r="P616" s="5" t="s">
        <v>268</v>
      </c>
      <c r="Q616" s="5" t="s">
        <v>1557</v>
      </c>
      <c r="R616" s="5" t="s">
        <v>353</v>
      </c>
      <c r="S616" s="5" t="s">
        <v>470</v>
      </c>
      <c r="T616" s="5" t="s">
        <v>103</v>
      </c>
      <c r="U616" s="453">
        <v>46065</v>
      </c>
      <c r="V616" s="453">
        <v>46065</v>
      </c>
      <c r="W616" s="184"/>
      <c r="X616" s="47"/>
      <c r="Y616" s="47"/>
      <c r="Z616" s="47"/>
      <c r="AA616" s="47"/>
      <c r="AB616" s="47"/>
      <c r="AC616" s="47"/>
      <c r="AD616" s="47"/>
    </row>
    <row r="617" spans="1:45" ht="14.45">
      <c r="A617" s="3" t="s">
        <v>118</v>
      </c>
      <c r="B617" s="3" t="s">
        <v>236</v>
      </c>
      <c r="C617" s="103" t="str">
        <f>IF(ISBLANK(B617),"",_xlfn.XLOOKUP(B617,Recruiter!A:A,Recruiter!B:B))</f>
        <v>Pooja</v>
      </c>
      <c r="D617" s="103" t="str">
        <f>IF(ISBLANK(A617),"",_xlfn.XLOOKUP(A617,'Requirement Overview'!C:C,'Requirement Overview'!E:E))</f>
        <v>Talme</v>
      </c>
      <c r="E617" s="103" t="str">
        <f>IF(ISBLANK(A617),"",_xlfn.XLOOKUP(A617,'Requirement Overview'!C:C,'Requirement Overview'!H:H))</f>
        <v>IT</v>
      </c>
      <c r="F617" s="77" t="str">
        <f>IF(ISBLANK(A617),"",_xlfn.XLOOKUP(A617,'Requirement Overview'!C:C,'Requirement Overview'!I:I))</f>
        <v>Java Lead Analyst</v>
      </c>
      <c r="G617" s="3" t="str">
        <f>IF(ISBLANK(A617),"",_xlfn.XLOOKUP(A617,'Requirement Overview'!C:C,'Requirement Overview'!G:G))</f>
        <v>Thoughtfocus</v>
      </c>
      <c r="H617" s="266" t="s">
        <v>2629</v>
      </c>
      <c r="I617" s="3" t="s">
        <v>262</v>
      </c>
      <c r="J617" s="71" t="s">
        <v>2630</v>
      </c>
      <c r="K617" s="3">
        <v>9718980524</v>
      </c>
      <c r="L617" s="3" t="s">
        <v>305</v>
      </c>
      <c r="M617" s="3" t="s">
        <v>647</v>
      </c>
      <c r="N617" s="268" t="s">
        <v>1137</v>
      </c>
      <c r="O617" s="3" t="s">
        <v>540</v>
      </c>
      <c r="P617" s="3" t="s">
        <v>1055</v>
      </c>
      <c r="Q617" s="3" t="s">
        <v>1557</v>
      </c>
      <c r="R617" s="3" t="s">
        <v>715</v>
      </c>
      <c r="S617" s="3" t="s">
        <v>470</v>
      </c>
      <c r="T617" s="3" t="s">
        <v>103</v>
      </c>
      <c r="U617" s="55">
        <v>46065</v>
      </c>
      <c r="V617" s="55">
        <v>46065</v>
      </c>
      <c r="W617" s="46"/>
    </row>
    <row r="618" spans="1:45" ht="14.45">
      <c r="A618" s="3" t="s">
        <v>118</v>
      </c>
      <c r="B618" s="3" t="s">
        <v>236</v>
      </c>
      <c r="C618" s="103" t="str">
        <f>IF(ISBLANK(B618),"",_xlfn.XLOOKUP(B618,Recruiter!A:A,Recruiter!B:B))</f>
        <v>Pooja</v>
      </c>
      <c r="D618" s="103" t="str">
        <f>IF(ISBLANK(A618),"",_xlfn.XLOOKUP(A618,'Requirement Overview'!C:C,'Requirement Overview'!E:E))</f>
        <v>Talme</v>
      </c>
      <c r="E618" s="103" t="str">
        <f>IF(ISBLANK(A618),"",_xlfn.XLOOKUP(A618,'Requirement Overview'!C:C,'Requirement Overview'!H:H))</f>
        <v>IT</v>
      </c>
      <c r="F618" s="77" t="str">
        <f>IF(ISBLANK(A618),"",_xlfn.XLOOKUP(A618,'Requirement Overview'!C:C,'Requirement Overview'!I:I))</f>
        <v>Java Lead Analyst</v>
      </c>
      <c r="G618" s="3" t="str">
        <f>IF(ISBLANK(A618),"",_xlfn.XLOOKUP(A618,'Requirement Overview'!C:C,'Requirement Overview'!G:G))</f>
        <v>Thoughtfocus</v>
      </c>
      <c r="H618" s="266" t="s">
        <v>2631</v>
      </c>
      <c r="I618" s="3" t="s">
        <v>519</v>
      </c>
      <c r="J618" s="71" t="s">
        <v>2632</v>
      </c>
      <c r="K618" s="267">
        <v>8867218104</v>
      </c>
      <c r="L618" s="3" t="s">
        <v>311</v>
      </c>
      <c r="M618" s="3" t="s">
        <v>2633</v>
      </c>
      <c r="N618" s="3" t="s">
        <v>2324</v>
      </c>
      <c r="O618" s="3" t="s">
        <v>374</v>
      </c>
      <c r="P618" s="3" t="s">
        <v>268</v>
      </c>
      <c r="Q618" s="3" t="s">
        <v>1557</v>
      </c>
      <c r="R618" s="3" t="s">
        <v>715</v>
      </c>
      <c r="S618" s="3" t="s">
        <v>470</v>
      </c>
      <c r="T618" s="3" t="s">
        <v>103</v>
      </c>
      <c r="U618" s="55">
        <v>46065</v>
      </c>
      <c r="V618" s="55">
        <v>46065</v>
      </c>
      <c r="W618" s="46"/>
    </row>
    <row r="619" spans="1:45" ht="14.45">
      <c r="A619" s="3" t="s">
        <v>118</v>
      </c>
      <c r="B619" s="3" t="s">
        <v>236</v>
      </c>
      <c r="C619" s="103" t="str">
        <f>IF(ISBLANK(B619),"",_xlfn.XLOOKUP(B619,Recruiter!A:A,Recruiter!B:B))</f>
        <v>Pooja</v>
      </c>
      <c r="D619" s="103" t="str">
        <f>IF(ISBLANK(A619),"",_xlfn.XLOOKUP(A619,'Requirement Overview'!C:C,'Requirement Overview'!E:E))</f>
        <v>Talme</v>
      </c>
      <c r="E619" s="103" t="str">
        <f>IF(ISBLANK(A619),"",_xlfn.XLOOKUP(A619,'Requirement Overview'!C:C,'Requirement Overview'!H:H))</f>
        <v>IT</v>
      </c>
      <c r="F619" s="77" t="str">
        <f>IF(ISBLANK(A619),"",_xlfn.XLOOKUP(A619,'Requirement Overview'!C:C,'Requirement Overview'!I:I))</f>
        <v>Java Lead Analyst</v>
      </c>
      <c r="G619" s="3" t="str">
        <f>IF(ISBLANK(A619),"",_xlfn.XLOOKUP(A619,'Requirement Overview'!C:C,'Requirement Overview'!G:G))</f>
        <v>Thoughtfocus</v>
      </c>
      <c r="H619" s="266" t="s">
        <v>2634</v>
      </c>
      <c r="I619" s="3" t="s">
        <v>2083</v>
      </c>
      <c r="J619" s="71" t="s">
        <v>2635</v>
      </c>
      <c r="K619" s="3">
        <v>7997499075</v>
      </c>
      <c r="L619" s="3" t="s">
        <v>305</v>
      </c>
      <c r="M619" s="3" t="s">
        <v>2636</v>
      </c>
      <c r="N619" s="3" t="s">
        <v>2637</v>
      </c>
      <c r="O619" s="3" t="s">
        <v>1144</v>
      </c>
      <c r="P619" s="3" t="s">
        <v>879</v>
      </c>
      <c r="Q619" s="3" t="s">
        <v>1557</v>
      </c>
      <c r="R619" s="3" t="s">
        <v>1853</v>
      </c>
      <c r="S619" s="3" t="s">
        <v>470</v>
      </c>
      <c r="T619" s="3" t="s">
        <v>103</v>
      </c>
      <c r="U619" s="55">
        <v>46065</v>
      </c>
      <c r="V619" s="55">
        <v>46065</v>
      </c>
      <c r="W619" s="46"/>
    </row>
    <row r="620" spans="1:45" ht="14.45">
      <c r="A620" s="3" t="s">
        <v>118</v>
      </c>
      <c r="B620" s="3" t="s">
        <v>236</v>
      </c>
      <c r="C620" s="103" t="str">
        <f>IF(ISBLANK(B620),"",_xlfn.XLOOKUP(B620,Recruiter!A:A,Recruiter!B:B))</f>
        <v>Pooja</v>
      </c>
      <c r="D620" s="103" t="str">
        <f>IF(ISBLANK(A620),"",_xlfn.XLOOKUP(A620,'Requirement Overview'!C:C,'Requirement Overview'!E:E))</f>
        <v>Talme</v>
      </c>
      <c r="E620" s="103" t="str">
        <f>IF(ISBLANK(A620),"",_xlfn.XLOOKUP(A620,'Requirement Overview'!C:C,'Requirement Overview'!H:H))</f>
        <v>IT</v>
      </c>
      <c r="F620" s="77" t="str">
        <f>IF(ISBLANK(A620),"",_xlfn.XLOOKUP(A620,'Requirement Overview'!C:C,'Requirement Overview'!I:I))</f>
        <v>Java Lead Analyst</v>
      </c>
      <c r="G620" s="3" t="str">
        <f>IF(ISBLANK(A620),"",_xlfn.XLOOKUP(A620,'Requirement Overview'!C:C,'Requirement Overview'!G:G))</f>
        <v>Thoughtfocus</v>
      </c>
      <c r="H620" s="266" t="s">
        <v>2638</v>
      </c>
      <c r="I620" s="3" t="s">
        <v>519</v>
      </c>
      <c r="J620" s="71" t="s">
        <v>2639</v>
      </c>
      <c r="K620" s="3">
        <v>9450239430</v>
      </c>
      <c r="L620" s="3" t="s">
        <v>305</v>
      </c>
      <c r="M620" s="3" t="s">
        <v>2379</v>
      </c>
      <c r="N620" s="3" t="s">
        <v>2640</v>
      </c>
      <c r="O620" s="3" t="s">
        <v>368</v>
      </c>
      <c r="P620" s="3" t="s">
        <v>806</v>
      </c>
      <c r="Q620" s="3" t="s">
        <v>1557</v>
      </c>
      <c r="R620" s="3" t="s">
        <v>1145</v>
      </c>
      <c r="S620" s="3" t="s">
        <v>470</v>
      </c>
      <c r="T620" s="3" t="s">
        <v>103</v>
      </c>
      <c r="U620" s="55">
        <v>46065</v>
      </c>
      <c r="V620" s="55">
        <v>46065</v>
      </c>
      <c r="W620" s="46"/>
    </row>
    <row r="621" spans="1:45" ht="14.45">
      <c r="A621" s="47" t="s">
        <v>126</v>
      </c>
      <c r="B621" s="47" t="s">
        <v>340</v>
      </c>
      <c r="C621" s="129" t="str">
        <f>IF(ISBLANK(B621),"",_xlfn.XLOOKUP(B621,Recruiter!A:A,Recruiter!B:B))</f>
        <v>Harshitha</v>
      </c>
      <c r="D621" s="129" t="str">
        <f>IF(ISBLANK(A621),"",_xlfn.XLOOKUP(A621,'Requirement Overview'!C:C,'Requirement Overview'!E:E))</f>
        <v>Talme</v>
      </c>
      <c r="E621" s="129" t="str">
        <f>IF(ISBLANK(A621),"",_xlfn.XLOOKUP(A621,'Requirement Overview'!C:C,'Requirement Overview'!H:H))</f>
        <v>IT</v>
      </c>
      <c r="F621" s="80" t="str">
        <f>IF(ISBLANK(A621),"",_xlfn.XLOOKUP(A621,'Requirement Overview'!C:C,'Requirement Overview'!I:I))</f>
        <v>Full Stack Developer</v>
      </c>
      <c r="G621" s="255" t="str">
        <f>IF(ISBLANK(A621),"",_xlfn.XLOOKUP(A621,'Requirement Overview'!C:C,'Requirement Overview'!G:G))</f>
        <v>Thoughtfocus</v>
      </c>
      <c r="H621" s="276" t="s">
        <v>2641</v>
      </c>
      <c r="I621" s="44" t="s">
        <v>2642</v>
      </c>
      <c r="J621" s="260" t="s">
        <v>2643</v>
      </c>
      <c r="K621" s="261">
        <v>8105324431</v>
      </c>
      <c r="L621" s="44" t="s">
        <v>305</v>
      </c>
      <c r="M621" s="44" t="s">
        <v>371</v>
      </c>
      <c r="N621" s="121" t="s">
        <v>380</v>
      </c>
      <c r="O621" s="44" t="s">
        <v>1144</v>
      </c>
      <c r="P621" s="44" t="s">
        <v>268</v>
      </c>
      <c r="Q621" s="44" t="s">
        <v>268</v>
      </c>
      <c r="R621" s="44" t="s">
        <v>2644</v>
      </c>
      <c r="S621" s="47" t="s">
        <v>601</v>
      </c>
      <c r="T621" s="3" t="s">
        <v>103</v>
      </c>
      <c r="U621" s="55">
        <v>46065</v>
      </c>
      <c r="V621" s="55">
        <v>46065</v>
      </c>
    </row>
    <row r="622" spans="1:45" ht="14.45">
      <c r="A622" s="24" t="s">
        <v>126</v>
      </c>
      <c r="B622" s="24" t="s">
        <v>340</v>
      </c>
      <c r="C622" s="84" t="str">
        <f>IF(ISBLANK(B622),"",_xlfn.XLOOKUP(B622,Recruiter!A:A,Recruiter!B:B))</f>
        <v>Harshitha</v>
      </c>
      <c r="D622" s="84" t="str">
        <f>IF(ISBLANK(A622),"",_xlfn.XLOOKUP(A622,'Requirement Overview'!C:C,'Requirement Overview'!E:E))</f>
        <v>Talme</v>
      </c>
      <c r="E622" s="84" t="str">
        <f>IF(ISBLANK(A622),"",_xlfn.XLOOKUP(A622,'Requirement Overview'!C:C,'Requirement Overview'!H:H))</f>
        <v>IT</v>
      </c>
      <c r="F622" s="19" t="str">
        <f>IF(ISBLANK(A622),"",_xlfn.XLOOKUP(A622,'Requirement Overview'!C:C,'Requirement Overview'!I:I))</f>
        <v>Full Stack Developer</v>
      </c>
      <c r="G622" s="58" t="str">
        <f>IF(ISBLANK(A622),"",_xlfn.XLOOKUP(A622,'Requirement Overview'!C:C,'Requirement Overview'!G:G))</f>
        <v>Thoughtfocus</v>
      </c>
      <c r="H622" s="276" t="s">
        <v>2645</v>
      </c>
      <c r="I622" s="44" t="s">
        <v>2315</v>
      </c>
      <c r="J622" s="257" t="s">
        <v>2646</v>
      </c>
      <c r="K622" s="277">
        <v>8965977728</v>
      </c>
      <c r="L622" s="44" t="s">
        <v>305</v>
      </c>
      <c r="M622" s="44" t="s">
        <v>2647</v>
      </c>
      <c r="N622" s="121" t="s">
        <v>2648</v>
      </c>
      <c r="O622" s="44" t="s">
        <v>475</v>
      </c>
      <c r="P622" s="44" t="s">
        <v>268</v>
      </c>
      <c r="Q622" s="44" t="s">
        <v>268</v>
      </c>
      <c r="R622" s="44" t="s">
        <v>2649</v>
      </c>
      <c r="S622" s="47" t="s">
        <v>601</v>
      </c>
      <c r="T622" s="3" t="s">
        <v>103</v>
      </c>
      <c r="U622" s="55">
        <v>46065</v>
      </c>
      <c r="V622" s="55">
        <v>46065</v>
      </c>
    </row>
    <row r="623" spans="1:45" ht="14.45">
      <c r="A623" s="24" t="s">
        <v>129</v>
      </c>
      <c r="B623" s="24" t="s">
        <v>340</v>
      </c>
      <c r="C623" s="84" t="str">
        <f>IF(ISBLANK(B623),"",_xlfn.XLOOKUP(B623,Recruiter!A:A,Recruiter!B:B))</f>
        <v>Harshitha</v>
      </c>
      <c r="D623" s="84" t="str">
        <f>IF(ISBLANK(A623),"",_xlfn.XLOOKUP(A623,'Requirement Overview'!C:C,'Requirement Overview'!E:E))</f>
        <v>Talme</v>
      </c>
      <c r="E623" s="84" t="str">
        <f>IF(ISBLANK(A623),"",_xlfn.XLOOKUP(A623,'Requirement Overview'!C:C,'Requirement Overview'!H:H))</f>
        <v>IT</v>
      </c>
      <c r="F623" s="19" t="str">
        <f>IF(ISBLANK(A623),"",_xlfn.XLOOKUP(A623,'Requirement Overview'!C:C,'Requirement Overview'!I:I))</f>
        <v>Front end developer</v>
      </c>
      <c r="G623" s="58" t="str">
        <f>IF(ISBLANK(A623),"",_xlfn.XLOOKUP(A623,'Requirement Overview'!C:C,'Requirement Overview'!G:G))</f>
        <v>Thoughtfocus</v>
      </c>
      <c r="H623" s="276" t="s">
        <v>2650</v>
      </c>
      <c r="I623" s="3" t="s">
        <v>2651</v>
      </c>
      <c r="J623" s="260" t="s">
        <v>2652</v>
      </c>
      <c r="K623" s="261">
        <v>9513194964</v>
      </c>
      <c r="L623" s="3" t="s">
        <v>305</v>
      </c>
      <c r="M623" s="3" t="s">
        <v>685</v>
      </c>
      <c r="N623" s="269" t="s">
        <v>2653</v>
      </c>
      <c r="O623" s="3" t="s">
        <v>548</v>
      </c>
      <c r="P623" s="3" t="s">
        <v>268</v>
      </c>
      <c r="Q623" s="3" t="s">
        <v>268</v>
      </c>
      <c r="R623" s="3" t="s">
        <v>1416</v>
      </c>
      <c r="S623" s="47" t="s">
        <v>601</v>
      </c>
      <c r="T623" s="3" t="s">
        <v>103</v>
      </c>
      <c r="U623" s="55">
        <v>46065</v>
      </c>
      <c r="V623" s="55">
        <v>46065</v>
      </c>
    </row>
    <row r="624" spans="1:45" ht="14.45">
      <c r="A624" s="24" t="s">
        <v>129</v>
      </c>
      <c r="B624" s="24" t="s">
        <v>340</v>
      </c>
      <c r="C624" s="84" t="str">
        <f>IF(ISBLANK(B624),"",_xlfn.XLOOKUP(B624,Recruiter!A:A,Recruiter!B:B))</f>
        <v>Harshitha</v>
      </c>
      <c r="D624" s="84" t="str">
        <f>IF(ISBLANK(A624),"",_xlfn.XLOOKUP(A624,'Requirement Overview'!C:C,'Requirement Overview'!E:E))</f>
        <v>Talme</v>
      </c>
      <c r="E624" s="84" t="str">
        <f>IF(ISBLANK(A624),"",_xlfn.XLOOKUP(A624,'Requirement Overview'!C:C,'Requirement Overview'!H:H))</f>
        <v>IT</v>
      </c>
      <c r="F624" s="19" t="str">
        <f>IF(ISBLANK(A624),"",_xlfn.XLOOKUP(A624,'Requirement Overview'!C:C,'Requirement Overview'!I:I))</f>
        <v>Front end developer</v>
      </c>
      <c r="G624" s="58" t="str">
        <f>IF(ISBLANK(A624),"",_xlfn.XLOOKUP(A624,'Requirement Overview'!C:C,'Requirement Overview'!G:G))</f>
        <v>Thoughtfocus</v>
      </c>
      <c r="H624" s="276" t="s">
        <v>2654</v>
      </c>
      <c r="I624" s="3" t="s">
        <v>519</v>
      </c>
      <c r="J624" s="260" t="s">
        <v>2655</v>
      </c>
      <c r="K624" s="261">
        <v>8277301948</v>
      </c>
      <c r="L624" s="3" t="s">
        <v>305</v>
      </c>
      <c r="M624" s="3" t="s">
        <v>351</v>
      </c>
      <c r="N624" s="269" t="s">
        <v>380</v>
      </c>
      <c r="O624" s="3" t="s">
        <v>2656</v>
      </c>
      <c r="P624" s="3" t="s">
        <v>268</v>
      </c>
      <c r="Q624" s="3" t="s">
        <v>268</v>
      </c>
      <c r="R624" s="3" t="s">
        <v>353</v>
      </c>
      <c r="S624" s="47" t="s">
        <v>601</v>
      </c>
      <c r="T624" s="3" t="s">
        <v>103</v>
      </c>
      <c r="U624" s="55">
        <v>46065</v>
      </c>
      <c r="V624" s="55">
        <v>46065</v>
      </c>
    </row>
    <row r="625" spans="1:23" ht="14.45">
      <c r="A625" s="24" t="s">
        <v>129</v>
      </c>
      <c r="B625" s="24" t="s">
        <v>340</v>
      </c>
      <c r="C625" s="84" t="str">
        <f>IF(ISBLANK(B625),"",_xlfn.XLOOKUP(B625,Recruiter!A:A,Recruiter!B:B))</f>
        <v>Harshitha</v>
      </c>
      <c r="D625" s="84" t="str">
        <f>IF(ISBLANK(A625),"",_xlfn.XLOOKUP(A625,'Requirement Overview'!C:C,'Requirement Overview'!E:E))</f>
        <v>Talme</v>
      </c>
      <c r="E625" s="84" t="str">
        <f>IF(ISBLANK(A625),"",_xlfn.XLOOKUP(A625,'Requirement Overview'!C:C,'Requirement Overview'!H:H))</f>
        <v>IT</v>
      </c>
      <c r="F625" s="19" t="str">
        <f>IF(ISBLANK(A625),"",_xlfn.XLOOKUP(A625,'Requirement Overview'!C:C,'Requirement Overview'!I:I))</f>
        <v>Front end developer</v>
      </c>
      <c r="G625" s="58" t="str">
        <f>IF(ISBLANK(A625),"",_xlfn.XLOOKUP(A625,'Requirement Overview'!C:C,'Requirement Overview'!G:G))</f>
        <v>Thoughtfocus</v>
      </c>
      <c r="H625" s="276" t="s">
        <v>2657</v>
      </c>
      <c r="I625" s="3" t="s">
        <v>2658</v>
      </c>
      <c r="J625" s="260" t="s">
        <v>2659</v>
      </c>
      <c r="K625" s="261">
        <v>9005192499</v>
      </c>
      <c r="L625" s="3" t="s">
        <v>378</v>
      </c>
      <c r="M625" s="3" t="s">
        <v>685</v>
      </c>
      <c r="N625" s="269" t="s">
        <v>2507</v>
      </c>
      <c r="O625" s="3" t="s">
        <v>715</v>
      </c>
      <c r="P625" s="3" t="s">
        <v>268</v>
      </c>
      <c r="Q625" s="3" t="s">
        <v>268</v>
      </c>
      <c r="R625" s="3" t="s">
        <v>2660</v>
      </c>
      <c r="S625" s="47" t="s">
        <v>601</v>
      </c>
      <c r="T625" s="3" t="s">
        <v>103</v>
      </c>
      <c r="U625" s="55">
        <v>46065</v>
      </c>
      <c r="V625" s="55">
        <v>46065</v>
      </c>
    </row>
    <row r="626" spans="1:23" ht="14.45">
      <c r="A626" s="24" t="s">
        <v>129</v>
      </c>
      <c r="B626" s="24" t="s">
        <v>340</v>
      </c>
      <c r="C626" s="84" t="str">
        <f>IF(ISBLANK(B626),"",_xlfn.XLOOKUP(B626,Recruiter!A:A,Recruiter!B:B))</f>
        <v>Harshitha</v>
      </c>
      <c r="D626" s="84" t="str">
        <f>IF(ISBLANK(A626),"",_xlfn.XLOOKUP(A626,'Requirement Overview'!C:C,'Requirement Overview'!E:E))</f>
        <v>Talme</v>
      </c>
      <c r="E626" s="84" t="str">
        <f>IF(ISBLANK(A626),"",_xlfn.XLOOKUP(A626,'Requirement Overview'!C:C,'Requirement Overview'!H:H))</f>
        <v>IT</v>
      </c>
      <c r="F626" s="19" t="str">
        <f>IF(ISBLANK(A626),"",_xlfn.XLOOKUP(A626,'Requirement Overview'!C:C,'Requirement Overview'!I:I))</f>
        <v>Front end developer</v>
      </c>
      <c r="G626" s="58" t="str">
        <f>IF(ISBLANK(A626),"",_xlfn.XLOOKUP(A626,'Requirement Overview'!C:C,'Requirement Overview'!G:G))</f>
        <v>Thoughtfocus</v>
      </c>
      <c r="H626" s="276" t="s">
        <v>2661</v>
      </c>
      <c r="I626" s="3" t="s">
        <v>519</v>
      </c>
      <c r="J626" s="260" t="s">
        <v>2662</v>
      </c>
      <c r="K626" s="261">
        <v>7095724582</v>
      </c>
      <c r="L626" s="3" t="s">
        <v>305</v>
      </c>
      <c r="M626" s="3" t="s">
        <v>395</v>
      </c>
      <c r="N626" s="269" t="s">
        <v>2663</v>
      </c>
      <c r="O626" s="3" t="s">
        <v>861</v>
      </c>
      <c r="P626" s="3" t="s">
        <v>268</v>
      </c>
      <c r="Q626" s="3" t="s">
        <v>268</v>
      </c>
      <c r="R626" s="3" t="s">
        <v>386</v>
      </c>
      <c r="S626" s="47" t="s">
        <v>601</v>
      </c>
      <c r="T626" s="3" t="s">
        <v>103</v>
      </c>
      <c r="U626" s="55">
        <v>46065</v>
      </c>
      <c r="V626" s="55">
        <v>46065</v>
      </c>
    </row>
    <row r="627" spans="1:23" ht="14.45">
      <c r="A627" s="24" t="s">
        <v>127</v>
      </c>
      <c r="B627" s="24" t="s">
        <v>340</v>
      </c>
      <c r="C627" s="84" t="str">
        <f>IF(ISBLANK(B627),"",_xlfn.XLOOKUP(B627,Recruiter!A:A,Recruiter!B:B))</f>
        <v>Harshitha</v>
      </c>
      <c r="D627" s="84" t="str">
        <f>IF(ISBLANK(A627),"",_xlfn.XLOOKUP(A627,'Requirement Overview'!C:C,'Requirement Overview'!E:E))</f>
        <v>Talme</v>
      </c>
      <c r="E627" s="84" t="str">
        <f>IF(ISBLANK(A627),"",_xlfn.XLOOKUP(A627,'Requirement Overview'!C:C,'Requirement Overview'!H:H))</f>
        <v>IT</v>
      </c>
      <c r="F627" s="19" t="str">
        <f>IF(ISBLANK(A627),"",_xlfn.XLOOKUP(A627,'Requirement Overview'!C:C,'Requirement Overview'!I:I))</f>
        <v>Backend developer</v>
      </c>
      <c r="G627" s="58" t="str">
        <f>IF(ISBLANK(A627),"",_xlfn.XLOOKUP(A627,'Requirement Overview'!C:C,'Requirement Overview'!G:G))</f>
        <v>Thoughtfocus</v>
      </c>
      <c r="H627" s="276" t="s">
        <v>2664</v>
      </c>
      <c r="I627" s="3" t="s">
        <v>519</v>
      </c>
      <c r="J627" s="260" t="s">
        <v>2665</v>
      </c>
      <c r="K627" s="261">
        <v>8073198468</v>
      </c>
      <c r="L627" s="3" t="s">
        <v>305</v>
      </c>
      <c r="M627" s="3" t="s">
        <v>2666</v>
      </c>
      <c r="N627" s="269" t="s">
        <v>2507</v>
      </c>
      <c r="O627" s="3" t="s">
        <v>386</v>
      </c>
      <c r="P627" s="3" t="s">
        <v>268</v>
      </c>
      <c r="Q627" s="3" t="s">
        <v>268</v>
      </c>
      <c r="R627" s="3" t="s">
        <v>757</v>
      </c>
      <c r="S627" s="47" t="s">
        <v>601</v>
      </c>
      <c r="T627" s="3" t="s">
        <v>103</v>
      </c>
      <c r="U627" s="55">
        <v>46065</v>
      </c>
      <c r="V627" s="55">
        <v>46065</v>
      </c>
    </row>
    <row r="628" spans="1:23" ht="14.45">
      <c r="A628" s="24" t="s">
        <v>127</v>
      </c>
      <c r="B628" s="24" t="s">
        <v>340</v>
      </c>
      <c r="C628" s="84" t="str">
        <f>IF(ISBLANK(B628),"",_xlfn.XLOOKUP(B628,Recruiter!A:A,Recruiter!B:B))</f>
        <v>Harshitha</v>
      </c>
      <c r="D628" s="84" t="str">
        <f>IF(ISBLANK(A628),"",_xlfn.XLOOKUP(A628,'Requirement Overview'!C:C,'Requirement Overview'!E:E))</f>
        <v>Talme</v>
      </c>
      <c r="E628" s="84" t="str">
        <f>IF(ISBLANK(A628),"",_xlfn.XLOOKUP(A628,'Requirement Overview'!C:C,'Requirement Overview'!H:H))</f>
        <v>IT</v>
      </c>
      <c r="F628" s="19" t="str">
        <f>IF(ISBLANK(A628),"",_xlfn.XLOOKUP(A628,'Requirement Overview'!C:C,'Requirement Overview'!I:I))</f>
        <v>Backend developer</v>
      </c>
      <c r="G628" s="58" t="str">
        <f>IF(ISBLANK(A628),"",_xlfn.XLOOKUP(A628,'Requirement Overview'!C:C,'Requirement Overview'!G:G))</f>
        <v>Thoughtfocus</v>
      </c>
      <c r="H628" s="276" t="s">
        <v>2667</v>
      </c>
      <c r="I628" s="3" t="s">
        <v>2668</v>
      </c>
      <c r="J628" s="260" t="s">
        <v>2669</v>
      </c>
      <c r="K628" s="261">
        <v>9661488848</v>
      </c>
      <c r="L628" s="3" t="s">
        <v>305</v>
      </c>
      <c r="M628" s="3" t="s">
        <v>379</v>
      </c>
      <c r="N628" s="269" t="s">
        <v>2670</v>
      </c>
      <c r="O628" s="3" t="s">
        <v>450</v>
      </c>
      <c r="P628" s="3" t="s">
        <v>268</v>
      </c>
      <c r="Q628" s="3" t="s">
        <v>268</v>
      </c>
      <c r="R628" s="3" t="s">
        <v>455</v>
      </c>
      <c r="S628" s="47" t="s">
        <v>601</v>
      </c>
      <c r="T628" s="3" t="s">
        <v>103</v>
      </c>
      <c r="U628" s="55">
        <v>46065</v>
      </c>
      <c r="V628" s="55">
        <v>46065</v>
      </c>
    </row>
    <row r="629" spans="1:23" ht="14.45">
      <c r="A629" s="24" t="s">
        <v>127</v>
      </c>
      <c r="B629" s="24" t="s">
        <v>340</v>
      </c>
      <c r="C629" s="84" t="str">
        <f>IF(ISBLANK(B629),"",_xlfn.XLOOKUP(B629,Recruiter!A:A,Recruiter!B:B))</f>
        <v>Harshitha</v>
      </c>
      <c r="D629" s="84" t="str">
        <f>IF(ISBLANK(A629),"",_xlfn.XLOOKUP(A629,'Requirement Overview'!C:C,'Requirement Overview'!E:E))</f>
        <v>Talme</v>
      </c>
      <c r="E629" s="84" t="str">
        <f>IF(ISBLANK(A629),"",_xlfn.XLOOKUP(A629,'Requirement Overview'!C:C,'Requirement Overview'!H:H))</f>
        <v>IT</v>
      </c>
      <c r="F629" s="19" t="str">
        <f>IF(ISBLANK(A629),"",_xlfn.XLOOKUP(A629,'Requirement Overview'!C:C,'Requirement Overview'!I:I))</f>
        <v>Backend developer</v>
      </c>
      <c r="G629" s="58" t="str">
        <f>IF(ISBLANK(A629),"",_xlfn.XLOOKUP(A629,'Requirement Overview'!C:C,'Requirement Overview'!G:G))</f>
        <v>Thoughtfocus</v>
      </c>
      <c r="H629" s="276" t="s">
        <v>2671</v>
      </c>
      <c r="I629" s="3" t="s">
        <v>1755</v>
      </c>
      <c r="J629" s="260" t="s">
        <v>2672</v>
      </c>
      <c r="K629" s="261">
        <v>9900363507</v>
      </c>
      <c r="L629" s="3" t="s">
        <v>305</v>
      </c>
      <c r="M629" s="3" t="s">
        <v>2673</v>
      </c>
      <c r="N629" s="269" t="s">
        <v>2674</v>
      </c>
      <c r="O629" s="3" t="s">
        <v>553</v>
      </c>
      <c r="P629" s="3" t="s">
        <v>268</v>
      </c>
      <c r="Q629" s="3" t="s">
        <v>268</v>
      </c>
      <c r="R629" s="3" t="s">
        <v>353</v>
      </c>
      <c r="S629" s="47" t="s">
        <v>601</v>
      </c>
      <c r="T629" s="3" t="s">
        <v>103</v>
      </c>
      <c r="U629" s="55">
        <v>46065</v>
      </c>
      <c r="V629" s="55">
        <v>46065</v>
      </c>
    </row>
    <row r="630" spans="1:23" thickBot="1">
      <c r="A630" s="24" t="s">
        <v>131</v>
      </c>
      <c r="B630" s="24" t="s">
        <v>520</v>
      </c>
      <c r="C630" s="84" t="str">
        <f>IF(ISBLANK(B630),"",_xlfn.XLOOKUP(B630,Recruiter!A:A,Recruiter!B:B))</f>
        <v>Narthana</v>
      </c>
      <c r="D630" s="84" t="str">
        <f>IF(ISBLANK(A630),"",_xlfn.XLOOKUP(A630,'Requirement Overview'!C:C,'Requirement Overview'!E:E))</f>
        <v>Talme</v>
      </c>
      <c r="E630" s="84" t="str">
        <f>IF(ISBLANK(A630),"",_xlfn.XLOOKUP(A630,'Requirement Overview'!C:C,'Requirement Overview'!H:H))</f>
        <v>IT</v>
      </c>
      <c r="F630" s="19" t="str">
        <f>IF(ISBLANK(A630),"",_xlfn.XLOOKUP(A630,'Requirement Overview'!C:C,'Requirement Overview'!I:I))</f>
        <v>Technical Lead</v>
      </c>
      <c r="G630" s="58" t="str">
        <f>IF(ISBLANK(A630),"",_xlfn.XLOOKUP(A630,'Requirement Overview'!C:C,'Requirement Overview'!G:G))</f>
        <v>Anika Solutions</v>
      </c>
      <c r="H630" s="270" t="s">
        <v>2675</v>
      </c>
      <c r="I630" s="46" t="s">
        <v>519</v>
      </c>
      <c r="J630" s="271" t="s">
        <v>2676</v>
      </c>
      <c r="K630" s="270">
        <v>9818887605</v>
      </c>
      <c r="L630" s="270" t="s">
        <v>378</v>
      </c>
      <c r="M630" s="270" t="s">
        <v>2677</v>
      </c>
      <c r="N630" s="270" t="s">
        <v>2678</v>
      </c>
      <c r="O630" s="24" t="s">
        <v>475</v>
      </c>
      <c r="P630" s="270" t="s">
        <v>268</v>
      </c>
      <c r="Q630" s="270" t="s">
        <v>268</v>
      </c>
      <c r="R630" s="24" t="s">
        <v>469</v>
      </c>
      <c r="S630" s="24" t="s">
        <v>270</v>
      </c>
      <c r="T630" s="3" t="s">
        <v>103</v>
      </c>
      <c r="U630" s="55">
        <v>46065</v>
      </c>
      <c r="V630" s="55">
        <v>46065</v>
      </c>
      <c r="W630" s="24" t="s">
        <v>2679</v>
      </c>
    </row>
    <row r="631" spans="1:23" thickBot="1">
      <c r="A631" s="24" t="s">
        <v>131</v>
      </c>
      <c r="B631" s="24" t="s">
        <v>520</v>
      </c>
      <c r="C631" s="84" t="str">
        <f>IF(ISBLANK(B631),"",_xlfn.XLOOKUP(B631,Recruiter!A:A,Recruiter!B:B))</f>
        <v>Narthana</v>
      </c>
      <c r="D631" s="84" t="str">
        <f>IF(ISBLANK(A631),"",_xlfn.XLOOKUP(A631,'Requirement Overview'!C:C,'Requirement Overview'!E:E))</f>
        <v>Talme</v>
      </c>
      <c r="E631" s="84" t="str">
        <f>IF(ISBLANK(A631),"",_xlfn.XLOOKUP(A631,'Requirement Overview'!C:C,'Requirement Overview'!H:H))</f>
        <v>IT</v>
      </c>
      <c r="F631" s="19" t="str">
        <f>IF(ISBLANK(A631),"",_xlfn.XLOOKUP(A631,'Requirement Overview'!C:C,'Requirement Overview'!I:I))</f>
        <v>Technical Lead</v>
      </c>
      <c r="G631" s="58" t="str">
        <f>IF(ISBLANK(A631),"",_xlfn.XLOOKUP(A631,'Requirement Overview'!C:C,'Requirement Overview'!G:G))</f>
        <v>Anika Solutions</v>
      </c>
      <c r="H631" s="270" t="s">
        <v>2680</v>
      </c>
      <c r="I631" s="46" t="s">
        <v>519</v>
      </c>
      <c r="J631" s="271" t="s">
        <v>2681</v>
      </c>
      <c r="K631" s="270">
        <v>9819883616</v>
      </c>
      <c r="L631" s="270" t="s">
        <v>378</v>
      </c>
      <c r="M631" s="270" t="s">
        <v>2682</v>
      </c>
      <c r="N631" s="270" t="s">
        <v>948</v>
      </c>
      <c r="O631" s="24" t="s">
        <v>469</v>
      </c>
      <c r="P631" s="270" t="s">
        <v>1374</v>
      </c>
      <c r="Q631" s="270" t="s">
        <v>268</v>
      </c>
      <c r="R631" s="24" t="s">
        <v>1327</v>
      </c>
      <c r="S631" s="24" t="s">
        <v>270</v>
      </c>
      <c r="T631" s="3" t="s">
        <v>103</v>
      </c>
      <c r="U631" s="55">
        <v>46065</v>
      </c>
      <c r="V631" s="55">
        <v>46065</v>
      </c>
      <c r="W631" s="24" t="s">
        <v>2679</v>
      </c>
    </row>
    <row r="632" spans="1:23" ht="14.45">
      <c r="A632" s="24" t="s">
        <v>126</v>
      </c>
      <c r="B632" s="24" t="s">
        <v>1417</v>
      </c>
      <c r="C632" s="84" t="str">
        <f>IF(ISBLANK(B632),"",_xlfn.XLOOKUP(B632,Recruiter!A:A,Recruiter!B:B))</f>
        <v>Harish</v>
      </c>
      <c r="D632" s="84" t="s">
        <v>25</v>
      </c>
      <c r="E632" s="84" t="s">
        <v>27</v>
      </c>
      <c r="F632" s="19" t="str">
        <f>IF(ISBLANK(A632),"",_xlfn.XLOOKUP(A632,'Requirement Overview'!C:C,'Requirement Overview'!I:I))</f>
        <v>Full Stack Developer</v>
      </c>
      <c r="G632" s="58" t="str">
        <f>IF(ISBLANK(A632),"",_xlfn.XLOOKUP(A632,'Requirement Overview'!C:C,'Requirement Overview'!G:G))</f>
        <v>Thoughtfocus</v>
      </c>
      <c r="H632" s="3" t="s">
        <v>2683</v>
      </c>
      <c r="I632" s="3" t="s">
        <v>674</v>
      </c>
      <c r="J632" s="273" t="s">
        <v>2684</v>
      </c>
      <c r="K632" s="3">
        <v>9986910075</v>
      </c>
      <c r="L632" s="46" t="s">
        <v>505</v>
      </c>
      <c r="M632" s="3" t="s">
        <v>2685</v>
      </c>
      <c r="N632" s="130" t="s">
        <v>2686</v>
      </c>
      <c r="O632" s="3" t="s">
        <v>424</v>
      </c>
      <c r="P632" s="3" t="s">
        <v>1042</v>
      </c>
      <c r="Q632" s="3" t="s">
        <v>1042</v>
      </c>
      <c r="R632" s="3" t="s">
        <v>540</v>
      </c>
      <c r="S632" s="24" t="s">
        <v>601</v>
      </c>
      <c r="T632" s="3" t="s">
        <v>103</v>
      </c>
      <c r="U632" s="55">
        <v>46064</v>
      </c>
      <c r="V632" s="55">
        <v>46064</v>
      </c>
    </row>
    <row r="633" spans="1:23" ht="14.45">
      <c r="A633" s="24" t="s">
        <v>126</v>
      </c>
      <c r="B633" s="24" t="s">
        <v>1417</v>
      </c>
      <c r="C633" s="84" t="str">
        <f>IF(ISBLANK(B633),"",_xlfn.XLOOKUP(B633,Recruiter!A:A,Recruiter!B:B))</f>
        <v>Harish</v>
      </c>
      <c r="D633" s="84" t="s">
        <v>25</v>
      </c>
      <c r="E633" s="84" t="s">
        <v>27</v>
      </c>
      <c r="F633" s="19" t="str">
        <f>IF(ISBLANK(A633),"",_xlfn.XLOOKUP(A633,'Requirement Overview'!C:C,'Requirement Overview'!I:I))</f>
        <v>Full Stack Developer</v>
      </c>
      <c r="G633" s="58" t="str">
        <f>IF(ISBLANK(A633),"",_xlfn.XLOOKUP(A633,'Requirement Overview'!C:C,'Requirement Overview'!G:G))</f>
        <v>Thoughtfocus</v>
      </c>
      <c r="H633" s="3" t="s">
        <v>2687</v>
      </c>
      <c r="I633" s="3" t="s">
        <v>262</v>
      </c>
      <c r="J633" s="273" t="s">
        <v>2688</v>
      </c>
      <c r="K633" s="3">
        <v>8457022856</v>
      </c>
      <c r="L633" s="46" t="s">
        <v>305</v>
      </c>
      <c r="M633" s="3" t="s">
        <v>533</v>
      </c>
      <c r="N633" s="130" t="s">
        <v>2689</v>
      </c>
      <c r="O633" s="3" t="s">
        <v>2532</v>
      </c>
      <c r="P633" s="3" t="s">
        <v>2690</v>
      </c>
      <c r="Q633" s="3" t="s">
        <v>1042</v>
      </c>
      <c r="R633" s="3" t="s">
        <v>1844</v>
      </c>
      <c r="S633" s="24" t="s">
        <v>601</v>
      </c>
      <c r="T633" s="3" t="s">
        <v>103</v>
      </c>
      <c r="U633" s="55">
        <v>46064</v>
      </c>
      <c r="V633" s="55">
        <v>46064</v>
      </c>
    </row>
    <row r="634" spans="1:23" ht="14.45">
      <c r="A634" s="24" t="s">
        <v>126</v>
      </c>
      <c r="B634" s="24" t="s">
        <v>1417</v>
      </c>
      <c r="C634" s="84" t="str">
        <f>IF(ISBLANK(B634),"",_xlfn.XLOOKUP(B634,Recruiter!A:A,Recruiter!B:B))</f>
        <v>Harish</v>
      </c>
      <c r="D634" s="84" t="s">
        <v>25</v>
      </c>
      <c r="E634" s="84" t="s">
        <v>27</v>
      </c>
      <c r="F634" s="19" t="str">
        <f>IF(ISBLANK(A634),"",_xlfn.XLOOKUP(A634,'Requirement Overview'!C:C,'Requirement Overview'!I:I))</f>
        <v>Full Stack Developer</v>
      </c>
      <c r="G634" s="58" t="str">
        <f>IF(ISBLANK(A634),"",_xlfn.XLOOKUP(A634,'Requirement Overview'!C:C,'Requirement Overview'!G:G))</f>
        <v>Thoughtfocus</v>
      </c>
      <c r="H634" s="3" t="s">
        <v>2691</v>
      </c>
      <c r="I634" s="3" t="s">
        <v>2692</v>
      </c>
      <c r="J634" s="273" t="s">
        <v>2693</v>
      </c>
      <c r="K634" s="3">
        <v>9067790141</v>
      </c>
      <c r="L634" s="46" t="s">
        <v>311</v>
      </c>
      <c r="M634" s="3" t="s">
        <v>1490</v>
      </c>
      <c r="N634" s="130" t="s">
        <v>2694</v>
      </c>
      <c r="O634" s="3" t="s">
        <v>2695</v>
      </c>
      <c r="P634" s="3" t="s">
        <v>879</v>
      </c>
      <c r="Q634" s="3" t="s">
        <v>1042</v>
      </c>
      <c r="R634" s="3" t="s">
        <v>1031</v>
      </c>
      <c r="S634" s="24" t="s">
        <v>601</v>
      </c>
      <c r="T634" s="3" t="s">
        <v>103</v>
      </c>
      <c r="U634" s="55">
        <v>46064</v>
      </c>
      <c r="V634" s="55">
        <v>46064</v>
      </c>
    </row>
    <row r="635" spans="1:23" ht="14.45">
      <c r="A635" s="24" t="s">
        <v>126</v>
      </c>
      <c r="B635" s="24" t="s">
        <v>1417</v>
      </c>
      <c r="C635" s="84" t="str">
        <f>IF(ISBLANK(B635),"",_xlfn.XLOOKUP(B635,Recruiter!A:A,Recruiter!B:B))</f>
        <v>Harish</v>
      </c>
      <c r="D635" s="84" t="s">
        <v>25</v>
      </c>
      <c r="E635" s="84" t="s">
        <v>27</v>
      </c>
      <c r="F635" s="19" t="str">
        <f>IF(ISBLANK(A635),"",_xlfn.XLOOKUP(A635,'Requirement Overview'!C:C,'Requirement Overview'!I:I))</f>
        <v>Full Stack Developer</v>
      </c>
      <c r="G635" s="58" t="str">
        <f>IF(ISBLANK(A635),"",_xlfn.XLOOKUP(A635,'Requirement Overview'!C:C,'Requirement Overview'!G:G))</f>
        <v>Thoughtfocus</v>
      </c>
      <c r="H635" s="3" t="s">
        <v>2696</v>
      </c>
      <c r="I635" s="3" t="s">
        <v>2697</v>
      </c>
      <c r="J635" s="273" t="s">
        <v>2698</v>
      </c>
      <c r="K635" s="3">
        <v>8277183307</v>
      </c>
      <c r="L635" s="46" t="s">
        <v>311</v>
      </c>
      <c r="M635" s="3" t="s">
        <v>2021</v>
      </c>
      <c r="N635" s="130" t="s">
        <v>2699</v>
      </c>
      <c r="O635" s="3" t="s">
        <v>678</v>
      </c>
      <c r="P635" s="3" t="s">
        <v>1042</v>
      </c>
      <c r="Q635" s="3" t="s">
        <v>1042</v>
      </c>
      <c r="R635" s="3" t="s">
        <v>1302</v>
      </c>
      <c r="S635" s="24" t="s">
        <v>601</v>
      </c>
      <c r="T635" s="3" t="s">
        <v>103</v>
      </c>
      <c r="U635" s="55">
        <v>46064</v>
      </c>
      <c r="V635" s="55">
        <v>46064</v>
      </c>
    </row>
    <row r="636" spans="1:23" ht="14.45">
      <c r="A636" s="24" t="s">
        <v>126</v>
      </c>
      <c r="B636" s="24" t="s">
        <v>1417</v>
      </c>
      <c r="C636" s="84" t="str">
        <f>IF(ISBLANK(B636),"",_xlfn.XLOOKUP(B636,Recruiter!A:A,Recruiter!B:B))</f>
        <v>Harish</v>
      </c>
      <c r="D636" s="84" t="s">
        <v>25</v>
      </c>
      <c r="E636" s="84" t="s">
        <v>27</v>
      </c>
      <c r="F636" s="19" t="str">
        <f>IF(ISBLANK(A636),"",_xlfn.XLOOKUP(A636,'Requirement Overview'!C:C,'Requirement Overview'!I:I))</f>
        <v>Full Stack Developer</v>
      </c>
      <c r="G636" s="58" t="str">
        <f>IF(ISBLANK(A636),"",_xlfn.XLOOKUP(A636,'Requirement Overview'!C:C,'Requirement Overview'!G:G))</f>
        <v>Thoughtfocus</v>
      </c>
      <c r="H636" s="3" t="s">
        <v>2700</v>
      </c>
      <c r="I636" s="3" t="s">
        <v>674</v>
      </c>
      <c r="J636" s="273" t="s">
        <v>2701</v>
      </c>
      <c r="K636" s="3">
        <v>6362719753</v>
      </c>
      <c r="L636" s="46" t="s">
        <v>311</v>
      </c>
      <c r="M636" s="3" t="s">
        <v>1230</v>
      </c>
      <c r="N636" s="130" t="s">
        <v>2702</v>
      </c>
      <c r="O636" s="3" t="s">
        <v>374</v>
      </c>
      <c r="P636" s="3" t="s">
        <v>1042</v>
      </c>
      <c r="Q636" s="3" t="s">
        <v>1042</v>
      </c>
      <c r="R636" s="3" t="s">
        <v>1031</v>
      </c>
      <c r="S636" s="24" t="s">
        <v>601</v>
      </c>
      <c r="T636" s="3" t="s">
        <v>103</v>
      </c>
      <c r="U636" s="55">
        <v>46064</v>
      </c>
      <c r="V636" s="55">
        <v>46064</v>
      </c>
    </row>
    <row r="637" spans="1:23" ht="14.45">
      <c r="A637" s="24" t="s">
        <v>126</v>
      </c>
      <c r="B637" s="24" t="s">
        <v>1417</v>
      </c>
      <c r="C637" s="84" t="str">
        <f>IF(ISBLANK(B637),"",_xlfn.XLOOKUP(B637,Recruiter!A:A,Recruiter!B:B))</f>
        <v>Harish</v>
      </c>
      <c r="D637" s="84" t="s">
        <v>25</v>
      </c>
      <c r="E637" s="84" t="s">
        <v>27</v>
      </c>
      <c r="F637" s="19" t="str">
        <f>IF(ISBLANK(A637),"",_xlfn.XLOOKUP(A637,'Requirement Overview'!C:C,'Requirement Overview'!I:I))</f>
        <v>Full Stack Developer</v>
      </c>
      <c r="G637" s="58" t="str">
        <f>IF(ISBLANK(A637),"",_xlfn.XLOOKUP(A637,'Requirement Overview'!C:C,'Requirement Overview'!G:G))</f>
        <v>Thoughtfocus</v>
      </c>
      <c r="H637" s="3" t="s">
        <v>2703</v>
      </c>
      <c r="I637" s="3" t="s">
        <v>674</v>
      </c>
      <c r="J637" s="273" t="s">
        <v>2704</v>
      </c>
      <c r="K637" s="3">
        <v>9337405231</v>
      </c>
      <c r="L637" s="46" t="s">
        <v>311</v>
      </c>
      <c r="M637" s="3" t="s">
        <v>279</v>
      </c>
      <c r="N637" s="130" t="s">
        <v>2705</v>
      </c>
      <c r="O637" s="3" t="s">
        <v>424</v>
      </c>
      <c r="P637" s="3" t="s">
        <v>1042</v>
      </c>
      <c r="Q637" s="3" t="s">
        <v>1042</v>
      </c>
      <c r="R637" s="3" t="s">
        <v>540</v>
      </c>
      <c r="S637" s="24" t="s">
        <v>601</v>
      </c>
      <c r="T637" s="3" t="s">
        <v>103</v>
      </c>
      <c r="U637" s="55">
        <v>46064</v>
      </c>
      <c r="V637" s="55">
        <v>46064</v>
      </c>
    </row>
    <row r="638" spans="1:23" ht="14.45">
      <c r="A638" s="24" t="s">
        <v>126</v>
      </c>
      <c r="B638" s="24" t="s">
        <v>1417</v>
      </c>
      <c r="C638" s="84" t="str">
        <f>IF(ISBLANK(B638),"",_xlfn.XLOOKUP(B638,Recruiter!A:A,Recruiter!B:B))</f>
        <v>Harish</v>
      </c>
      <c r="D638" s="84" t="s">
        <v>25</v>
      </c>
      <c r="E638" s="84" t="s">
        <v>27</v>
      </c>
      <c r="F638" s="19" t="str">
        <f>IF(ISBLANK(A638),"",_xlfn.XLOOKUP(A638,'Requirement Overview'!C:C,'Requirement Overview'!I:I))</f>
        <v>Full Stack Developer</v>
      </c>
      <c r="G638" s="58" t="str">
        <f>IF(ISBLANK(A638),"",_xlfn.XLOOKUP(A638,'Requirement Overview'!C:C,'Requirement Overview'!G:G))</f>
        <v>Thoughtfocus</v>
      </c>
      <c r="H638" s="3" t="s">
        <v>666</v>
      </c>
      <c r="I638" s="3" t="s">
        <v>2706</v>
      </c>
      <c r="J638" s="273" t="s">
        <v>2707</v>
      </c>
      <c r="K638" s="3">
        <v>7352875820</v>
      </c>
      <c r="L638" s="46" t="s">
        <v>311</v>
      </c>
      <c r="M638" s="3" t="s">
        <v>1230</v>
      </c>
      <c r="N638" s="130" t="s">
        <v>2708</v>
      </c>
      <c r="O638" s="3" t="s">
        <v>2709</v>
      </c>
      <c r="P638" s="3" t="s">
        <v>1042</v>
      </c>
      <c r="Q638" s="3" t="s">
        <v>1042</v>
      </c>
      <c r="R638" s="3" t="s">
        <v>1031</v>
      </c>
      <c r="S638" s="24" t="s">
        <v>601</v>
      </c>
      <c r="T638" s="3" t="s">
        <v>103</v>
      </c>
      <c r="U638" s="55">
        <v>46064</v>
      </c>
      <c r="V638" s="55">
        <v>46064</v>
      </c>
    </row>
    <row r="639" spans="1:23" ht="14.45">
      <c r="A639" s="24" t="s">
        <v>127</v>
      </c>
      <c r="B639" s="24" t="s">
        <v>1417</v>
      </c>
      <c r="C639" s="84" t="str">
        <f>IF(ISBLANK(B639),"",_xlfn.XLOOKUP(B639,Recruiter!A:A,Recruiter!B:B))</f>
        <v>Harish</v>
      </c>
      <c r="D639" s="84" t="s">
        <v>25</v>
      </c>
      <c r="E639" s="84" t="s">
        <v>27</v>
      </c>
      <c r="F639" s="19" t="str">
        <f>IF(ISBLANK(A639),"",_xlfn.XLOOKUP(A639,'Requirement Overview'!C:C,'Requirement Overview'!I:I))</f>
        <v>Backend developer</v>
      </c>
      <c r="G639" s="58" t="str">
        <f>IF(ISBLANK(A639),"",_xlfn.XLOOKUP(A639,'Requirement Overview'!C:C,'Requirement Overview'!G:G))</f>
        <v>Thoughtfocus</v>
      </c>
      <c r="H639" s="3" t="s">
        <v>2710</v>
      </c>
      <c r="I639" s="3" t="s">
        <v>2711</v>
      </c>
      <c r="J639" s="273" t="s">
        <v>2712</v>
      </c>
      <c r="K639" s="3">
        <v>9653867590</v>
      </c>
      <c r="L639" s="46" t="s">
        <v>311</v>
      </c>
      <c r="M639" s="3" t="s">
        <v>395</v>
      </c>
      <c r="N639" s="130" t="s">
        <v>2713</v>
      </c>
      <c r="O639" s="3" t="s">
        <v>374</v>
      </c>
      <c r="P639" s="3" t="s">
        <v>1309</v>
      </c>
      <c r="Q639" s="3" t="s">
        <v>1042</v>
      </c>
      <c r="R639" s="3" t="s">
        <v>1302</v>
      </c>
      <c r="S639" s="24" t="s">
        <v>270</v>
      </c>
      <c r="T639" s="3" t="s">
        <v>103</v>
      </c>
      <c r="U639" s="55">
        <v>46064</v>
      </c>
      <c r="V639" s="55">
        <v>46064</v>
      </c>
    </row>
    <row r="640" spans="1:23" ht="14.45">
      <c r="A640" s="24" t="s">
        <v>127</v>
      </c>
      <c r="B640" s="24" t="s">
        <v>1417</v>
      </c>
      <c r="C640" s="84" t="str">
        <f>IF(ISBLANK(B640),"",_xlfn.XLOOKUP(B640,Recruiter!A:A,Recruiter!B:B))</f>
        <v>Harish</v>
      </c>
      <c r="D640" s="84" t="s">
        <v>25</v>
      </c>
      <c r="E640" s="84" t="s">
        <v>27</v>
      </c>
      <c r="F640" s="19" t="str">
        <f>IF(ISBLANK(A640),"",_xlfn.XLOOKUP(A640,'Requirement Overview'!C:C,'Requirement Overview'!I:I))</f>
        <v>Backend developer</v>
      </c>
      <c r="G640" s="58" t="str">
        <f>IF(ISBLANK(A640),"",_xlfn.XLOOKUP(A640,'Requirement Overview'!C:C,'Requirement Overview'!G:G))</f>
        <v>Thoughtfocus</v>
      </c>
      <c r="H640" s="3" t="s">
        <v>2714</v>
      </c>
      <c r="I640" s="3" t="s">
        <v>674</v>
      </c>
      <c r="J640" s="273" t="s">
        <v>2715</v>
      </c>
      <c r="K640" s="3">
        <v>9541635750</v>
      </c>
      <c r="L640" s="46" t="s">
        <v>311</v>
      </c>
      <c r="M640" s="3" t="s">
        <v>405</v>
      </c>
      <c r="N640" s="130" t="s">
        <v>2716</v>
      </c>
      <c r="O640" s="3" t="s">
        <v>1302</v>
      </c>
      <c r="P640" s="3" t="s">
        <v>1042</v>
      </c>
      <c r="Q640" s="3" t="s">
        <v>1042</v>
      </c>
      <c r="R640" s="3" t="s">
        <v>674</v>
      </c>
      <c r="S640" s="24" t="s">
        <v>270</v>
      </c>
      <c r="T640" s="3" t="s">
        <v>103</v>
      </c>
      <c r="U640" s="55">
        <v>46064</v>
      </c>
      <c r="V640" s="55">
        <v>46064</v>
      </c>
    </row>
    <row r="641" spans="1:22" ht="14.45">
      <c r="A641" s="24" t="s">
        <v>127</v>
      </c>
      <c r="B641" s="24" t="s">
        <v>1417</v>
      </c>
      <c r="C641" s="84" t="str">
        <f>IF(ISBLANK(B641),"",_xlfn.XLOOKUP(B641,Recruiter!A:A,Recruiter!B:B))</f>
        <v>Harish</v>
      </c>
      <c r="D641" s="84" t="s">
        <v>25</v>
      </c>
      <c r="E641" s="84" t="s">
        <v>27</v>
      </c>
      <c r="F641" s="19" t="str">
        <f>IF(ISBLANK(A641),"",_xlfn.XLOOKUP(A641,'Requirement Overview'!C:C,'Requirement Overview'!I:I))</f>
        <v>Backend developer</v>
      </c>
      <c r="G641" s="58" t="str">
        <f>IF(ISBLANK(A641),"",_xlfn.XLOOKUP(A641,'Requirement Overview'!C:C,'Requirement Overview'!G:G))</f>
        <v>Thoughtfocus</v>
      </c>
      <c r="H641" s="3" t="s">
        <v>2717</v>
      </c>
      <c r="I641" s="3" t="s">
        <v>2711</v>
      </c>
      <c r="J641" s="273" t="s">
        <v>2718</v>
      </c>
      <c r="K641" s="3">
        <v>9704147778</v>
      </c>
      <c r="L641" s="46" t="s">
        <v>305</v>
      </c>
      <c r="M641" s="3" t="s">
        <v>956</v>
      </c>
      <c r="N641" s="130" t="s">
        <v>400</v>
      </c>
      <c r="O641" s="3" t="s">
        <v>1591</v>
      </c>
      <c r="P641" s="3" t="s">
        <v>879</v>
      </c>
      <c r="Q641" s="3" t="s">
        <v>1042</v>
      </c>
      <c r="R641" s="3" t="s">
        <v>374</v>
      </c>
      <c r="S641" s="24" t="s">
        <v>601</v>
      </c>
      <c r="T641" s="3" t="s">
        <v>103</v>
      </c>
      <c r="U641" s="55">
        <v>46064</v>
      </c>
      <c r="V641" s="55">
        <v>46064</v>
      </c>
    </row>
    <row r="642" spans="1:22" ht="14.45">
      <c r="A642" s="24" t="s">
        <v>127</v>
      </c>
      <c r="B642" s="24" t="s">
        <v>1417</v>
      </c>
      <c r="C642" s="84" t="str">
        <f>IF(ISBLANK(B642),"",_xlfn.XLOOKUP(B642,Recruiter!A:A,Recruiter!B:B))</f>
        <v>Harish</v>
      </c>
      <c r="D642" s="84" t="s">
        <v>25</v>
      </c>
      <c r="E642" s="84" t="s">
        <v>27</v>
      </c>
      <c r="F642" s="19" t="str">
        <f>IF(ISBLANK(A642),"",_xlfn.XLOOKUP(A642,'Requirement Overview'!C:C,'Requirement Overview'!I:I))</f>
        <v>Backend developer</v>
      </c>
      <c r="G642" s="58" t="str">
        <f>IF(ISBLANK(A642),"",_xlfn.XLOOKUP(A642,'Requirement Overview'!C:C,'Requirement Overview'!G:G))</f>
        <v>Thoughtfocus</v>
      </c>
      <c r="H642" s="3" t="s">
        <v>2519</v>
      </c>
      <c r="I642" s="3" t="s">
        <v>519</v>
      </c>
      <c r="J642" s="273" t="s">
        <v>2520</v>
      </c>
      <c r="K642" s="3">
        <v>7842014615</v>
      </c>
      <c r="L642" s="46" t="s">
        <v>305</v>
      </c>
      <c r="M642" s="3" t="s">
        <v>395</v>
      </c>
      <c r="N642" s="130" t="s">
        <v>2522</v>
      </c>
      <c r="O642" s="3" t="s">
        <v>589</v>
      </c>
      <c r="P642" s="3" t="s">
        <v>268</v>
      </c>
      <c r="Q642" s="3" t="s">
        <v>268</v>
      </c>
      <c r="R642" s="3" t="s">
        <v>519</v>
      </c>
      <c r="S642" s="24" t="s">
        <v>270</v>
      </c>
      <c r="T642" s="3" t="s">
        <v>103</v>
      </c>
      <c r="U642" s="55">
        <v>46064</v>
      </c>
      <c r="V642" s="55">
        <v>46064</v>
      </c>
    </row>
    <row r="643" spans="1:22" ht="14.45">
      <c r="A643" s="24" t="s">
        <v>134</v>
      </c>
      <c r="B643" s="24" t="s">
        <v>236</v>
      </c>
      <c r="C643" s="84" t="str">
        <f>IF(ISBLANK(B643),"",_xlfn.XLOOKUP(B643,Recruiter!A:A,Recruiter!B:B))</f>
        <v>Pooja</v>
      </c>
      <c r="D643" s="84" t="str">
        <f>IF(ISBLANK(A643),"",_xlfn.XLOOKUP(A643,'Requirement Overview'!C:C,'Requirement Overview'!E:E))</f>
        <v>Talme</v>
      </c>
      <c r="E643" s="84" t="str">
        <f>IF(ISBLANK(A643),"",_xlfn.XLOOKUP(A643,'Requirement Overview'!C:C,'Requirement Overview'!H:H))</f>
        <v>Non - IT</v>
      </c>
      <c r="F643" s="19" t="str">
        <f>IF(ISBLANK(A643),"",_xlfn.XLOOKUP(A643,'Requirement Overview'!C:C,'Requirement Overview'!I:I))</f>
        <v>Sales officer</v>
      </c>
      <c r="G643" s="58" t="str">
        <f>IF(ISBLANK(A643),"",_xlfn.XLOOKUP(A643,'Requirement Overview'!C:C,'Requirement Overview'!G:G))</f>
        <v>Megha foods pvt ltd</v>
      </c>
      <c r="H643" s="287" t="s">
        <v>2719</v>
      </c>
      <c r="I643" s="288" t="s">
        <v>519</v>
      </c>
      <c r="J643" s="289" t="s">
        <v>2720</v>
      </c>
      <c r="K643" s="288">
        <v>7339138028</v>
      </c>
      <c r="L643" s="46" t="s">
        <v>2445</v>
      </c>
      <c r="M643" s="24" t="s">
        <v>724</v>
      </c>
      <c r="N643" s="288" t="s">
        <v>2721</v>
      </c>
      <c r="O643" s="24" t="s">
        <v>971</v>
      </c>
      <c r="P643" s="288" t="s">
        <v>1286</v>
      </c>
      <c r="Q643" s="288" t="s">
        <v>1286</v>
      </c>
      <c r="R643" s="24" t="s">
        <v>980</v>
      </c>
      <c r="S643" s="24" t="s">
        <v>612</v>
      </c>
      <c r="T643" s="24" t="s">
        <v>103</v>
      </c>
      <c r="U643" s="29">
        <v>46066</v>
      </c>
      <c r="V643" s="29">
        <v>46066</v>
      </c>
    </row>
    <row r="644" spans="1:22" ht="14.45">
      <c r="A644" s="24" t="s">
        <v>129</v>
      </c>
      <c r="B644" s="24" t="s">
        <v>1417</v>
      </c>
      <c r="C644" s="84" t="str">
        <f>IF(ISBLANK(B644),"",_xlfn.XLOOKUP(B644,Recruiter!A:A,Recruiter!B:B))</f>
        <v>Harish</v>
      </c>
      <c r="D644" s="84" t="str">
        <f>IF(ISBLANK(A644),"",_xlfn.XLOOKUP(A644,'Requirement Overview'!C:C,'Requirement Overview'!E:E))</f>
        <v>Talme</v>
      </c>
      <c r="E644" s="84" t="str">
        <f>IF(ISBLANK(A644),"",_xlfn.XLOOKUP(A644,'Requirement Overview'!C:C,'Requirement Overview'!H:H))</f>
        <v>IT</v>
      </c>
      <c r="F644" s="19" t="str">
        <f>IF(ISBLANK(A644),"",_xlfn.XLOOKUP(A644,'Requirement Overview'!C:C,'Requirement Overview'!I:I))</f>
        <v>Front end developer</v>
      </c>
      <c r="G644" s="58" t="str">
        <f>IF(ISBLANK(A644),"",_xlfn.XLOOKUP(A644,'Requirement Overview'!C:C,'Requirement Overview'!G:G))</f>
        <v>Thoughtfocus</v>
      </c>
      <c r="H644" s="276" t="s">
        <v>2606</v>
      </c>
      <c r="I644" s="3" t="s">
        <v>262</v>
      </c>
      <c r="J644" s="243" t="s">
        <v>2608</v>
      </c>
      <c r="K644" s="261">
        <v>8130738994</v>
      </c>
      <c r="L644" s="46" t="s">
        <v>290</v>
      </c>
      <c r="M644" s="3" t="s">
        <v>414</v>
      </c>
      <c r="N644" s="120" t="s">
        <v>2609</v>
      </c>
      <c r="O644" s="3" t="s">
        <v>716</v>
      </c>
      <c r="P644" s="3" t="s">
        <v>1042</v>
      </c>
      <c r="Q644" s="3" t="s">
        <v>1042</v>
      </c>
      <c r="R644" s="3" t="s">
        <v>716</v>
      </c>
      <c r="S644" s="24" t="s">
        <v>601</v>
      </c>
      <c r="T644" s="3" t="s">
        <v>103</v>
      </c>
      <c r="U644" s="55">
        <v>46064</v>
      </c>
      <c r="V644" s="55">
        <v>46064</v>
      </c>
    </row>
    <row r="645" spans="1:22" ht="14.45">
      <c r="A645" s="24" t="s">
        <v>129</v>
      </c>
      <c r="B645" s="24" t="s">
        <v>1417</v>
      </c>
      <c r="C645" s="84" t="str">
        <f>IF(ISBLANK(B645),"",_xlfn.XLOOKUP(B645,Recruiter!A:A,Recruiter!B:B))</f>
        <v>Harish</v>
      </c>
      <c r="D645" s="84" t="str">
        <f>IF(ISBLANK(A645),"",_xlfn.XLOOKUP(A645,'Requirement Overview'!C:C,'Requirement Overview'!E:E))</f>
        <v>Talme</v>
      </c>
      <c r="E645" s="84" t="str">
        <f>IF(ISBLANK(A645),"",_xlfn.XLOOKUP(A645,'Requirement Overview'!C:C,'Requirement Overview'!H:H))</f>
        <v>IT</v>
      </c>
      <c r="F645" s="19" t="str">
        <f>IF(ISBLANK(A645),"",_xlfn.XLOOKUP(A645,'Requirement Overview'!C:C,'Requirement Overview'!I:I))</f>
        <v>Front end developer</v>
      </c>
      <c r="G645" s="58" t="str">
        <f>IF(ISBLANK(A645),"",_xlfn.XLOOKUP(A645,'Requirement Overview'!C:C,'Requirement Overview'!G:G))</f>
        <v>Thoughtfocus</v>
      </c>
      <c r="H645" s="276" t="s">
        <v>2722</v>
      </c>
      <c r="I645" s="3" t="s">
        <v>262</v>
      </c>
      <c r="J645" s="273" t="s">
        <v>2723</v>
      </c>
      <c r="K645" s="261">
        <v>8107808528</v>
      </c>
      <c r="L645" s="46" t="s">
        <v>305</v>
      </c>
      <c r="M645" s="3" t="s">
        <v>2184</v>
      </c>
      <c r="N645" s="126" t="s">
        <v>653</v>
      </c>
      <c r="O645" s="3" t="s">
        <v>374</v>
      </c>
      <c r="P645" s="3" t="s">
        <v>569</v>
      </c>
      <c r="Q645" s="3" t="s">
        <v>1042</v>
      </c>
      <c r="R645" s="3" t="s">
        <v>374</v>
      </c>
      <c r="S645" s="24" t="s">
        <v>601</v>
      </c>
      <c r="T645" s="3" t="s">
        <v>103</v>
      </c>
      <c r="U645" s="55">
        <v>46064</v>
      </c>
      <c r="V645" s="55">
        <v>46064</v>
      </c>
    </row>
    <row r="646" spans="1:22" ht="14.45">
      <c r="A646" s="24" t="s">
        <v>134</v>
      </c>
      <c r="B646" s="24" t="s">
        <v>1417</v>
      </c>
      <c r="C646" s="84" t="str">
        <f>IF(ISBLANK(B646),"",_xlfn.XLOOKUP(B646,Recruiter!A:A,Recruiter!B:B))</f>
        <v>Harish</v>
      </c>
      <c r="D646" s="84" t="str">
        <f>IF(ISBLANK(A646),"",_xlfn.XLOOKUP(A646,'Requirement Overview'!C:C,'Requirement Overview'!E:E))</f>
        <v>Talme</v>
      </c>
      <c r="E646" s="84" t="str">
        <f>IF(ISBLANK(A646),"",_xlfn.XLOOKUP(A646,'Requirement Overview'!C:C,'Requirement Overview'!H:H))</f>
        <v>Non - IT</v>
      </c>
      <c r="F646" s="19" t="str">
        <f>IF(ISBLANK(A646),"",_xlfn.XLOOKUP(A646,'Requirement Overview'!C:C,'Requirement Overview'!I:I))</f>
        <v>Sales officer</v>
      </c>
      <c r="G646" s="58" t="str">
        <f>IF(ISBLANK(A646),"",_xlfn.XLOOKUP(A646,'Requirement Overview'!C:C,'Requirement Overview'!G:G))</f>
        <v>Megha foods pvt ltd</v>
      </c>
      <c r="H646" s="3" t="s">
        <v>1483</v>
      </c>
      <c r="I646" s="3" t="s">
        <v>497</v>
      </c>
      <c r="J646" s="59"/>
      <c r="K646" s="3">
        <v>8946079873</v>
      </c>
      <c r="L646" s="46" t="s">
        <v>2724</v>
      </c>
      <c r="M646" s="3">
        <v>0.8</v>
      </c>
      <c r="O646" s="3">
        <v>12000</v>
      </c>
      <c r="P646" s="24" t="s">
        <v>1286</v>
      </c>
      <c r="Q646" s="24" t="s">
        <v>1286</v>
      </c>
      <c r="R646" s="3">
        <v>18000</v>
      </c>
      <c r="S646" s="24" t="s">
        <v>601</v>
      </c>
      <c r="T646" s="3" t="s">
        <v>103</v>
      </c>
      <c r="U646" s="55">
        <v>46066</v>
      </c>
      <c r="V646" s="55">
        <v>46066</v>
      </c>
    </row>
    <row r="647" spans="1:22" ht="14.45">
      <c r="A647" s="24" t="s">
        <v>134</v>
      </c>
      <c r="B647" s="24" t="s">
        <v>1417</v>
      </c>
      <c r="C647" s="84" t="str">
        <f>IF(ISBLANK(B647),"",_xlfn.XLOOKUP(B647,Recruiter!A:A,Recruiter!B:B))</f>
        <v>Harish</v>
      </c>
      <c r="D647" s="84" t="str">
        <f>IF(ISBLANK(A647),"",_xlfn.XLOOKUP(A647,'Requirement Overview'!C:C,'Requirement Overview'!E:E))</f>
        <v>Talme</v>
      </c>
      <c r="E647" s="84" t="str">
        <f>IF(ISBLANK(A647),"",_xlfn.XLOOKUP(A647,'Requirement Overview'!C:C,'Requirement Overview'!H:H))</f>
        <v>Non - IT</v>
      </c>
      <c r="F647" s="19" t="str">
        <f>IF(ISBLANK(A647),"",_xlfn.XLOOKUP(A647,'Requirement Overview'!C:C,'Requirement Overview'!I:I))</f>
        <v>Sales officer</v>
      </c>
      <c r="G647" s="58" t="str">
        <f>IF(ISBLANK(A647),"",_xlfn.XLOOKUP(A647,'Requirement Overview'!C:C,'Requirement Overview'!G:G))</f>
        <v>Megha foods pvt ltd</v>
      </c>
      <c r="H647" s="3" t="s">
        <v>2725</v>
      </c>
      <c r="I647" s="3" t="s">
        <v>497</v>
      </c>
      <c r="J647" s="59"/>
      <c r="K647" s="3">
        <v>8667632883</v>
      </c>
      <c r="L647" s="46" t="s">
        <v>330</v>
      </c>
      <c r="M647" s="3" t="s">
        <v>499</v>
      </c>
      <c r="O647" s="3">
        <v>15000</v>
      </c>
      <c r="P647" s="24" t="s">
        <v>1286</v>
      </c>
      <c r="Q647" s="24" t="s">
        <v>1286</v>
      </c>
      <c r="R647" s="3">
        <v>18000</v>
      </c>
      <c r="S647" s="24" t="s">
        <v>601</v>
      </c>
      <c r="T647" s="3" t="s">
        <v>103</v>
      </c>
      <c r="U647" s="55">
        <v>46066</v>
      </c>
      <c r="V647" s="55">
        <v>46066</v>
      </c>
    </row>
    <row r="648" spans="1:22" ht="14.45">
      <c r="A648" s="24" t="s">
        <v>134</v>
      </c>
      <c r="B648" s="24" t="s">
        <v>1417</v>
      </c>
      <c r="C648" s="84" t="str">
        <f>IF(ISBLANK(B648),"",_xlfn.XLOOKUP(B648,Recruiter!A:A,Recruiter!B:B))</f>
        <v>Harish</v>
      </c>
      <c r="D648" s="84" t="str">
        <f>IF(ISBLANK(A648),"",_xlfn.XLOOKUP(A648,'Requirement Overview'!C:C,'Requirement Overview'!E:E))</f>
        <v>Talme</v>
      </c>
      <c r="E648" s="84" t="str">
        <f>IF(ISBLANK(A648),"",_xlfn.XLOOKUP(A648,'Requirement Overview'!C:C,'Requirement Overview'!H:H))</f>
        <v>Non - IT</v>
      </c>
      <c r="F648" s="19" t="str">
        <f>IF(ISBLANK(A648),"",_xlfn.XLOOKUP(A648,'Requirement Overview'!C:C,'Requirement Overview'!I:I))</f>
        <v>Sales officer</v>
      </c>
      <c r="G648" s="58" t="str">
        <f>IF(ISBLANK(A648),"",_xlfn.XLOOKUP(A648,'Requirement Overview'!C:C,'Requirement Overview'!G:G))</f>
        <v>Megha foods pvt ltd</v>
      </c>
      <c r="H648" s="3" t="s">
        <v>2726</v>
      </c>
      <c r="I648" s="3" t="s">
        <v>497</v>
      </c>
      <c r="J648" s="59"/>
      <c r="K648" s="3">
        <v>6382029251</v>
      </c>
      <c r="L648" s="46" t="s">
        <v>1034</v>
      </c>
      <c r="M648" s="3" t="s">
        <v>573</v>
      </c>
      <c r="O648" s="3"/>
      <c r="P648" s="24" t="s">
        <v>1286</v>
      </c>
      <c r="Q648" s="24" t="s">
        <v>1286</v>
      </c>
      <c r="R648" s="3">
        <v>16000</v>
      </c>
      <c r="S648" s="24" t="s">
        <v>601</v>
      </c>
      <c r="T648" s="3" t="s">
        <v>103</v>
      </c>
      <c r="U648" s="55">
        <v>46066</v>
      </c>
      <c r="V648" s="55">
        <v>46066</v>
      </c>
    </row>
    <row r="649" spans="1:22" ht="14.45">
      <c r="A649" s="24" t="s">
        <v>134</v>
      </c>
      <c r="B649" s="24" t="s">
        <v>1417</v>
      </c>
      <c r="C649" s="84" t="str">
        <f>IF(ISBLANK(B649),"",_xlfn.XLOOKUP(B649,Recruiter!A:A,Recruiter!B:B))</f>
        <v>Harish</v>
      </c>
      <c r="D649" s="84" t="str">
        <f>IF(ISBLANK(A649),"",_xlfn.XLOOKUP(A649,'Requirement Overview'!C:C,'Requirement Overview'!E:E))</f>
        <v>Talme</v>
      </c>
      <c r="E649" s="84" t="str">
        <f>IF(ISBLANK(A649),"",_xlfn.XLOOKUP(A649,'Requirement Overview'!C:C,'Requirement Overview'!H:H))</f>
        <v>Non - IT</v>
      </c>
      <c r="F649" s="19" t="str">
        <f>IF(ISBLANK(A649),"",_xlfn.XLOOKUP(A649,'Requirement Overview'!C:C,'Requirement Overview'!I:I))</f>
        <v>Sales officer</v>
      </c>
      <c r="G649" s="58" t="str">
        <f>IF(ISBLANK(A649),"",_xlfn.XLOOKUP(A649,'Requirement Overview'!C:C,'Requirement Overview'!G:G))</f>
        <v>Megha foods pvt ltd</v>
      </c>
      <c r="H649" s="3" t="s">
        <v>2727</v>
      </c>
      <c r="I649" s="3" t="s">
        <v>497</v>
      </c>
      <c r="J649" s="59"/>
      <c r="K649" s="3">
        <v>8438007790</v>
      </c>
      <c r="L649" s="46" t="s">
        <v>330</v>
      </c>
      <c r="M649" s="3">
        <v>1.5</v>
      </c>
      <c r="O649" s="3">
        <v>16000</v>
      </c>
      <c r="P649" s="24" t="s">
        <v>1286</v>
      </c>
      <c r="Q649" s="24" t="s">
        <v>1286</v>
      </c>
      <c r="R649" s="3">
        <v>20000</v>
      </c>
      <c r="S649" s="24" t="s">
        <v>601</v>
      </c>
      <c r="T649" s="3" t="s">
        <v>103</v>
      </c>
      <c r="U649" s="55">
        <v>46066</v>
      </c>
      <c r="V649" s="55">
        <v>46066</v>
      </c>
    </row>
    <row r="650" spans="1:22" ht="14.45">
      <c r="A650" s="24" t="s">
        <v>134</v>
      </c>
      <c r="B650" s="24" t="s">
        <v>1417</v>
      </c>
      <c r="C650" s="84" t="str">
        <f>IF(ISBLANK(B650),"",_xlfn.XLOOKUP(B650,Recruiter!A:A,Recruiter!B:B))</f>
        <v>Harish</v>
      </c>
      <c r="D650" s="84" t="str">
        <f>IF(ISBLANK(A650),"",_xlfn.XLOOKUP(A650,'Requirement Overview'!C:C,'Requirement Overview'!E:E))</f>
        <v>Talme</v>
      </c>
      <c r="E650" s="84" t="str">
        <f>IF(ISBLANK(A650),"",_xlfn.XLOOKUP(A650,'Requirement Overview'!C:C,'Requirement Overview'!H:H))</f>
        <v>Non - IT</v>
      </c>
      <c r="F650" s="19" t="str">
        <f>IF(ISBLANK(A650),"",_xlfn.XLOOKUP(A650,'Requirement Overview'!C:C,'Requirement Overview'!I:I))</f>
        <v>Sales officer</v>
      </c>
      <c r="G650" s="58" t="str">
        <f>IF(ISBLANK(A650),"",_xlfn.XLOOKUP(A650,'Requirement Overview'!C:C,'Requirement Overview'!G:G))</f>
        <v>Megha foods pvt ltd</v>
      </c>
      <c r="H650" s="3" t="s">
        <v>2728</v>
      </c>
      <c r="I650" s="3" t="s">
        <v>2729</v>
      </c>
      <c r="J650" s="59"/>
      <c r="K650" s="3">
        <v>8778489903</v>
      </c>
      <c r="L650" s="46" t="s">
        <v>2730</v>
      </c>
      <c r="M650" s="3" t="s">
        <v>2731</v>
      </c>
      <c r="O650" s="3">
        <v>16000</v>
      </c>
      <c r="P650" s="24" t="s">
        <v>1286</v>
      </c>
      <c r="Q650" s="24" t="s">
        <v>1286</v>
      </c>
      <c r="R650" s="3">
        <v>18000</v>
      </c>
      <c r="S650" s="24" t="s">
        <v>601</v>
      </c>
      <c r="T650" s="3" t="s">
        <v>103</v>
      </c>
      <c r="U650" s="55">
        <v>46066</v>
      </c>
      <c r="V650" s="55">
        <v>46066</v>
      </c>
    </row>
    <row r="651" spans="1:22" ht="14.45">
      <c r="A651" s="24" t="s">
        <v>134</v>
      </c>
      <c r="B651" s="24" t="s">
        <v>1417</v>
      </c>
      <c r="C651" s="84" t="str">
        <f>IF(ISBLANK(B651),"",_xlfn.XLOOKUP(B651,Recruiter!A:A,Recruiter!B:B))</f>
        <v>Harish</v>
      </c>
      <c r="D651" s="84" t="str">
        <f>IF(ISBLANK(A651),"",_xlfn.XLOOKUP(A651,'Requirement Overview'!C:C,'Requirement Overview'!E:E))</f>
        <v>Talme</v>
      </c>
      <c r="E651" s="84" t="str">
        <f>IF(ISBLANK(A651),"",_xlfn.XLOOKUP(A651,'Requirement Overview'!C:C,'Requirement Overview'!H:H))</f>
        <v>Non - IT</v>
      </c>
      <c r="F651" s="19" t="str">
        <f>IF(ISBLANK(A651),"",_xlfn.XLOOKUP(A651,'Requirement Overview'!C:C,'Requirement Overview'!I:I))</f>
        <v>Sales officer</v>
      </c>
      <c r="G651" s="58" t="str">
        <f>IF(ISBLANK(A651),"",_xlfn.XLOOKUP(A651,'Requirement Overview'!C:C,'Requirement Overview'!G:G))</f>
        <v>Megha foods pvt ltd</v>
      </c>
      <c r="H651" s="3" t="s">
        <v>2732</v>
      </c>
      <c r="I651" s="3" t="s">
        <v>497</v>
      </c>
      <c r="J651" s="59"/>
      <c r="K651" s="3">
        <v>8270155308</v>
      </c>
      <c r="L651" s="46" t="s">
        <v>2730</v>
      </c>
      <c r="M651" s="3">
        <v>1.5</v>
      </c>
      <c r="O651" s="3">
        <v>12000</v>
      </c>
      <c r="P651" s="24" t="s">
        <v>1286</v>
      </c>
      <c r="Q651" s="24" t="s">
        <v>1286</v>
      </c>
      <c r="R651" s="3">
        <v>18000</v>
      </c>
      <c r="S651" s="24" t="s">
        <v>601</v>
      </c>
      <c r="T651" s="3" t="s">
        <v>103</v>
      </c>
      <c r="U651" s="55">
        <v>46066</v>
      </c>
      <c r="V651" s="55">
        <v>46066</v>
      </c>
    </row>
    <row r="652" spans="1:22" ht="14.45">
      <c r="A652" s="24" t="s">
        <v>134</v>
      </c>
      <c r="B652" s="24" t="s">
        <v>1417</v>
      </c>
      <c r="C652" s="84" t="str">
        <f>IF(ISBLANK(B652),"",_xlfn.XLOOKUP(B652,Recruiter!A:A,Recruiter!B:B))</f>
        <v>Harish</v>
      </c>
      <c r="D652" s="84" t="str">
        <f>IF(ISBLANK(A652),"",_xlfn.XLOOKUP(A652,'Requirement Overview'!C:C,'Requirement Overview'!E:E))</f>
        <v>Talme</v>
      </c>
      <c r="E652" s="84" t="str">
        <f>IF(ISBLANK(A652),"",_xlfn.XLOOKUP(A652,'Requirement Overview'!C:C,'Requirement Overview'!H:H))</f>
        <v>Non - IT</v>
      </c>
      <c r="F652" s="19" t="str">
        <f>IF(ISBLANK(A652),"",_xlfn.XLOOKUP(A652,'Requirement Overview'!C:C,'Requirement Overview'!I:I))</f>
        <v>Sales officer</v>
      </c>
      <c r="G652" s="58" t="str">
        <f>IF(ISBLANK(A652),"",_xlfn.XLOOKUP(A652,'Requirement Overview'!C:C,'Requirement Overview'!G:G))</f>
        <v>Megha foods pvt ltd</v>
      </c>
      <c r="H652" s="3" t="s">
        <v>2733</v>
      </c>
      <c r="I652" s="3" t="s">
        <v>303</v>
      </c>
      <c r="J652" s="59"/>
      <c r="K652" s="3">
        <v>6369975078</v>
      </c>
      <c r="L652" s="46" t="s">
        <v>2730</v>
      </c>
      <c r="M652" s="3">
        <v>0.9</v>
      </c>
      <c r="O652" s="3">
        <v>15000</v>
      </c>
      <c r="P652" s="24" t="s">
        <v>1286</v>
      </c>
      <c r="Q652" s="24" t="s">
        <v>1286</v>
      </c>
      <c r="R652" s="3">
        <v>18000</v>
      </c>
      <c r="S652" s="24" t="s">
        <v>601</v>
      </c>
      <c r="T652" s="3" t="s">
        <v>103</v>
      </c>
      <c r="U652" s="55">
        <v>46066</v>
      </c>
      <c r="V652" s="55">
        <v>46066</v>
      </c>
    </row>
    <row r="653" spans="1:22" ht="14.45">
      <c r="A653" s="24" t="s">
        <v>134</v>
      </c>
      <c r="B653" s="24" t="s">
        <v>1417</v>
      </c>
      <c r="C653" s="84" t="str">
        <f>IF(ISBLANK(B653),"",_xlfn.XLOOKUP(B653,Recruiter!A:A,Recruiter!B:B))</f>
        <v>Harish</v>
      </c>
      <c r="D653" s="84" t="str">
        <f>IF(ISBLANK(A653),"",_xlfn.XLOOKUP(A653,'Requirement Overview'!C:C,'Requirement Overview'!E:E))</f>
        <v>Talme</v>
      </c>
      <c r="E653" s="84" t="str">
        <f>IF(ISBLANK(A653),"",_xlfn.XLOOKUP(A653,'Requirement Overview'!C:C,'Requirement Overview'!H:H))</f>
        <v>Non - IT</v>
      </c>
      <c r="F653" s="19" t="str">
        <f>IF(ISBLANK(A653),"",_xlfn.XLOOKUP(A653,'Requirement Overview'!C:C,'Requirement Overview'!I:I))</f>
        <v>Sales officer</v>
      </c>
      <c r="G653" s="58" t="str">
        <f>IF(ISBLANK(A653),"",_xlfn.XLOOKUP(A653,'Requirement Overview'!C:C,'Requirement Overview'!G:G))</f>
        <v>Megha foods pvt ltd</v>
      </c>
      <c r="H653" s="3" t="s">
        <v>2734</v>
      </c>
      <c r="I653" s="3" t="s">
        <v>262</v>
      </c>
      <c r="J653" s="59"/>
      <c r="K653" s="3">
        <v>9047775033</v>
      </c>
      <c r="L653" s="46" t="s">
        <v>2730</v>
      </c>
      <c r="M653" s="3" t="s">
        <v>2735</v>
      </c>
      <c r="O653" s="3">
        <v>14000</v>
      </c>
      <c r="P653" s="24" t="s">
        <v>1286</v>
      </c>
      <c r="Q653" s="24" t="s">
        <v>1286</v>
      </c>
      <c r="R653" s="3">
        <v>18000</v>
      </c>
      <c r="S653" s="24" t="s">
        <v>601</v>
      </c>
      <c r="T653" s="3" t="s">
        <v>103</v>
      </c>
      <c r="U653" s="55">
        <v>46066</v>
      </c>
      <c r="V653" s="55">
        <v>46066</v>
      </c>
    </row>
    <row r="654" spans="1:22" ht="14.45">
      <c r="A654" s="24" t="s">
        <v>134</v>
      </c>
      <c r="B654" s="24" t="s">
        <v>1417</v>
      </c>
      <c r="C654" s="84" t="str">
        <f>IF(ISBLANK(B654),"",_xlfn.XLOOKUP(B654,Recruiter!A:A,Recruiter!B:B))</f>
        <v>Harish</v>
      </c>
      <c r="D654" s="84" t="str">
        <f>IF(ISBLANK(A654),"",_xlfn.XLOOKUP(A654,'Requirement Overview'!C:C,'Requirement Overview'!E:E))</f>
        <v>Talme</v>
      </c>
      <c r="E654" s="84" t="str">
        <f>IF(ISBLANK(A654),"",_xlfn.XLOOKUP(A654,'Requirement Overview'!C:C,'Requirement Overview'!H:H))</f>
        <v>Non - IT</v>
      </c>
      <c r="F654" s="19" t="str">
        <f>IF(ISBLANK(A654),"",_xlfn.XLOOKUP(A654,'Requirement Overview'!C:C,'Requirement Overview'!I:I))</f>
        <v>Sales officer</v>
      </c>
      <c r="G654" s="58" t="str">
        <f>IF(ISBLANK(A654),"",_xlfn.XLOOKUP(A654,'Requirement Overview'!C:C,'Requirement Overview'!G:G))</f>
        <v>Megha foods pvt ltd</v>
      </c>
      <c r="H654" s="3" t="s">
        <v>2736</v>
      </c>
      <c r="I654" s="3" t="s">
        <v>303</v>
      </c>
      <c r="J654" s="59"/>
      <c r="K654" s="3">
        <v>9095648446</v>
      </c>
      <c r="L654" s="46" t="s">
        <v>1034</v>
      </c>
      <c r="M654" s="3">
        <v>0.3</v>
      </c>
      <c r="O654" s="3">
        <v>14000</v>
      </c>
      <c r="P654" s="24" t="s">
        <v>1286</v>
      </c>
      <c r="Q654" s="24" t="s">
        <v>1286</v>
      </c>
      <c r="R654" s="3">
        <v>18000</v>
      </c>
      <c r="S654" s="24" t="s">
        <v>601</v>
      </c>
      <c r="T654" s="3" t="s">
        <v>103</v>
      </c>
      <c r="U654" s="55">
        <v>46066</v>
      </c>
      <c r="V654" s="55">
        <v>46066</v>
      </c>
    </row>
    <row r="655" spans="1:22" ht="14.45">
      <c r="A655" s="24" t="s">
        <v>134</v>
      </c>
      <c r="B655" s="24" t="s">
        <v>1417</v>
      </c>
      <c r="C655" s="84" t="str">
        <f>IF(ISBLANK(B655),"",_xlfn.XLOOKUP(B655,Recruiter!A:A,Recruiter!B:B))</f>
        <v>Harish</v>
      </c>
      <c r="D655" s="84" t="str">
        <f>IF(ISBLANK(A655),"",_xlfn.XLOOKUP(A655,'Requirement Overview'!C:C,'Requirement Overview'!E:E))</f>
        <v>Talme</v>
      </c>
      <c r="E655" s="84" t="str">
        <f>IF(ISBLANK(A655),"",_xlfn.XLOOKUP(A655,'Requirement Overview'!C:C,'Requirement Overview'!H:H))</f>
        <v>Non - IT</v>
      </c>
      <c r="F655" s="19" t="str">
        <f>IF(ISBLANK(A655),"",_xlfn.XLOOKUP(A655,'Requirement Overview'!C:C,'Requirement Overview'!I:I))</f>
        <v>Sales officer</v>
      </c>
      <c r="G655" s="58" t="str">
        <f>IF(ISBLANK(A655),"",_xlfn.XLOOKUP(A655,'Requirement Overview'!C:C,'Requirement Overview'!G:G))</f>
        <v>Megha foods pvt ltd</v>
      </c>
      <c r="H655" s="3" t="s">
        <v>2737</v>
      </c>
      <c r="I655" s="3" t="s">
        <v>303</v>
      </c>
      <c r="J655" s="59"/>
      <c r="K655" s="3">
        <v>7530084393</v>
      </c>
      <c r="L655" s="46" t="s">
        <v>1034</v>
      </c>
      <c r="M655" s="3" t="s">
        <v>573</v>
      </c>
      <c r="O655" s="3">
        <v>16000</v>
      </c>
      <c r="P655" s="24" t="s">
        <v>1286</v>
      </c>
      <c r="Q655" s="24" t="s">
        <v>1286</v>
      </c>
      <c r="R655" s="3">
        <v>18000</v>
      </c>
      <c r="S655" s="24" t="s">
        <v>601</v>
      </c>
      <c r="T655" s="3" t="s">
        <v>103</v>
      </c>
      <c r="U655" s="55">
        <v>46066</v>
      </c>
      <c r="V655" s="55">
        <v>46066</v>
      </c>
    </row>
    <row r="656" spans="1:22" ht="14.45">
      <c r="A656" s="24" t="s">
        <v>126</v>
      </c>
      <c r="B656" s="24" t="s">
        <v>340</v>
      </c>
      <c r="C656" s="84" t="str">
        <f>IF(ISBLANK(B656),"",_xlfn.XLOOKUP(B656,Recruiter!A:A,Recruiter!B:B))</f>
        <v>Harshitha</v>
      </c>
      <c r="D656" s="84" t="str">
        <f>IF(ISBLANK(A656),"",_xlfn.XLOOKUP(A656,'Requirement Overview'!C:C,'Requirement Overview'!E:E))</f>
        <v>Talme</v>
      </c>
      <c r="E656" s="84" t="str">
        <f>IF(ISBLANK(A656),"",_xlfn.XLOOKUP(A656,'Requirement Overview'!C:C,'Requirement Overview'!H:H))</f>
        <v>IT</v>
      </c>
      <c r="F656" s="19" t="str">
        <f>IF(ISBLANK(A656),"",_xlfn.XLOOKUP(A656,'Requirement Overview'!C:C,'Requirement Overview'!I:I))</f>
        <v>Full Stack Developer</v>
      </c>
      <c r="G656" s="58" t="str">
        <f>IF(ISBLANK(A656),"",_xlfn.XLOOKUP(A656,'Requirement Overview'!C:C,'Requirement Overview'!G:G))</f>
        <v>Thoughtfocus</v>
      </c>
      <c r="H656" s="276" t="s">
        <v>2645</v>
      </c>
      <c r="I656" s="44" t="s">
        <v>2315</v>
      </c>
      <c r="J656" s="257" t="s">
        <v>2646</v>
      </c>
      <c r="K656" s="277">
        <v>8965977728</v>
      </c>
      <c r="L656" s="44" t="s">
        <v>305</v>
      </c>
      <c r="M656" s="44" t="s">
        <v>2647</v>
      </c>
      <c r="N656" s="126" t="s">
        <v>2648</v>
      </c>
      <c r="O656" s="44" t="s">
        <v>475</v>
      </c>
      <c r="P656" s="44" t="s">
        <v>268</v>
      </c>
      <c r="Q656" s="44" t="s">
        <v>268</v>
      </c>
      <c r="R656" s="44" t="s">
        <v>2649</v>
      </c>
      <c r="S656" s="24" t="s">
        <v>601</v>
      </c>
      <c r="T656" s="3" t="s">
        <v>103</v>
      </c>
      <c r="U656" s="55">
        <v>46066</v>
      </c>
      <c r="V656" s="55">
        <v>46066</v>
      </c>
    </row>
    <row r="657" spans="1:45" ht="14.45">
      <c r="A657" s="24" t="s">
        <v>126</v>
      </c>
      <c r="B657" s="24" t="s">
        <v>340</v>
      </c>
      <c r="C657" s="84" t="str">
        <f>IF(ISBLANK(B657),"",_xlfn.XLOOKUP(B657,Recruiter!A:A,Recruiter!B:B))</f>
        <v>Harshitha</v>
      </c>
      <c r="D657" s="84" t="str">
        <f>IF(ISBLANK(A657),"",_xlfn.XLOOKUP(A657,'Requirement Overview'!C:C,'Requirement Overview'!E:E))</f>
        <v>Talme</v>
      </c>
      <c r="E657" s="84" t="str">
        <f>IF(ISBLANK(A657),"",_xlfn.XLOOKUP(A657,'Requirement Overview'!C:C,'Requirement Overview'!H:H))</f>
        <v>IT</v>
      </c>
      <c r="F657" s="19" t="str">
        <f>IF(ISBLANK(A657),"",_xlfn.XLOOKUP(A657,'Requirement Overview'!C:C,'Requirement Overview'!I:I))</f>
        <v>Full Stack Developer</v>
      </c>
      <c r="G657" s="58" t="str">
        <f>IF(ISBLANK(A657),"",_xlfn.XLOOKUP(A657,'Requirement Overview'!C:C,'Requirement Overview'!G:G))</f>
        <v>Thoughtfocus</v>
      </c>
      <c r="H657" s="276" t="s">
        <v>2738</v>
      </c>
      <c r="I657" s="3" t="s">
        <v>519</v>
      </c>
      <c r="J657" s="257" t="s">
        <v>2739</v>
      </c>
      <c r="K657" s="259">
        <v>7003503689</v>
      </c>
      <c r="L657" s="3" t="s">
        <v>2740</v>
      </c>
      <c r="M657" s="3" t="s">
        <v>558</v>
      </c>
      <c r="N657" s="126" t="s">
        <v>2741</v>
      </c>
      <c r="O657" s="3" t="s">
        <v>554</v>
      </c>
      <c r="P657" s="3" t="s">
        <v>268</v>
      </c>
      <c r="Q657" s="3" t="s">
        <v>268</v>
      </c>
      <c r="R657" s="3" t="s">
        <v>2742</v>
      </c>
      <c r="S657" s="24" t="s">
        <v>601</v>
      </c>
      <c r="T657" s="3" t="s">
        <v>103</v>
      </c>
      <c r="U657" s="55">
        <v>46066</v>
      </c>
      <c r="V657" s="55">
        <v>46066</v>
      </c>
    </row>
    <row r="658" spans="1:45" ht="14.45">
      <c r="A658" s="24" t="s">
        <v>127</v>
      </c>
      <c r="B658" s="24" t="s">
        <v>340</v>
      </c>
      <c r="C658" s="84" t="str">
        <f>IF(ISBLANK(B658),"",_xlfn.XLOOKUP(B658,Recruiter!A:A,Recruiter!B:B))</f>
        <v>Harshitha</v>
      </c>
      <c r="D658" s="84" t="str">
        <f>IF(ISBLANK(A658),"",_xlfn.XLOOKUP(A658,'Requirement Overview'!C:C,'Requirement Overview'!E:E))</f>
        <v>Talme</v>
      </c>
      <c r="E658" s="84" t="str">
        <f>IF(ISBLANK(A658),"",_xlfn.XLOOKUP(A658,'Requirement Overview'!C:C,'Requirement Overview'!H:H))</f>
        <v>IT</v>
      </c>
      <c r="F658" s="19" t="str">
        <f>IF(ISBLANK(A658),"",_xlfn.XLOOKUP(A658,'Requirement Overview'!C:C,'Requirement Overview'!I:I))</f>
        <v>Backend developer</v>
      </c>
      <c r="G658" s="58" t="str">
        <f>IF(ISBLANK(A658),"",_xlfn.XLOOKUP(A658,'Requirement Overview'!C:C,'Requirement Overview'!G:G))</f>
        <v>Thoughtfocus</v>
      </c>
      <c r="H658" s="276" t="s">
        <v>2743</v>
      </c>
      <c r="I658" s="44" t="s">
        <v>519</v>
      </c>
      <c r="J658" s="260" t="s">
        <v>2744</v>
      </c>
      <c r="K658" s="261">
        <v>8709018368</v>
      </c>
      <c r="L658" s="44" t="s">
        <v>2745</v>
      </c>
      <c r="M658" s="44" t="s">
        <v>379</v>
      </c>
      <c r="N658" s="126" t="s">
        <v>2746</v>
      </c>
      <c r="O658" s="44" t="s">
        <v>450</v>
      </c>
      <c r="P658" s="44" t="s">
        <v>268</v>
      </c>
      <c r="Q658" s="44" t="s">
        <v>268</v>
      </c>
      <c r="R658" s="44" t="s">
        <v>455</v>
      </c>
      <c r="S658" s="24" t="s">
        <v>601</v>
      </c>
      <c r="T658" s="3" t="s">
        <v>103</v>
      </c>
      <c r="U658" s="55">
        <v>46066</v>
      </c>
      <c r="V658" s="55">
        <v>46066</v>
      </c>
    </row>
    <row r="659" spans="1:45" ht="14.45">
      <c r="A659" s="24" t="s">
        <v>127</v>
      </c>
      <c r="B659" s="24" t="s">
        <v>340</v>
      </c>
      <c r="C659" s="84" t="str">
        <f>IF(ISBLANK(B659),"",_xlfn.XLOOKUP(B659,Recruiter!A:A,Recruiter!B:B))</f>
        <v>Harshitha</v>
      </c>
      <c r="D659" s="84" t="str">
        <f>IF(ISBLANK(A659),"",_xlfn.XLOOKUP(A659,'Requirement Overview'!C:C,'Requirement Overview'!E:E))</f>
        <v>Talme</v>
      </c>
      <c r="E659" s="84" t="str">
        <f>IF(ISBLANK(A659),"",_xlfn.XLOOKUP(A659,'Requirement Overview'!C:C,'Requirement Overview'!H:H))</f>
        <v>IT</v>
      </c>
      <c r="F659" s="19" t="str">
        <f>IF(ISBLANK(A659),"",_xlfn.XLOOKUP(A659,'Requirement Overview'!C:C,'Requirement Overview'!I:I))</f>
        <v>Backend developer</v>
      </c>
      <c r="G659" s="58" t="str">
        <f>IF(ISBLANK(A659),"",_xlfn.XLOOKUP(A659,'Requirement Overview'!C:C,'Requirement Overview'!G:G))</f>
        <v>Thoughtfocus</v>
      </c>
      <c r="H659" s="276" t="s">
        <v>2747</v>
      </c>
      <c r="I659" s="44" t="s">
        <v>519</v>
      </c>
      <c r="J659" s="278" t="s">
        <v>2748</v>
      </c>
      <c r="K659" s="261">
        <v>7420003624</v>
      </c>
      <c r="L659" s="260" t="s">
        <v>2749</v>
      </c>
      <c r="M659" s="44" t="s">
        <v>379</v>
      </c>
      <c r="N659" s="126" t="s">
        <v>2750</v>
      </c>
      <c r="O659" s="44" t="s">
        <v>455</v>
      </c>
      <c r="P659" s="44" t="s">
        <v>268</v>
      </c>
      <c r="Q659" s="44" t="s">
        <v>268</v>
      </c>
      <c r="R659" s="44" t="s">
        <v>2751</v>
      </c>
      <c r="S659" s="24" t="s">
        <v>601</v>
      </c>
      <c r="T659" s="3" t="s">
        <v>103</v>
      </c>
      <c r="U659" s="55">
        <v>46066</v>
      </c>
      <c r="V659" s="55">
        <v>46066</v>
      </c>
    </row>
    <row r="660" spans="1:45" ht="14.45">
      <c r="A660" s="24" t="s">
        <v>127</v>
      </c>
      <c r="B660" s="24" t="s">
        <v>340</v>
      </c>
      <c r="C660" s="84" t="str">
        <f>IF(ISBLANK(B660),"",_xlfn.XLOOKUP(B660,Recruiter!A:A,Recruiter!B:B))</f>
        <v>Harshitha</v>
      </c>
      <c r="D660" s="84" t="str">
        <f>IF(ISBLANK(A660),"",_xlfn.XLOOKUP(A660,'Requirement Overview'!C:C,'Requirement Overview'!E:E))</f>
        <v>Talme</v>
      </c>
      <c r="E660" s="84" t="str">
        <f>IF(ISBLANK(A660),"",_xlfn.XLOOKUP(A660,'Requirement Overview'!C:C,'Requirement Overview'!H:H))</f>
        <v>IT</v>
      </c>
      <c r="F660" s="19" t="str">
        <f>IF(ISBLANK(A660),"",_xlfn.XLOOKUP(A660,'Requirement Overview'!C:C,'Requirement Overview'!I:I))</f>
        <v>Backend developer</v>
      </c>
      <c r="G660" s="58" t="str">
        <f>IF(ISBLANK(A660),"",_xlfn.XLOOKUP(A660,'Requirement Overview'!C:C,'Requirement Overview'!G:G))</f>
        <v>Thoughtfocus</v>
      </c>
      <c r="H660" s="277" t="s">
        <v>2752</v>
      </c>
      <c r="I660" s="44" t="s">
        <v>519</v>
      </c>
      <c r="J660" s="2" t="s">
        <v>2753</v>
      </c>
      <c r="K660" s="44">
        <v>8840188012</v>
      </c>
      <c r="L660" s="44" t="s">
        <v>2754</v>
      </c>
      <c r="M660" s="44" t="s">
        <v>1284</v>
      </c>
      <c r="N660" s="44" t="s">
        <v>2755</v>
      </c>
      <c r="O660" s="44" t="s">
        <v>368</v>
      </c>
      <c r="P660" s="44" t="s">
        <v>569</v>
      </c>
      <c r="Q660" s="44" t="s">
        <v>268</v>
      </c>
      <c r="R660" s="44" t="s">
        <v>374</v>
      </c>
      <c r="S660" s="24" t="s">
        <v>601</v>
      </c>
      <c r="T660" s="3" t="s">
        <v>103</v>
      </c>
      <c r="U660" s="55">
        <v>46066</v>
      </c>
      <c r="V660" s="55">
        <v>46066</v>
      </c>
    </row>
    <row r="661" spans="1:45" ht="14.45">
      <c r="A661" s="51" t="s">
        <v>134</v>
      </c>
      <c r="B661" s="51" t="s">
        <v>520</v>
      </c>
      <c r="C661" s="88" t="str">
        <f>IF(ISBLANK(B661),"",_xlfn.XLOOKUP(B661,Recruiter!A:A,Recruiter!B:B))</f>
        <v>Narthana</v>
      </c>
      <c r="D661" s="88" t="str">
        <f>IF(ISBLANK(A661),"",_xlfn.XLOOKUP(A661,'Requirement Overview'!C:C,'Requirement Overview'!E:E))</f>
        <v>Talme</v>
      </c>
      <c r="E661" s="88" t="str">
        <f>IF(ISBLANK(A661),"",_xlfn.XLOOKUP(A661,'Requirement Overview'!C:C,'Requirement Overview'!H:H))</f>
        <v>Non - IT</v>
      </c>
      <c r="F661" s="73" t="str">
        <f>IF(ISBLANK(A661),"",_xlfn.XLOOKUP(A661,'Requirement Overview'!C:C,'Requirement Overview'!I:I))</f>
        <v>Sales officer</v>
      </c>
      <c r="G661" s="62" t="str">
        <f>IF(ISBLANK(A661),"",_xlfn.XLOOKUP(A661,'Requirement Overview'!C:C,'Requirement Overview'!G:G))</f>
        <v>Megha foods pvt ltd</v>
      </c>
      <c r="H661" s="51" t="s">
        <v>2756</v>
      </c>
      <c r="I661" s="108" t="s">
        <v>497</v>
      </c>
      <c r="J661" s="522" t="s">
        <v>2757</v>
      </c>
      <c r="K661" s="552">
        <v>9894087319</v>
      </c>
      <c r="L661" s="108" t="s">
        <v>311</v>
      </c>
      <c r="M661" s="51" t="s">
        <v>558</v>
      </c>
      <c r="N661" s="51" t="s">
        <v>2758</v>
      </c>
      <c r="O661" s="51" t="s">
        <v>2759</v>
      </c>
      <c r="P661" s="51" t="s">
        <v>1286</v>
      </c>
      <c r="Q661" s="51" t="s">
        <v>1286</v>
      </c>
      <c r="R661" s="51" t="s">
        <v>1072</v>
      </c>
      <c r="S661" s="51" t="s">
        <v>2760</v>
      </c>
      <c r="T661" s="50" t="s">
        <v>103</v>
      </c>
      <c r="U661" s="106">
        <v>46067</v>
      </c>
      <c r="V661" s="106">
        <v>46067</v>
      </c>
      <c r="W661" s="51"/>
      <c r="X661" s="51"/>
      <c r="Y661" s="51"/>
      <c r="Z661" s="51"/>
      <c r="AA661" s="51"/>
      <c r="AB661" s="51"/>
      <c r="AC661" s="51"/>
      <c r="AD661" s="51"/>
      <c r="AJ661" s="29">
        <v>46097</v>
      </c>
      <c r="AM661" s="29">
        <v>46097</v>
      </c>
      <c r="AN661" s="24" t="s">
        <v>2761</v>
      </c>
      <c r="AO661" s="29">
        <v>46097</v>
      </c>
      <c r="AP661" s="24" t="s">
        <v>2762</v>
      </c>
      <c r="AQ661" s="29">
        <v>46099</v>
      </c>
      <c r="AR661" s="24" t="s">
        <v>802</v>
      </c>
    </row>
    <row r="662" spans="1:45" ht="14.45">
      <c r="A662" s="702" t="s">
        <v>64</v>
      </c>
      <c r="B662" s="702" t="s">
        <v>258</v>
      </c>
      <c r="C662" s="487" t="str">
        <f>IF(ISBLANK(B662),"",_xlfn.XLOOKUP(B662,Recruiter!A:A,Recruiter!B:B))</f>
        <v>Bhoomika</v>
      </c>
      <c r="D662" s="487" t="str">
        <f>IF(ISBLANK(A662),"",_xlfn.XLOOKUP(A662,'Requirement Overview'!C:C,'Requirement Overview'!E:E))</f>
        <v>Talme</v>
      </c>
      <c r="E662" s="487" t="str">
        <f>IF(ISBLANK(A662),"",_xlfn.XLOOKUP(A662,'Requirement Overview'!C:C,'Requirement Overview'!H:H))</f>
        <v>Non - IT</v>
      </c>
      <c r="F662" s="476" t="str">
        <f>IF(ISBLANK(A662),"",_xlfn.XLOOKUP(A662,'Requirement Overview'!C:C,'Requirement Overview'!I:I))</f>
        <v>Sales Head</v>
      </c>
      <c r="G662" s="702" t="str">
        <f>IF(ISBLANK(A662),"",_xlfn.XLOOKUP(A662,'Requirement Overview'!C:C,'Requirement Overview'!G:G))</f>
        <v>Avinashi Ads</v>
      </c>
      <c r="H662" s="479" t="s">
        <v>2763</v>
      </c>
      <c r="I662" s="702" t="s">
        <v>316</v>
      </c>
      <c r="J662" s="478" t="s">
        <v>2764</v>
      </c>
      <c r="K662" s="702">
        <v>7019806329</v>
      </c>
      <c r="L662" s="702" t="s">
        <v>1024</v>
      </c>
      <c r="M662" s="702" t="s">
        <v>351</v>
      </c>
      <c r="N662" s="702" t="s">
        <v>2765</v>
      </c>
      <c r="O662" s="702" t="s">
        <v>540</v>
      </c>
      <c r="P662" s="702" t="s">
        <v>294</v>
      </c>
      <c r="Q662" s="702" t="s">
        <v>294</v>
      </c>
      <c r="R662" s="702" t="s">
        <v>623</v>
      </c>
      <c r="S662" s="702" t="s">
        <v>270</v>
      </c>
      <c r="T662" s="702" t="s">
        <v>103</v>
      </c>
      <c r="U662" s="703">
        <v>46069</v>
      </c>
      <c r="V662" s="703">
        <v>46069</v>
      </c>
      <c r="W662" s="702"/>
      <c r="X662" s="702"/>
      <c r="Y662" s="702"/>
      <c r="Z662" s="702"/>
      <c r="AA662" s="702"/>
      <c r="AB662" s="702"/>
      <c r="AC662" s="702"/>
      <c r="AD662" s="702"/>
      <c r="AE662" s="46"/>
    </row>
    <row r="663" spans="1:45" ht="14.45">
      <c r="A663" s="702" t="s">
        <v>64</v>
      </c>
      <c r="B663" s="702" t="s">
        <v>258</v>
      </c>
      <c r="C663" s="487" t="str">
        <f>IF(ISBLANK(B663),"",_xlfn.XLOOKUP(B663,Recruiter!A:A,Recruiter!B:B))</f>
        <v>Bhoomika</v>
      </c>
      <c r="D663" s="487" t="str">
        <f>IF(ISBLANK(A663),"",_xlfn.XLOOKUP(A663,'Requirement Overview'!C:C,'Requirement Overview'!E:E))</f>
        <v>Talme</v>
      </c>
      <c r="E663" s="487" t="str">
        <f>IF(ISBLANK(A663),"",_xlfn.XLOOKUP(A663,'Requirement Overview'!C:C,'Requirement Overview'!H:H))</f>
        <v>Non - IT</v>
      </c>
      <c r="F663" s="476" t="str">
        <f>IF(ISBLANK(A663),"",_xlfn.XLOOKUP(A663,'Requirement Overview'!C:C,'Requirement Overview'!I:I))</f>
        <v>Sales Head</v>
      </c>
      <c r="G663" s="702" t="str">
        <f>IF(ISBLANK(A663),"",_xlfn.XLOOKUP(A663,'Requirement Overview'!C:C,'Requirement Overview'!G:G))</f>
        <v>Avinashi Ads</v>
      </c>
      <c r="H663" s="713" t="s">
        <v>2766</v>
      </c>
      <c r="I663" s="702" t="s">
        <v>316</v>
      </c>
      <c r="J663" s="478" t="s">
        <v>2767</v>
      </c>
      <c r="K663" s="702">
        <v>8892886587</v>
      </c>
      <c r="L663" s="702" t="s">
        <v>311</v>
      </c>
      <c r="M663" s="702" t="s">
        <v>685</v>
      </c>
      <c r="N663" s="702" t="s">
        <v>2768</v>
      </c>
      <c r="O663" s="702" t="s">
        <v>2769</v>
      </c>
      <c r="P663" s="702" t="s">
        <v>294</v>
      </c>
      <c r="Q663" s="702" t="s">
        <v>294</v>
      </c>
      <c r="R663" s="706" t="s">
        <v>308</v>
      </c>
      <c r="S663" s="702" t="s">
        <v>270</v>
      </c>
      <c r="T663" s="702" t="s">
        <v>103</v>
      </c>
      <c r="U663" s="703">
        <v>46069</v>
      </c>
      <c r="V663" s="703">
        <v>46069</v>
      </c>
      <c r="W663" s="702"/>
      <c r="X663" s="702"/>
      <c r="Y663" s="702"/>
      <c r="Z663" s="702"/>
      <c r="AA663" s="702"/>
      <c r="AB663" s="702"/>
      <c r="AC663" s="702"/>
      <c r="AD663" s="702"/>
      <c r="AE663" s="46"/>
    </row>
    <row r="664" spans="1:45" ht="14.45">
      <c r="A664" s="702" t="s">
        <v>70</v>
      </c>
      <c r="B664" s="702" t="s">
        <v>258</v>
      </c>
      <c r="C664" s="487" t="str">
        <f>IF(ISBLANK(B664),"",_xlfn.XLOOKUP(B664,Recruiter!A:A,Recruiter!B:B))</f>
        <v>Bhoomika</v>
      </c>
      <c r="D664" s="487" t="str">
        <f>IF(ISBLANK(A664),"",_xlfn.XLOOKUP(A664,'Requirement Overview'!C:C,'Requirement Overview'!E:E))</f>
        <v>Talme</v>
      </c>
      <c r="E664" s="487" t="str">
        <f>IF(ISBLANK(A664),"",_xlfn.XLOOKUP(A664,'Requirement Overview'!C:C,'Requirement Overview'!H:H))</f>
        <v>Non - IT</v>
      </c>
      <c r="F664" s="476" t="str">
        <f>IF(ISBLANK(A664),"",_xlfn.XLOOKUP(A664,'Requirement Overview'!C:C,'Requirement Overview'!I:I))</f>
        <v>Key Accounts Manager</v>
      </c>
      <c r="G664" s="702" t="str">
        <f>IF(ISBLANK(A664),"",_xlfn.XLOOKUP(A664,'Requirement Overview'!C:C,'Requirement Overview'!G:G))</f>
        <v>Avinashi Ads</v>
      </c>
      <c r="H664" s="713" t="s">
        <v>2770</v>
      </c>
      <c r="I664" s="702" t="s">
        <v>316</v>
      </c>
      <c r="J664" s="478" t="s">
        <v>2771</v>
      </c>
      <c r="K664" s="702">
        <v>7411610096</v>
      </c>
      <c r="L664" s="702" t="s">
        <v>2563</v>
      </c>
      <c r="M664" s="702" t="s">
        <v>405</v>
      </c>
      <c r="N664" s="702" t="s">
        <v>2772</v>
      </c>
      <c r="O664" s="702" t="s">
        <v>540</v>
      </c>
      <c r="P664" s="702" t="s">
        <v>294</v>
      </c>
      <c r="Q664" s="702" t="s">
        <v>294</v>
      </c>
      <c r="R664" s="706" t="s">
        <v>308</v>
      </c>
      <c r="S664" s="702" t="s">
        <v>270</v>
      </c>
      <c r="T664" s="702" t="s">
        <v>103</v>
      </c>
      <c r="U664" s="703">
        <v>46069</v>
      </c>
      <c r="V664" s="703">
        <v>46069</v>
      </c>
      <c r="W664" s="702"/>
      <c r="X664" s="702"/>
      <c r="Y664" s="702"/>
      <c r="Z664" s="702"/>
      <c r="AA664" s="702"/>
      <c r="AB664" s="702"/>
      <c r="AC664" s="702"/>
      <c r="AD664" s="702"/>
      <c r="AE664" s="46"/>
    </row>
    <row r="665" spans="1:45" ht="14.45">
      <c r="A665" s="702" t="s">
        <v>70</v>
      </c>
      <c r="B665" s="702" t="s">
        <v>258</v>
      </c>
      <c r="C665" s="487" t="str">
        <f>IF(ISBLANK(B665),"",_xlfn.XLOOKUP(B665,Recruiter!A:A,Recruiter!B:B))</f>
        <v>Bhoomika</v>
      </c>
      <c r="D665" s="487" t="str">
        <f>IF(ISBLANK(A665),"",_xlfn.XLOOKUP(A665,'Requirement Overview'!C:C,'Requirement Overview'!E:E))</f>
        <v>Talme</v>
      </c>
      <c r="E665" s="487" t="str">
        <f>IF(ISBLANK(A665),"",_xlfn.XLOOKUP(A665,'Requirement Overview'!C:C,'Requirement Overview'!H:H))</f>
        <v>Non - IT</v>
      </c>
      <c r="F665" s="476" t="str">
        <f>IF(ISBLANK(A665),"",_xlfn.XLOOKUP(A665,'Requirement Overview'!C:C,'Requirement Overview'!I:I))</f>
        <v>Key Accounts Manager</v>
      </c>
      <c r="G665" s="702" t="str">
        <f>IF(ISBLANK(A665),"",_xlfn.XLOOKUP(A665,'Requirement Overview'!C:C,'Requirement Overview'!G:G))</f>
        <v>Avinashi Ads</v>
      </c>
      <c r="H665" s="713" t="s">
        <v>2773</v>
      </c>
      <c r="I665" s="702" t="s">
        <v>262</v>
      </c>
      <c r="J665" s="478" t="s">
        <v>2774</v>
      </c>
      <c r="K665" s="702">
        <v>9148105706</v>
      </c>
      <c r="L665" s="702" t="s">
        <v>290</v>
      </c>
      <c r="M665" s="702" t="s">
        <v>279</v>
      </c>
      <c r="N665" s="702" t="s">
        <v>2775</v>
      </c>
      <c r="O665" s="702" t="s">
        <v>1591</v>
      </c>
      <c r="P665" s="702" t="s">
        <v>294</v>
      </c>
      <c r="Q665" s="702" t="s">
        <v>294</v>
      </c>
      <c r="R665" s="706" t="s">
        <v>308</v>
      </c>
      <c r="S665" s="702" t="s">
        <v>270</v>
      </c>
      <c r="T665" s="702" t="s">
        <v>103</v>
      </c>
      <c r="U665" s="703">
        <v>46069</v>
      </c>
      <c r="V665" s="703">
        <v>46069</v>
      </c>
      <c r="W665" s="702"/>
      <c r="X665" s="702"/>
      <c r="Y665" s="702"/>
      <c r="Z665" s="702"/>
      <c r="AA665" s="702"/>
      <c r="AB665" s="702"/>
      <c r="AC665" s="702"/>
      <c r="AD665" s="702"/>
      <c r="AE665" s="46"/>
    </row>
    <row r="666" spans="1:45" ht="14.45">
      <c r="A666" s="47" t="s">
        <v>118</v>
      </c>
      <c r="B666" s="47" t="s">
        <v>520</v>
      </c>
      <c r="C666" s="129" t="str">
        <f>IF(ISBLANK(B666),"",_xlfn.XLOOKUP(B666,Recruiter!A:A,Recruiter!B:B))</f>
        <v>Narthana</v>
      </c>
      <c r="D666" s="129" t="str">
        <f>IF(ISBLANK(A666),"",_xlfn.XLOOKUP(A666,'Requirement Overview'!C:C,'Requirement Overview'!E:E))</f>
        <v>Talme</v>
      </c>
      <c r="E666" s="129" t="str">
        <f>IF(ISBLANK(A666),"",_xlfn.XLOOKUP(A666,'Requirement Overview'!C:C,'Requirement Overview'!H:H))</f>
        <v>IT</v>
      </c>
      <c r="F666" s="80" t="str">
        <f>IF(ISBLANK(A666),"",_xlfn.XLOOKUP(A666,'Requirement Overview'!C:C,'Requirement Overview'!I:I))</f>
        <v>Java Lead Analyst</v>
      </c>
      <c r="G666" s="255" t="str">
        <f>IF(ISBLANK(A666),"",_xlfn.XLOOKUP(A666,'Requirement Overview'!C:C,'Requirement Overview'!G:G))</f>
        <v>Thoughtfocus</v>
      </c>
      <c r="H666" s="47" t="s">
        <v>2776</v>
      </c>
      <c r="I666" s="184" t="s">
        <v>2777</v>
      </c>
      <c r="J666" s="375" t="s">
        <v>2778</v>
      </c>
      <c r="K666" s="47">
        <v>9552163438</v>
      </c>
      <c r="L666" s="184" t="s">
        <v>378</v>
      </c>
      <c r="M666" s="47" t="s">
        <v>405</v>
      </c>
      <c r="N666" s="47" t="s">
        <v>2779</v>
      </c>
      <c r="O666" s="47" t="s">
        <v>368</v>
      </c>
      <c r="P666" s="47" t="s">
        <v>569</v>
      </c>
      <c r="Q666" s="47" t="s">
        <v>1557</v>
      </c>
      <c r="R666" s="47" t="s">
        <v>1302</v>
      </c>
      <c r="S666" s="47" t="s">
        <v>601</v>
      </c>
      <c r="T666" s="5" t="s">
        <v>103</v>
      </c>
      <c r="U666" s="118">
        <v>46069</v>
      </c>
      <c r="V666" s="118">
        <v>46069</v>
      </c>
      <c r="W666" s="47"/>
      <c r="X666" s="47"/>
      <c r="Y666" s="47"/>
      <c r="Z666" s="47"/>
      <c r="AA666" s="47"/>
      <c r="AB666" s="47"/>
      <c r="AC666" s="47"/>
      <c r="AD666" s="47"/>
    </row>
    <row r="667" spans="1:45" thickBot="1">
      <c r="A667" s="24" t="s">
        <v>131</v>
      </c>
      <c r="B667" s="24" t="s">
        <v>520</v>
      </c>
      <c r="C667" s="84" t="str">
        <f>IF(ISBLANK(B667),"",_xlfn.XLOOKUP(B667,Recruiter!A:A,Recruiter!B:B))</f>
        <v>Narthana</v>
      </c>
      <c r="D667" s="84" t="str">
        <f>IF(ISBLANK(A667),"",_xlfn.XLOOKUP(A667,'Requirement Overview'!C:C,'Requirement Overview'!E:E))</f>
        <v>Talme</v>
      </c>
      <c r="E667" s="84" t="str">
        <f>IF(ISBLANK(A667),"",_xlfn.XLOOKUP(A667,'Requirement Overview'!C:C,'Requirement Overview'!H:H))</f>
        <v>IT</v>
      </c>
      <c r="F667" s="19" t="str">
        <f>IF(ISBLANK(A667),"",_xlfn.XLOOKUP(A667,'Requirement Overview'!C:C,'Requirement Overview'!I:I))</f>
        <v>Technical Lead</v>
      </c>
      <c r="G667" s="58" t="str">
        <f>IF(ISBLANK(A667),"",_xlfn.XLOOKUP(A667,'Requirement Overview'!C:C,'Requirement Overview'!G:G))</f>
        <v>Anika Solutions</v>
      </c>
      <c r="H667" s="52" t="s">
        <v>2780</v>
      </c>
      <c r="I667" s="270" t="s">
        <v>262</v>
      </c>
      <c r="J667" s="52" t="s">
        <v>2781</v>
      </c>
      <c r="K667" s="52">
        <v>8884295533</v>
      </c>
      <c r="L667" s="113" t="s">
        <v>378</v>
      </c>
      <c r="M667" s="113" t="s">
        <v>2782</v>
      </c>
      <c r="N667" s="52" t="s">
        <v>2783</v>
      </c>
      <c r="O667" s="24" t="s">
        <v>489</v>
      </c>
      <c r="P667" s="113" t="s">
        <v>268</v>
      </c>
      <c r="Q667" s="113" t="s">
        <v>268</v>
      </c>
      <c r="R667" s="24" t="s">
        <v>2784</v>
      </c>
      <c r="S667" s="24" t="s">
        <v>375</v>
      </c>
      <c r="T667" s="3" t="s">
        <v>103</v>
      </c>
      <c r="U667" s="29">
        <v>46069</v>
      </c>
      <c r="V667" s="29">
        <v>46069</v>
      </c>
      <c r="X667" s="29"/>
    </row>
    <row r="668" spans="1:45" s="413" customFormat="1" thickBot="1">
      <c r="A668" s="413" t="s">
        <v>131</v>
      </c>
      <c r="B668" s="413" t="s">
        <v>520</v>
      </c>
      <c r="C668" s="414" t="str">
        <f>IF(ISBLANK(B668),"",_xlfn.XLOOKUP(B668,Recruiter!A:A,Recruiter!B:B))</f>
        <v>Narthana</v>
      </c>
      <c r="D668" s="414" t="str">
        <f>IF(ISBLANK(A668),"",_xlfn.XLOOKUP(A668,'Requirement Overview'!C:C,'Requirement Overview'!E:E))</f>
        <v>Talme</v>
      </c>
      <c r="E668" s="414" t="str">
        <f>IF(ISBLANK(A668),"",_xlfn.XLOOKUP(A668,'Requirement Overview'!C:C,'Requirement Overview'!H:H))</f>
        <v>IT</v>
      </c>
      <c r="F668" s="415" t="str">
        <f>IF(ISBLANK(A668),"",_xlfn.XLOOKUP(A668,'Requirement Overview'!C:C,'Requirement Overview'!I:I))</f>
        <v>Technical Lead</v>
      </c>
      <c r="G668" s="416" t="str">
        <f>IF(ISBLANK(A668),"",_xlfn.XLOOKUP(A668,'Requirement Overview'!C:C,'Requirement Overview'!G:G))</f>
        <v>Anika Solutions</v>
      </c>
      <c r="H668" s="417" t="s">
        <v>2785</v>
      </c>
      <c r="I668" s="418" t="s">
        <v>1403</v>
      </c>
      <c r="J668" s="419" t="s">
        <v>2786</v>
      </c>
      <c r="K668" s="417">
        <v>9893055013</v>
      </c>
      <c r="L668" s="417" t="s">
        <v>378</v>
      </c>
      <c r="M668" s="417" t="s">
        <v>1852</v>
      </c>
      <c r="N668" s="417" t="s">
        <v>2787</v>
      </c>
      <c r="O668" s="413" t="s">
        <v>1302</v>
      </c>
      <c r="P668" s="417" t="s">
        <v>268</v>
      </c>
      <c r="Q668" s="417" t="s">
        <v>268</v>
      </c>
      <c r="R668" s="413" t="s">
        <v>1653</v>
      </c>
      <c r="S668" s="413" t="s">
        <v>375</v>
      </c>
      <c r="T668" s="18" t="s">
        <v>103</v>
      </c>
      <c r="U668" s="420">
        <v>46069</v>
      </c>
      <c r="V668" s="420">
        <v>46069</v>
      </c>
      <c r="X668" s="420"/>
      <c r="AL668" s="415"/>
      <c r="AM668" s="415"/>
      <c r="AS668" s="415"/>
    </row>
    <row r="669" spans="1:45" ht="14.45">
      <c r="A669" s="24" t="s">
        <v>131</v>
      </c>
      <c r="B669" s="24" t="s">
        <v>520</v>
      </c>
      <c r="C669" s="84" t="str">
        <f>IF(ISBLANK(B669),"",_xlfn.XLOOKUP(B669,Recruiter!A:A,Recruiter!B:B))</f>
        <v>Narthana</v>
      </c>
      <c r="D669" s="84" t="str">
        <f>IF(ISBLANK(A669),"",_xlfn.XLOOKUP(A669,'Requirement Overview'!C:C,'Requirement Overview'!E:E))</f>
        <v>Talme</v>
      </c>
      <c r="E669" s="84" t="str">
        <f>IF(ISBLANK(A669),"",_xlfn.XLOOKUP(A669,'Requirement Overview'!C:C,'Requirement Overview'!H:H))</f>
        <v>IT</v>
      </c>
      <c r="F669" s="19" t="str">
        <f>IF(ISBLANK(A669),"",_xlfn.XLOOKUP(A669,'Requirement Overview'!C:C,'Requirement Overview'!I:I))</f>
        <v>Technical Lead</v>
      </c>
      <c r="G669" s="58" t="str">
        <f>IF(ISBLANK(A669),"",_xlfn.XLOOKUP(A669,'Requirement Overview'!C:C,'Requirement Overview'!G:G))</f>
        <v>Anika Solutions</v>
      </c>
      <c r="H669" s="52" t="s">
        <v>2788</v>
      </c>
      <c r="I669" s="3" t="s">
        <v>2789</v>
      </c>
      <c r="J669" s="52" t="s">
        <v>2790</v>
      </c>
      <c r="K669" s="52">
        <v>9840285828</v>
      </c>
      <c r="L669" s="113" t="s">
        <v>378</v>
      </c>
      <c r="M669" s="113" t="s">
        <v>2791</v>
      </c>
      <c r="N669" s="52" t="s">
        <v>2792</v>
      </c>
      <c r="O669" s="24" t="s">
        <v>633</v>
      </c>
      <c r="P669" s="52" t="s">
        <v>1286</v>
      </c>
      <c r="Q669" s="52" t="s">
        <v>268</v>
      </c>
      <c r="R669" s="24" t="s">
        <v>455</v>
      </c>
      <c r="S669" s="24" t="s">
        <v>375</v>
      </c>
      <c r="T669" s="3" t="s">
        <v>103</v>
      </c>
      <c r="U669" s="29">
        <v>46069</v>
      </c>
      <c r="V669" s="29">
        <v>46069</v>
      </c>
      <c r="X669" s="29">
        <v>46080</v>
      </c>
    </row>
    <row r="670" spans="1:45" ht="14.45">
      <c r="A670" s="24" t="s">
        <v>127</v>
      </c>
      <c r="B670" s="24" t="s">
        <v>340</v>
      </c>
      <c r="C670" s="84" t="str">
        <f>IF(ISBLANK(B670),"",_xlfn.XLOOKUP(B670,Recruiter!A:A,Recruiter!B:B))</f>
        <v>Harshitha</v>
      </c>
      <c r="D670" s="84" t="str">
        <f>IF(ISBLANK(A670),"",_xlfn.XLOOKUP(A670,'Requirement Overview'!C:C,'Requirement Overview'!E:E))</f>
        <v>Talme</v>
      </c>
      <c r="E670" s="84" t="str">
        <f>IF(ISBLANK(A670),"",_xlfn.XLOOKUP(A670,'Requirement Overview'!C:C,'Requirement Overview'!H:H))</f>
        <v>IT</v>
      </c>
      <c r="F670" s="19" t="str">
        <f>IF(ISBLANK(A670),"",_xlfn.XLOOKUP(A670,'Requirement Overview'!C:C,'Requirement Overview'!I:I))</f>
        <v>Backend developer</v>
      </c>
      <c r="G670" s="58" t="str">
        <f>IF(ISBLANK(A670),"",_xlfn.XLOOKUP(A670,'Requirement Overview'!C:C,'Requirement Overview'!G:G))</f>
        <v>Thoughtfocus</v>
      </c>
      <c r="H670" s="259" t="s">
        <v>2793</v>
      </c>
      <c r="I670" s="3" t="s">
        <v>2794</v>
      </c>
      <c r="J670" s="285" t="s">
        <v>2795</v>
      </c>
      <c r="K670" s="259">
        <v>9341944092</v>
      </c>
      <c r="L670" s="260" t="s">
        <v>2796</v>
      </c>
      <c r="M670" s="3" t="s">
        <v>1230</v>
      </c>
      <c r="N670" s="126" t="s">
        <v>2797</v>
      </c>
      <c r="O670" s="3" t="s">
        <v>407</v>
      </c>
      <c r="P670" s="3" t="s">
        <v>268</v>
      </c>
      <c r="Q670" s="3" t="s">
        <v>268</v>
      </c>
      <c r="R670" s="3" t="s">
        <v>374</v>
      </c>
      <c r="S670" s="24" t="s">
        <v>601</v>
      </c>
      <c r="T670" s="3" t="s">
        <v>103</v>
      </c>
      <c r="U670" s="29">
        <v>46038</v>
      </c>
      <c r="V670" s="29">
        <v>46038</v>
      </c>
    </row>
    <row r="671" spans="1:45" ht="14.45">
      <c r="A671" s="24" t="s">
        <v>127</v>
      </c>
      <c r="B671" s="24" t="s">
        <v>340</v>
      </c>
      <c r="C671" s="84" t="str">
        <f>IF(ISBLANK(B671),"",_xlfn.XLOOKUP(B671,Recruiter!A:A,Recruiter!B:B))</f>
        <v>Harshitha</v>
      </c>
      <c r="D671" s="84" t="str">
        <f>IF(ISBLANK(A671),"",_xlfn.XLOOKUP(A671,'Requirement Overview'!C:C,'Requirement Overview'!E:E))</f>
        <v>Talme</v>
      </c>
      <c r="E671" s="84" t="str">
        <f>IF(ISBLANK(A671),"",_xlfn.XLOOKUP(A671,'Requirement Overview'!C:C,'Requirement Overview'!H:H))</f>
        <v>IT</v>
      </c>
      <c r="F671" s="19" t="str">
        <f>IF(ISBLANK(A671),"",_xlfn.XLOOKUP(A671,'Requirement Overview'!C:C,'Requirement Overview'!I:I))</f>
        <v>Backend developer</v>
      </c>
      <c r="G671" s="58" t="str">
        <f>IF(ISBLANK(A671),"",_xlfn.XLOOKUP(A671,'Requirement Overview'!C:C,'Requirement Overview'!G:G))</f>
        <v>Thoughtfocus</v>
      </c>
      <c r="H671" s="277" t="s">
        <v>2752</v>
      </c>
      <c r="I671" s="44" t="s">
        <v>519</v>
      </c>
      <c r="J671" s="3" t="s">
        <v>2753</v>
      </c>
      <c r="K671" s="44">
        <v>8840188012</v>
      </c>
      <c r="L671" s="44" t="s">
        <v>2754</v>
      </c>
      <c r="M671" s="44" t="s">
        <v>1284</v>
      </c>
      <c r="N671" s="44" t="s">
        <v>2755</v>
      </c>
      <c r="O671" s="44" t="s">
        <v>368</v>
      </c>
      <c r="P671" s="44" t="s">
        <v>569</v>
      </c>
      <c r="Q671" s="44" t="s">
        <v>268</v>
      </c>
      <c r="R671" s="44" t="s">
        <v>374</v>
      </c>
      <c r="S671" s="24" t="s">
        <v>601</v>
      </c>
      <c r="T671" s="24" t="s">
        <v>103</v>
      </c>
      <c r="U671" s="29">
        <v>46069</v>
      </c>
      <c r="V671" s="29">
        <v>46069</v>
      </c>
    </row>
    <row r="672" spans="1:45" ht="14.45">
      <c r="A672" s="24" t="s">
        <v>129</v>
      </c>
      <c r="B672" s="24" t="s">
        <v>340</v>
      </c>
      <c r="C672" s="84" t="str">
        <f>IF(ISBLANK(B672),"",_xlfn.XLOOKUP(B672,Recruiter!A:A,Recruiter!B:B))</f>
        <v>Harshitha</v>
      </c>
      <c r="D672" s="84" t="str">
        <f>IF(ISBLANK(A672),"",_xlfn.XLOOKUP(A672,'Requirement Overview'!C:C,'Requirement Overview'!E:E))</f>
        <v>Talme</v>
      </c>
      <c r="E672" s="84" t="str">
        <f>IF(ISBLANK(A672),"",_xlfn.XLOOKUP(A672,'Requirement Overview'!C:C,'Requirement Overview'!H:H))</f>
        <v>IT</v>
      </c>
      <c r="F672" s="19" t="str">
        <f>IF(ISBLANK(A672),"",_xlfn.XLOOKUP(A672,'Requirement Overview'!C:C,'Requirement Overview'!I:I))</f>
        <v>Front end developer</v>
      </c>
      <c r="G672" s="58" t="str">
        <f>IF(ISBLANK(A672),"",_xlfn.XLOOKUP(A672,'Requirement Overview'!C:C,'Requirement Overview'!G:G))</f>
        <v>Thoughtfocus</v>
      </c>
      <c r="H672" s="276" t="s">
        <v>2798</v>
      </c>
      <c r="I672" s="3" t="s">
        <v>519</v>
      </c>
      <c r="J672" s="286" t="s">
        <v>2799</v>
      </c>
      <c r="K672" s="294">
        <v>9035182191</v>
      </c>
      <c r="L672" s="3" t="s">
        <v>2800</v>
      </c>
      <c r="M672" s="3" t="s">
        <v>395</v>
      </c>
      <c r="N672" s="126" t="s">
        <v>779</v>
      </c>
      <c r="O672" s="3" t="s">
        <v>589</v>
      </c>
      <c r="P672" s="3" t="s">
        <v>268</v>
      </c>
      <c r="Q672" s="3" t="s">
        <v>268</v>
      </c>
      <c r="R672" s="3" t="s">
        <v>1302</v>
      </c>
      <c r="S672" s="24" t="s">
        <v>601</v>
      </c>
      <c r="T672" s="24" t="s">
        <v>103</v>
      </c>
      <c r="U672" s="29">
        <v>46069</v>
      </c>
      <c r="V672" s="29">
        <v>46069</v>
      </c>
    </row>
    <row r="673" spans="1:31" ht="14.45">
      <c r="A673" s="24" t="s">
        <v>129</v>
      </c>
      <c r="B673" s="24" t="s">
        <v>340</v>
      </c>
      <c r="C673" s="84" t="str">
        <f>IF(ISBLANK(B673),"",_xlfn.XLOOKUP(B673,Recruiter!A:A,Recruiter!B:B))</f>
        <v>Harshitha</v>
      </c>
      <c r="D673" s="84" t="str">
        <f>IF(ISBLANK(A673),"",_xlfn.XLOOKUP(A673,'Requirement Overview'!C:C,'Requirement Overview'!E:E))</f>
        <v>Talme</v>
      </c>
      <c r="E673" s="84" t="str">
        <f>IF(ISBLANK(A673),"",_xlfn.XLOOKUP(A673,'Requirement Overview'!C:C,'Requirement Overview'!H:H))</f>
        <v>IT</v>
      </c>
      <c r="F673" s="19" t="str">
        <f>IF(ISBLANK(A673),"",_xlfn.XLOOKUP(A673,'Requirement Overview'!C:C,'Requirement Overview'!I:I))</f>
        <v>Front end developer</v>
      </c>
      <c r="G673" s="58" t="str">
        <f>IF(ISBLANK(A673),"",_xlfn.XLOOKUP(A673,'Requirement Overview'!C:C,'Requirement Overview'!G:G))</f>
        <v>Thoughtfocus</v>
      </c>
      <c r="H673" s="276" t="s">
        <v>2801</v>
      </c>
      <c r="I673" s="3" t="s">
        <v>519</v>
      </c>
      <c r="J673" s="286" t="s">
        <v>2802</v>
      </c>
      <c r="K673" s="294">
        <v>9008462004</v>
      </c>
      <c r="L673" s="3" t="s">
        <v>2803</v>
      </c>
      <c r="M673" s="3" t="s">
        <v>665</v>
      </c>
      <c r="N673" s="126" t="s">
        <v>2804</v>
      </c>
      <c r="O673" s="3" t="s">
        <v>2805</v>
      </c>
      <c r="P673" s="3" t="s">
        <v>268</v>
      </c>
      <c r="Q673" s="3" t="s">
        <v>268</v>
      </c>
      <c r="R673" s="3" t="s">
        <v>548</v>
      </c>
      <c r="S673" s="24" t="s">
        <v>601</v>
      </c>
      <c r="T673" s="24" t="s">
        <v>103</v>
      </c>
      <c r="U673" s="29">
        <v>46069</v>
      </c>
      <c r="V673" s="29">
        <v>46069</v>
      </c>
    </row>
    <row r="674" spans="1:31" ht="14.45">
      <c r="A674" s="51" t="s">
        <v>129</v>
      </c>
      <c r="B674" s="51" t="s">
        <v>340</v>
      </c>
      <c r="C674" s="88" t="str">
        <f>IF(ISBLANK(B674),"",_xlfn.XLOOKUP(B674,Recruiter!A:A,Recruiter!B:B))</f>
        <v>Harshitha</v>
      </c>
      <c r="D674" s="88" t="str">
        <f>IF(ISBLANK(A674),"",_xlfn.XLOOKUP(A674,'Requirement Overview'!C:C,'Requirement Overview'!E:E))</f>
        <v>Talme</v>
      </c>
      <c r="E674" s="88" t="str">
        <f>IF(ISBLANK(A674),"",_xlfn.XLOOKUP(A674,'Requirement Overview'!C:C,'Requirement Overview'!H:H))</f>
        <v>IT</v>
      </c>
      <c r="F674" s="73" t="str">
        <f>IF(ISBLANK(A674),"",_xlfn.XLOOKUP(A674,'Requirement Overview'!C:C,'Requirement Overview'!I:I))</f>
        <v>Front end developer</v>
      </c>
      <c r="G674" s="62" t="str">
        <f>IF(ISBLANK(A674),"",_xlfn.XLOOKUP(A674,'Requirement Overview'!C:C,'Requirement Overview'!G:G))</f>
        <v>Thoughtfocus</v>
      </c>
      <c r="H674" s="342" t="s">
        <v>2806</v>
      </c>
      <c r="I674" s="50" t="s">
        <v>2465</v>
      </c>
      <c r="J674" s="394" t="s">
        <v>2807</v>
      </c>
      <c r="K674" s="553">
        <v>8124447849</v>
      </c>
      <c r="L674" s="127" t="s">
        <v>2808</v>
      </c>
      <c r="M674" s="50" t="s">
        <v>2809</v>
      </c>
      <c r="N674" s="50" t="s">
        <v>400</v>
      </c>
      <c r="O674" s="50" t="s">
        <v>757</v>
      </c>
      <c r="P674" s="50" t="s">
        <v>268</v>
      </c>
      <c r="Q674" s="50" t="s">
        <v>268</v>
      </c>
      <c r="R674" s="50" t="s">
        <v>1145</v>
      </c>
      <c r="S674" s="51" t="s">
        <v>601</v>
      </c>
      <c r="T674" s="51" t="s">
        <v>103</v>
      </c>
      <c r="U674" s="89">
        <v>46069</v>
      </c>
      <c r="V674" s="89">
        <v>46069</v>
      </c>
      <c r="W674" s="51"/>
      <c r="X674" s="51"/>
      <c r="Y674" s="51"/>
      <c r="Z674" s="51"/>
      <c r="AA674" s="51"/>
      <c r="AB674" s="51"/>
      <c r="AC674" s="51"/>
      <c r="AD674" s="51"/>
    </row>
    <row r="675" spans="1:31" ht="14.45">
      <c r="A675" s="702" t="s">
        <v>64</v>
      </c>
      <c r="B675" s="702" t="s">
        <v>258</v>
      </c>
      <c r="C675" s="487" t="str">
        <f>IF(ISBLANK(B675),"",_xlfn.XLOOKUP(B675,Recruiter!A:A,Recruiter!B:B))</f>
        <v>Bhoomika</v>
      </c>
      <c r="D675" s="487" t="str">
        <f>IF(ISBLANK(A675),"",_xlfn.XLOOKUP(A675,'Requirement Overview'!C:C,'Requirement Overview'!E:E))</f>
        <v>Talme</v>
      </c>
      <c r="E675" s="487" t="str">
        <f>IF(ISBLANK(A675),"",_xlfn.XLOOKUP(A675,'Requirement Overview'!C:C,'Requirement Overview'!H:H))</f>
        <v>Non - IT</v>
      </c>
      <c r="F675" s="476" t="str">
        <f>IF(ISBLANK(A675),"",_xlfn.XLOOKUP(A675,'Requirement Overview'!C:C,'Requirement Overview'!I:I))</f>
        <v>Sales Head</v>
      </c>
      <c r="G675" s="702" t="str">
        <f>IF(ISBLANK(A675),"",_xlfn.XLOOKUP(A675,'Requirement Overview'!C:C,'Requirement Overview'!G:G))</f>
        <v>Avinashi Ads</v>
      </c>
      <c r="H675" s="480" t="s">
        <v>2810</v>
      </c>
      <c r="I675" s="702" t="s">
        <v>316</v>
      </c>
      <c r="J675" s="478" t="s">
        <v>2811</v>
      </c>
      <c r="K675" s="702">
        <v>7899469741</v>
      </c>
      <c r="L675" s="702" t="s">
        <v>311</v>
      </c>
      <c r="M675" s="702" t="s">
        <v>788</v>
      </c>
      <c r="N675" s="702" t="s">
        <v>2812</v>
      </c>
      <c r="O675" s="702" t="s">
        <v>439</v>
      </c>
      <c r="P675" s="702" t="s">
        <v>294</v>
      </c>
      <c r="Q675" s="702" t="s">
        <v>294</v>
      </c>
      <c r="R675" s="706" t="s">
        <v>308</v>
      </c>
      <c r="S675" s="702" t="s">
        <v>270</v>
      </c>
      <c r="T675" s="702" t="s">
        <v>103</v>
      </c>
      <c r="U675" s="703">
        <v>46070</v>
      </c>
      <c r="V675" s="703">
        <v>46070</v>
      </c>
      <c r="W675" s="702"/>
      <c r="X675" s="702"/>
      <c r="Y675" s="702"/>
      <c r="Z675" s="702"/>
      <c r="AA675" s="702"/>
      <c r="AB675" s="702"/>
      <c r="AC675" s="702"/>
      <c r="AD675" s="702"/>
      <c r="AE675" s="46"/>
    </row>
    <row r="676" spans="1:31" ht="14.45">
      <c r="A676" s="702" t="s">
        <v>64</v>
      </c>
      <c r="B676" s="702" t="s">
        <v>258</v>
      </c>
      <c r="C676" s="487" t="str">
        <f>IF(ISBLANK(B676),"",_xlfn.XLOOKUP(B676,Recruiter!A:A,Recruiter!B:B))</f>
        <v>Bhoomika</v>
      </c>
      <c r="D676" s="487" t="str">
        <f>IF(ISBLANK(A676),"",_xlfn.XLOOKUP(A676,'Requirement Overview'!C:C,'Requirement Overview'!E:E))</f>
        <v>Talme</v>
      </c>
      <c r="E676" s="487" t="str">
        <f>IF(ISBLANK(A676),"",_xlfn.XLOOKUP(A676,'Requirement Overview'!C:C,'Requirement Overview'!H:H))</f>
        <v>Non - IT</v>
      </c>
      <c r="F676" s="476" t="str">
        <f>IF(ISBLANK(A676),"",_xlfn.XLOOKUP(A676,'Requirement Overview'!C:C,'Requirement Overview'!I:I))</f>
        <v>Sales Head</v>
      </c>
      <c r="G676" s="702" t="str">
        <f>IF(ISBLANK(A676),"",_xlfn.XLOOKUP(A676,'Requirement Overview'!C:C,'Requirement Overview'!G:G))</f>
        <v>Avinashi Ads</v>
      </c>
      <c r="H676" s="480" t="s">
        <v>2813</v>
      </c>
      <c r="I676" s="702" t="s">
        <v>303</v>
      </c>
      <c r="J676" s="478" t="s">
        <v>2814</v>
      </c>
      <c r="K676" s="702">
        <v>7975362173</v>
      </c>
      <c r="L676" s="702" t="s">
        <v>1034</v>
      </c>
      <c r="M676" s="702" t="s">
        <v>685</v>
      </c>
      <c r="N676" s="702" t="s">
        <v>2815</v>
      </c>
      <c r="O676" s="702" t="s">
        <v>429</v>
      </c>
      <c r="P676" s="702" t="s">
        <v>294</v>
      </c>
      <c r="Q676" s="702" t="s">
        <v>294</v>
      </c>
      <c r="R676" s="702" t="s">
        <v>368</v>
      </c>
      <c r="S676" s="702" t="s">
        <v>518</v>
      </c>
      <c r="T676" s="702" t="s">
        <v>103</v>
      </c>
      <c r="U676" s="703">
        <v>46070</v>
      </c>
      <c r="V676" s="703">
        <v>46070</v>
      </c>
      <c r="W676" s="702"/>
      <c r="X676" s="702"/>
      <c r="Y676" s="702"/>
      <c r="Z676" s="702"/>
      <c r="AA676" s="702"/>
      <c r="AB676" s="702"/>
      <c r="AC676" s="702"/>
      <c r="AD676" s="702"/>
      <c r="AE676" s="46"/>
    </row>
    <row r="677" spans="1:31" ht="14.45">
      <c r="A677" s="702" t="s">
        <v>64</v>
      </c>
      <c r="B677" s="702" t="s">
        <v>258</v>
      </c>
      <c r="C677" s="487" t="str">
        <f>IF(ISBLANK(B677),"",_xlfn.XLOOKUP(B677,Recruiter!A:A,Recruiter!B:B))</f>
        <v>Bhoomika</v>
      </c>
      <c r="D677" s="487" t="str">
        <f>IF(ISBLANK(A677),"",_xlfn.XLOOKUP(A677,'Requirement Overview'!C:C,'Requirement Overview'!E:E))</f>
        <v>Talme</v>
      </c>
      <c r="E677" s="487" t="str">
        <f>IF(ISBLANK(A677),"",_xlfn.XLOOKUP(A677,'Requirement Overview'!C:C,'Requirement Overview'!H:H))</f>
        <v>Non - IT</v>
      </c>
      <c r="F677" s="476" t="str">
        <f>IF(ISBLANK(A677),"",_xlfn.XLOOKUP(A677,'Requirement Overview'!C:C,'Requirement Overview'!I:I))</f>
        <v>Sales Head</v>
      </c>
      <c r="G677" s="702" t="str">
        <f>IF(ISBLANK(A677),"",_xlfn.XLOOKUP(A677,'Requirement Overview'!C:C,'Requirement Overview'!G:G))</f>
        <v>Avinashi Ads</v>
      </c>
      <c r="H677" s="480" t="s">
        <v>2816</v>
      </c>
      <c r="I677" s="702" t="s">
        <v>2817</v>
      </c>
      <c r="J677" s="478" t="s">
        <v>2818</v>
      </c>
      <c r="K677" s="702">
        <v>8431953298</v>
      </c>
      <c r="L677" s="702" t="s">
        <v>794</v>
      </c>
      <c r="M677" s="702" t="s">
        <v>558</v>
      </c>
      <c r="N677" s="702" t="s">
        <v>2819</v>
      </c>
      <c r="O677" s="702" t="s">
        <v>2820</v>
      </c>
      <c r="P677" s="702" t="s">
        <v>294</v>
      </c>
      <c r="Q677" s="702" t="s">
        <v>294</v>
      </c>
      <c r="R677" s="702" t="s">
        <v>540</v>
      </c>
      <c r="S677" s="702" t="s">
        <v>270</v>
      </c>
      <c r="T677" s="702" t="s">
        <v>103</v>
      </c>
      <c r="U677" s="703">
        <v>46070</v>
      </c>
      <c r="V677" s="703">
        <v>46070</v>
      </c>
      <c r="W677" s="702"/>
      <c r="X677" s="702"/>
      <c r="Y677" s="702"/>
      <c r="Z677" s="702"/>
      <c r="AA677" s="702"/>
      <c r="AB677" s="702"/>
      <c r="AC677" s="702"/>
      <c r="AD677" s="702"/>
      <c r="AE677" s="46"/>
    </row>
    <row r="678" spans="1:31" ht="14.45">
      <c r="A678" s="702" t="s">
        <v>70</v>
      </c>
      <c r="B678" s="702" t="s">
        <v>258</v>
      </c>
      <c r="C678" s="487" t="str">
        <f>IF(ISBLANK(B678),"",_xlfn.XLOOKUP(B678,Recruiter!A:A,Recruiter!B:B))</f>
        <v>Bhoomika</v>
      </c>
      <c r="D678" s="487" t="str">
        <f>IF(ISBLANK(A678),"",_xlfn.XLOOKUP(A678,'Requirement Overview'!C:C,'Requirement Overview'!E:E))</f>
        <v>Talme</v>
      </c>
      <c r="E678" s="487" t="str">
        <f>IF(ISBLANK(A678),"",_xlfn.XLOOKUP(A678,'Requirement Overview'!C:C,'Requirement Overview'!H:H))</f>
        <v>Non - IT</v>
      </c>
      <c r="F678" s="476" t="str">
        <f>IF(ISBLANK(A678),"",_xlfn.XLOOKUP(A678,'Requirement Overview'!C:C,'Requirement Overview'!I:I))</f>
        <v>Key Accounts Manager</v>
      </c>
      <c r="G678" s="702" t="str">
        <f>IF(ISBLANK(A678),"",_xlfn.XLOOKUP(A678,'Requirement Overview'!C:C,'Requirement Overview'!G:G))</f>
        <v>Avinashi Ads</v>
      </c>
      <c r="H678" s="470" t="s">
        <v>2821</v>
      </c>
      <c r="I678" s="702" t="s">
        <v>262</v>
      </c>
      <c r="J678" s="478" t="s">
        <v>2822</v>
      </c>
      <c r="K678" s="702">
        <v>9096581534</v>
      </c>
      <c r="L678" s="702" t="s">
        <v>311</v>
      </c>
      <c r="M678" s="702" t="s">
        <v>1486</v>
      </c>
      <c r="N678" s="702" t="s">
        <v>2823</v>
      </c>
      <c r="O678" s="702" t="s">
        <v>540</v>
      </c>
      <c r="P678" s="702" t="s">
        <v>294</v>
      </c>
      <c r="Q678" s="702" t="s">
        <v>294</v>
      </c>
      <c r="R678" s="702" t="s">
        <v>1302</v>
      </c>
      <c r="S678" s="702" t="s">
        <v>270</v>
      </c>
      <c r="T678" s="702" t="s">
        <v>103</v>
      </c>
      <c r="U678" s="703">
        <v>46070</v>
      </c>
      <c r="V678" s="703">
        <v>46070</v>
      </c>
      <c r="W678" s="702"/>
      <c r="X678" s="702"/>
      <c r="Y678" s="702"/>
      <c r="Z678" s="702"/>
      <c r="AA678" s="702"/>
      <c r="AB678" s="702"/>
      <c r="AC678" s="702"/>
      <c r="AD678" s="702"/>
      <c r="AE678" s="46"/>
    </row>
    <row r="679" spans="1:31" ht="14.45">
      <c r="A679" s="702" t="s">
        <v>70</v>
      </c>
      <c r="B679" s="702" t="s">
        <v>258</v>
      </c>
      <c r="C679" s="487" t="str">
        <f>IF(ISBLANK(B679),"",_xlfn.XLOOKUP(B679,Recruiter!A:A,Recruiter!B:B))</f>
        <v>Bhoomika</v>
      </c>
      <c r="D679" s="487" t="str">
        <f>IF(ISBLANK(A679),"",_xlfn.XLOOKUP(A679,'Requirement Overview'!C:C,'Requirement Overview'!E:E))</f>
        <v>Talme</v>
      </c>
      <c r="E679" s="487" t="str">
        <f>IF(ISBLANK(A679),"",_xlfn.XLOOKUP(A679,'Requirement Overview'!C:C,'Requirement Overview'!H:H))</f>
        <v>Non - IT</v>
      </c>
      <c r="F679" s="476" t="str">
        <f>IF(ISBLANK(A679),"",_xlfn.XLOOKUP(A679,'Requirement Overview'!C:C,'Requirement Overview'!I:I))</f>
        <v>Key Accounts Manager</v>
      </c>
      <c r="G679" s="702" t="str">
        <f>IF(ISBLANK(A679),"",_xlfn.XLOOKUP(A679,'Requirement Overview'!C:C,'Requirement Overview'!G:G))</f>
        <v>Avinashi Ads</v>
      </c>
      <c r="H679" s="480" t="s">
        <v>2824</v>
      </c>
      <c r="I679" s="702" t="s">
        <v>316</v>
      </c>
      <c r="J679" s="478" t="s">
        <v>2825</v>
      </c>
      <c r="K679" s="702">
        <v>9035484791</v>
      </c>
      <c r="L679" s="702" t="s">
        <v>1034</v>
      </c>
      <c r="M679" s="702" t="s">
        <v>379</v>
      </c>
      <c r="N679" s="702" t="s">
        <v>2826</v>
      </c>
      <c r="O679" s="702" t="s">
        <v>382</v>
      </c>
      <c r="P679" s="702" t="s">
        <v>294</v>
      </c>
      <c r="Q679" s="702" t="s">
        <v>294</v>
      </c>
      <c r="R679" s="702" t="s">
        <v>374</v>
      </c>
      <c r="S679" s="702" t="s">
        <v>270</v>
      </c>
      <c r="T679" s="702" t="s">
        <v>103</v>
      </c>
      <c r="U679" s="703">
        <v>46070</v>
      </c>
      <c r="V679" s="703">
        <v>46070</v>
      </c>
      <c r="W679" s="702"/>
      <c r="X679" s="702"/>
      <c r="Y679" s="702"/>
      <c r="Z679" s="702"/>
      <c r="AA679" s="702"/>
      <c r="AB679" s="702"/>
      <c r="AC679" s="702"/>
      <c r="AD679" s="702"/>
      <c r="AE679" s="46"/>
    </row>
    <row r="680" spans="1:31" ht="14.45">
      <c r="A680" s="702" t="s">
        <v>70</v>
      </c>
      <c r="B680" s="702" t="s">
        <v>258</v>
      </c>
      <c r="C680" s="487" t="str">
        <f>IF(ISBLANK(B680),"",_xlfn.XLOOKUP(B680,Recruiter!A:A,Recruiter!B:B))</f>
        <v>Bhoomika</v>
      </c>
      <c r="D680" s="487" t="str">
        <f>IF(ISBLANK(A680),"",_xlfn.XLOOKUP(A680,'Requirement Overview'!C:C,'Requirement Overview'!E:E))</f>
        <v>Talme</v>
      </c>
      <c r="E680" s="487" t="str">
        <f>IF(ISBLANK(A680),"",_xlfn.XLOOKUP(A680,'Requirement Overview'!C:C,'Requirement Overview'!H:H))</f>
        <v>Non - IT</v>
      </c>
      <c r="F680" s="476" t="str">
        <f>IF(ISBLANK(A680),"",_xlfn.XLOOKUP(A680,'Requirement Overview'!C:C,'Requirement Overview'!I:I))</f>
        <v>Key Accounts Manager</v>
      </c>
      <c r="G680" s="702" t="str">
        <f>IF(ISBLANK(A680),"",_xlfn.XLOOKUP(A680,'Requirement Overview'!C:C,'Requirement Overview'!G:G))</f>
        <v>Avinashi Ads</v>
      </c>
      <c r="H680" s="480" t="s">
        <v>2827</v>
      </c>
      <c r="I680" s="702" t="s">
        <v>316</v>
      </c>
      <c r="J680" s="478" t="s">
        <v>2828</v>
      </c>
      <c r="K680" s="702">
        <v>7259459025</v>
      </c>
      <c r="L680" s="702" t="s">
        <v>2563</v>
      </c>
      <c r="M680" s="702" t="s">
        <v>390</v>
      </c>
      <c r="N680" s="702" t="s">
        <v>2829</v>
      </c>
      <c r="O680" s="702" t="s">
        <v>678</v>
      </c>
      <c r="P680" s="702" t="s">
        <v>294</v>
      </c>
      <c r="Q680" s="702" t="s">
        <v>294</v>
      </c>
      <c r="R680" s="702" t="s">
        <v>424</v>
      </c>
      <c r="S680" s="702" t="s">
        <v>270</v>
      </c>
      <c r="T680" s="702" t="s">
        <v>103</v>
      </c>
      <c r="U680" s="703">
        <v>46070</v>
      </c>
      <c r="V680" s="703">
        <v>46070</v>
      </c>
      <c r="W680" s="702"/>
      <c r="X680" s="702"/>
      <c r="Y680" s="702"/>
      <c r="Z680" s="702"/>
      <c r="AA680" s="702"/>
      <c r="AB680" s="702"/>
      <c r="AC680" s="702"/>
      <c r="AD680" s="702"/>
      <c r="AE680" s="46"/>
    </row>
    <row r="681" spans="1:31" ht="14.45">
      <c r="A681" s="47" t="s">
        <v>70</v>
      </c>
      <c r="B681" s="47" t="s">
        <v>236</v>
      </c>
      <c r="C681" s="129" t="str">
        <f>IF(ISBLANK(B681),"",_xlfn.XLOOKUP(B681,Recruiter!A:A,Recruiter!B:B))</f>
        <v>Pooja</v>
      </c>
      <c r="D681" s="129" t="str">
        <f>IF(ISBLANK(A681),"",_xlfn.XLOOKUP(A681,'Requirement Overview'!C:C,'Requirement Overview'!E:E))</f>
        <v>Talme</v>
      </c>
      <c r="E681" s="129" t="str">
        <f>IF(ISBLANK(A681),"",_xlfn.XLOOKUP(A681,'Requirement Overview'!C:C,'Requirement Overview'!H:H))</f>
        <v>Non - IT</v>
      </c>
      <c r="F681" s="80" t="str">
        <f>IF(ISBLANK(A681),"",_xlfn.XLOOKUP(A681,'Requirement Overview'!C:C,'Requirement Overview'!I:I))</f>
        <v>Key Accounts Manager</v>
      </c>
      <c r="G681" s="255" t="str">
        <f>IF(ISBLANK(A681),"",_xlfn.XLOOKUP(A681,'Requirement Overview'!C:C,'Requirement Overview'!G:G))</f>
        <v>Avinashi Ads</v>
      </c>
      <c r="H681" s="452" t="s">
        <v>2830</v>
      </c>
      <c r="I681" s="5" t="s">
        <v>519</v>
      </c>
      <c r="J681" s="618" t="s">
        <v>2831</v>
      </c>
      <c r="K681" s="5">
        <v>7411174023</v>
      </c>
      <c r="L681" s="5" t="s">
        <v>305</v>
      </c>
      <c r="M681" s="5" t="s">
        <v>2832</v>
      </c>
      <c r="N681" s="5" t="s">
        <v>2833</v>
      </c>
      <c r="O681" s="5" t="s">
        <v>678</v>
      </c>
      <c r="P681" s="5" t="s">
        <v>268</v>
      </c>
      <c r="Q681" s="5" t="s">
        <v>268</v>
      </c>
      <c r="R681" s="5" t="s">
        <v>373</v>
      </c>
      <c r="S681" s="47" t="s">
        <v>518</v>
      </c>
      <c r="T681" s="47" t="s">
        <v>103</v>
      </c>
      <c r="U681" s="118">
        <v>46070</v>
      </c>
      <c r="V681" s="118">
        <v>46070</v>
      </c>
      <c r="W681" s="47"/>
      <c r="X681" s="47"/>
      <c r="Y681" s="47"/>
      <c r="Z681" s="47"/>
      <c r="AA681" s="47"/>
      <c r="AB681" s="47"/>
      <c r="AC681" s="47"/>
      <c r="AD681" s="47"/>
    </row>
    <row r="682" spans="1:31" ht="14.45">
      <c r="A682" s="24" t="s">
        <v>70</v>
      </c>
      <c r="B682" s="24" t="s">
        <v>236</v>
      </c>
      <c r="C682" s="84" t="str">
        <f>IF(ISBLANK(B682),"",_xlfn.XLOOKUP(B682,Recruiter!A:A,Recruiter!B:B))</f>
        <v>Pooja</v>
      </c>
      <c r="D682" s="84" t="str">
        <f>IF(ISBLANK(A682),"",_xlfn.XLOOKUP(A682,'Requirement Overview'!C:C,'Requirement Overview'!E:E))</f>
        <v>Talme</v>
      </c>
      <c r="E682" s="84" t="str">
        <f>IF(ISBLANK(A682),"",_xlfn.XLOOKUP(A682,'Requirement Overview'!C:C,'Requirement Overview'!H:H))</f>
        <v>Non - IT</v>
      </c>
      <c r="F682" s="19" t="str">
        <f>IF(ISBLANK(A682),"",_xlfn.XLOOKUP(A682,'Requirement Overview'!C:C,'Requirement Overview'!I:I))</f>
        <v>Key Accounts Manager</v>
      </c>
      <c r="G682" s="58" t="str">
        <f>IF(ISBLANK(A682),"",_xlfn.XLOOKUP(A682,'Requirement Overview'!C:C,'Requirement Overview'!G:G))</f>
        <v>Avinashi Ads</v>
      </c>
      <c r="H682" s="266" t="s">
        <v>2834</v>
      </c>
      <c r="I682" s="3" t="s">
        <v>2139</v>
      </c>
      <c r="J682" s="71" t="s">
        <v>2835</v>
      </c>
      <c r="K682" s="3">
        <v>9611457891</v>
      </c>
      <c r="L682" s="3" t="s">
        <v>311</v>
      </c>
      <c r="M682" s="3" t="s">
        <v>647</v>
      </c>
      <c r="N682" s="3" t="s">
        <v>2836</v>
      </c>
      <c r="O682" s="3" t="s">
        <v>429</v>
      </c>
      <c r="P682" s="3" t="s">
        <v>268</v>
      </c>
      <c r="Q682" s="3" t="s">
        <v>268</v>
      </c>
      <c r="R682" s="3" t="s">
        <v>2101</v>
      </c>
      <c r="S682" s="24" t="s">
        <v>470</v>
      </c>
      <c r="T682" s="24" t="s">
        <v>103</v>
      </c>
      <c r="U682" s="29">
        <v>46076</v>
      </c>
      <c r="V682" s="29">
        <v>46076</v>
      </c>
    </row>
    <row r="683" spans="1:31" ht="14.45">
      <c r="A683" s="24" t="s">
        <v>70</v>
      </c>
      <c r="B683" s="24" t="s">
        <v>236</v>
      </c>
      <c r="C683" s="84" t="str">
        <f>IF(ISBLANK(B683),"",_xlfn.XLOOKUP(B683,Recruiter!A:A,Recruiter!B:B))</f>
        <v>Pooja</v>
      </c>
      <c r="D683" s="84" t="str">
        <f>IF(ISBLANK(A683),"",_xlfn.XLOOKUP(A683,'Requirement Overview'!C:C,'Requirement Overview'!E:E))</f>
        <v>Talme</v>
      </c>
      <c r="E683" s="84" t="str">
        <f>IF(ISBLANK(A683),"",_xlfn.XLOOKUP(A683,'Requirement Overview'!C:C,'Requirement Overview'!H:H))</f>
        <v>Non - IT</v>
      </c>
      <c r="F683" s="19" t="str">
        <f>IF(ISBLANK(A683),"",_xlfn.XLOOKUP(A683,'Requirement Overview'!C:C,'Requirement Overview'!I:I))</f>
        <v>Key Accounts Manager</v>
      </c>
      <c r="G683" s="58" t="str">
        <f>IF(ISBLANK(A683),"",_xlfn.XLOOKUP(A683,'Requirement Overview'!C:C,'Requirement Overview'!G:G))</f>
        <v>Avinashi Ads</v>
      </c>
      <c r="H683" s="266" t="s">
        <v>2837</v>
      </c>
      <c r="I683" s="3" t="s">
        <v>2139</v>
      </c>
      <c r="J683" s="71" t="s">
        <v>2838</v>
      </c>
      <c r="K683" s="3">
        <v>9632904161</v>
      </c>
      <c r="L683" s="3" t="s">
        <v>1034</v>
      </c>
      <c r="M683" s="3" t="s">
        <v>636</v>
      </c>
      <c r="N683" s="3" t="s">
        <v>2839</v>
      </c>
      <c r="O683" s="3" t="s">
        <v>2840</v>
      </c>
      <c r="P683" s="3" t="s">
        <v>268</v>
      </c>
      <c r="Q683" s="3" t="s">
        <v>268</v>
      </c>
      <c r="R683" s="3" t="s">
        <v>386</v>
      </c>
      <c r="S683" s="24" t="s">
        <v>270</v>
      </c>
      <c r="T683" s="24" t="s">
        <v>103</v>
      </c>
      <c r="U683" s="29">
        <v>46070</v>
      </c>
      <c r="V683" s="29">
        <v>46070</v>
      </c>
    </row>
    <row r="684" spans="1:31" ht="14.45">
      <c r="A684" s="24" t="s">
        <v>70</v>
      </c>
      <c r="B684" s="24" t="s">
        <v>236</v>
      </c>
      <c r="C684" s="84" t="str">
        <f>IF(ISBLANK(B684),"",_xlfn.XLOOKUP(B684,Recruiter!A:A,Recruiter!B:B))</f>
        <v>Pooja</v>
      </c>
      <c r="D684" s="84" t="str">
        <f>IF(ISBLANK(A684),"",_xlfn.XLOOKUP(A684,'Requirement Overview'!C:C,'Requirement Overview'!E:E))</f>
        <v>Talme</v>
      </c>
      <c r="E684" s="84" t="str">
        <f>IF(ISBLANK(A684),"",_xlfn.XLOOKUP(A684,'Requirement Overview'!C:C,'Requirement Overview'!H:H))</f>
        <v>Non - IT</v>
      </c>
      <c r="F684" s="19" t="str">
        <f>IF(ISBLANK(A684),"",_xlfn.XLOOKUP(A684,'Requirement Overview'!C:C,'Requirement Overview'!I:I))</f>
        <v>Key Accounts Manager</v>
      </c>
      <c r="G684" s="58" t="str">
        <f>IF(ISBLANK(A684),"",_xlfn.XLOOKUP(A684,'Requirement Overview'!C:C,'Requirement Overview'!G:G))</f>
        <v>Avinashi Ads</v>
      </c>
      <c r="H684" s="266" t="s">
        <v>2841</v>
      </c>
      <c r="I684" s="3" t="s">
        <v>262</v>
      </c>
      <c r="J684" s="71" t="s">
        <v>2842</v>
      </c>
      <c r="K684" s="3">
        <v>8747800204</v>
      </c>
      <c r="L684" s="3" t="s">
        <v>330</v>
      </c>
      <c r="M684" s="3" t="s">
        <v>2843</v>
      </c>
      <c r="N684" s="3" t="s">
        <v>2844</v>
      </c>
      <c r="O684" s="3" t="s">
        <v>407</v>
      </c>
      <c r="P684" s="3" t="s">
        <v>268</v>
      </c>
      <c r="Q684" s="3" t="s">
        <v>268</v>
      </c>
      <c r="R684" s="3" t="s">
        <v>386</v>
      </c>
      <c r="S684" s="24" t="s">
        <v>518</v>
      </c>
      <c r="T684" s="24" t="s">
        <v>103</v>
      </c>
      <c r="U684" s="29">
        <v>46070</v>
      </c>
      <c r="V684" s="29">
        <v>46070</v>
      </c>
    </row>
    <row r="685" spans="1:31" ht="14.45">
      <c r="A685" s="24" t="s">
        <v>70</v>
      </c>
      <c r="B685" s="24" t="s">
        <v>236</v>
      </c>
      <c r="C685" s="84" t="str">
        <f>IF(ISBLANK(B685),"",_xlfn.XLOOKUP(B685,Recruiter!A:A,Recruiter!B:B))</f>
        <v>Pooja</v>
      </c>
      <c r="D685" s="84" t="str">
        <f>IF(ISBLANK(A685),"",_xlfn.XLOOKUP(A685,'Requirement Overview'!C:C,'Requirement Overview'!E:E))</f>
        <v>Talme</v>
      </c>
      <c r="E685" s="84" t="str">
        <f>IF(ISBLANK(A685),"",_xlfn.XLOOKUP(A685,'Requirement Overview'!C:C,'Requirement Overview'!H:H))</f>
        <v>Non - IT</v>
      </c>
      <c r="F685" s="19" t="str">
        <f>IF(ISBLANK(A685),"",_xlfn.XLOOKUP(A685,'Requirement Overview'!C:C,'Requirement Overview'!I:I))</f>
        <v>Key Accounts Manager</v>
      </c>
      <c r="G685" s="58" t="str">
        <f>IF(ISBLANK(A685),"",_xlfn.XLOOKUP(A685,'Requirement Overview'!C:C,'Requirement Overview'!G:G))</f>
        <v>Avinashi Ads</v>
      </c>
      <c r="H685" s="266" t="s">
        <v>2845</v>
      </c>
      <c r="I685" s="3" t="s">
        <v>2139</v>
      </c>
      <c r="J685" s="71" t="s">
        <v>2846</v>
      </c>
      <c r="K685" s="3">
        <v>8050322719</v>
      </c>
      <c r="L685" s="3" t="s">
        <v>290</v>
      </c>
      <c r="M685" s="3" t="s">
        <v>2228</v>
      </c>
      <c r="N685" s="3" t="s">
        <v>2847</v>
      </c>
      <c r="O685" s="3" t="s">
        <v>2532</v>
      </c>
      <c r="P685" s="3" t="s">
        <v>268</v>
      </c>
      <c r="Q685" s="3" t="s">
        <v>268</v>
      </c>
      <c r="R685" s="3" t="s">
        <v>843</v>
      </c>
      <c r="S685" s="24" t="s">
        <v>470</v>
      </c>
      <c r="T685" s="24" t="s">
        <v>103</v>
      </c>
      <c r="U685" s="29">
        <v>46076</v>
      </c>
      <c r="V685" s="29">
        <v>46076</v>
      </c>
    </row>
    <row r="686" spans="1:31" thickBot="1">
      <c r="A686" s="24" t="s">
        <v>127</v>
      </c>
      <c r="B686" s="24" t="s">
        <v>520</v>
      </c>
      <c r="C686" s="84" t="str">
        <f>IF(ISBLANK(B686),"",_xlfn.XLOOKUP(B686,Recruiter!A:A,Recruiter!B:B))</f>
        <v>Narthana</v>
      </c>
      <c r="D686" s="84" t="str">
        <f>IF(ISBLANK(A686),"",_xlfn.XLOOKUP(A686,'Requirement Overview'!C:C,'Requirement Overview'!E:E))</f>
        <v>Talme</v>
      </c>
      <c r="E686" s="84" t="str">
        <f>IF(ISBLANK(A686),"",_xlfn.XLOOKUP(A686,'Requirement Overview'!C:C,'Requirement Overview'!H:H))</f>
        <v>IT</v>
      </c>
      <c r="F686" s="19" t="str">
        <f>IF(ISBLANK(A686),"",_xlfn.XLOOKUP(A686,'Requirement Overview'!C:C,'Requirement Overview'!I:I))</f>
        <v>Backend developer</v>
      </c>
      <c r="G686" s="58" t="str">
        <f>IF(ISBLANK(A686),"",_xlfn.XLOOKUP(A686,'Requirement Overview'!C:C,'Requirement Overview'!G:G))</f>
        <v>Thoughtfocus</v>
      </c>
      <c r="H686" s="138" t="s">
        <v>2848</v>
      </c>
      <c r="I686" s="46" t="s">
        <v>2849</v>
      </c>
      <c r="J686" s="271" t="s">
        <v>2850</v>
      </c>
      <c r="K686" s="138">
        <v>9692966367</v>
      </c>
      <c r="L686" s="138" t="s">
        <v>2851</v>
      </c>
      <c r="M686" s="138" t="s">
        <v>1395</v>
      </c>
      <c r="N686" s="138" t="s">
        <v>2852</v>
      </c>
      <c r="O686" s="138" t="s">
        <v>382</v>
      </c>
      <c r="P686" s="3" t="s">
        <v>268</v>
      </c>
      <c r="Q686" s="3" t="s">
        <v>268</v>
      </c>
      <c r="R686" s="138" t="s">
        <v>757</v>
      </c>
      <c r="S686" s="24" t="s">
        <v>270</v>
      </c>
      <c r="T686" s="24" t="s">
        <v>103</v>
      </c>
      <c r="U686" s="29">
        <v>46070</v>
      </c>
      <c r="V686" s="29">
        <v>46070</v>
      </c>
    </row>
    <row r="687" spans="1:31" thickBot="1">
      <c r="A687" s="24" t="s">
        <v>127</v>
      </c>
      <c r="B687" s="24" t="s">
        <v>520</v>
      </c>
      <c r="C687" s="84" t="str">
        <f>IF(ISBLANK(B687),"",_xlfn.XLOOKUP(B687,Recruiter!A:A,Recruiter!B:B))</f>
        <v>Narthana</v>
      </c>
      <c r="D687" s="84" t="str">
        <f>IF(ISBLANK(A687),"",_xlfn.XLOOKUP(A687,'Requirement Overview'!C:C,'Requirement Overview'!E:E))</f>
        <v>Talme</v>
      </c>
      <c r="E687" s="84" t="str">
        <f>IF(ISBLANK(A687),"",_xlfn.XLOOKUP(A687,'Requirement Overview'!C:C,'Requirement Overview'!H:H))</f>
        <v>IT</v>
      </c>
      <c r="F687" s="19" t="str">
        <f>IF(ISBLANK(A687),"",_xlfn.XLOOKUP(A687,'Requirement Overview'!C:C,'Requirement Overview'!I:I))</f>
        <v>Backend developer</v>
      </c>
      <c r="G687" s="58" t="str">
        <f>IF(ISBLANK(A687),"",_xlfn.XLOOKUP(A687,'Requirement Overview'!C:C,'Requirement Overview'!G:G))</f>
        <v>Thoughtfocus</v>
      </c>
      <c r="H687" s="138" t="s">
        <v>2853</v>
      </c>
      <c r="I687" s="46" t="s">
        <v>2854</v>
      </c>
      <c r="J687" s="271" t="s">
        <v>2855</v>
      </c>
      <c r="K687" s="292">
        <v>9071125179</v>
      </c>
      <c r="L687" s="138" t="s">
        <v>2856</v>
      </c>
      <c r="M687" s="138" t="s">
        <v>2666</v>
      </c>
      <c r="N687" s="293" t="s">
        <v>2857</v>
      </c>
      <c r="O687" s="138" t="s">
        <v>424</v>
      </c>
      <c r="P687" s="3" t="s">
        <v>268</v>
      </c>
      <c r="Q687" s="3" t="s">
        <v>268</v>
      </c>
      <c r="R687" s="138" t="s">
        <v>2431</v>
      </c>
      <c r="S687" s="24" t="s">
        <v>270</v>
      </c>
      <c r="T687" s="24" t="s">
        <v>103</v>
      </c>
      <c r="U687" s="29">
        <v>46070</v>
      </c>
      <c r="V687" s="29">
        <v>46070</v>
      </c>
    </row>
    <row r="688" spans="1:31" thickBot="1">
      <c r="A688" s="24" t="s">
        <v>127</v>
      </c>
      <c r="B688" s="24" t="s">
        <v>520</v>
      </c>
      <c r="C688" s="84" t="str">
        <f>IF(ISBLANK(B688),"",_xlfn.XLOOKUP(B688,Recruiter!A:A,Recruiter!B:B))</f>
        <v>Narthana</v>
      </c>
      <c r="D688" s="84" t="str">
        <f>IF(ISBLANK(A688),"",_xlfn.XLOOKUP(A688,'Requirement Overview'!C:C,'Requirement Overview'!E:E))</f>
        <v>Talme</v>
      </c>
      <c r="E688" s="84" t="str">
        <f>IF(ISBLANK(A688),"",_xlfn.XLOOKUP(A688,'Requirement Overview'!C:C,'Requirement Overview'!H:H))</f>
        <v>IT</v>
      </c>
      <c r="F688" s="19" t="str">
        <f>IF(ISBLANK(A688),"",_xlfn.XLOOKUP(A688,'Requirement Overview'!C:C,'Requirement Overview'!I:I))</f>
        <v>Backend developer</v>
      </c>
      <c r="G688" s="58" t="str">
        <f>IF(ISBLANK(A688),"",_xlfn.XLOOKUP(A688,'Requirement Overview'!C:C,'Requirement Overview'!G:G))</f>
        <v>Thoughtfocus</v>
      </c>
      <c r="H688" s="138" t="s">
        <v>2858</v>
      </c>
      <c r="I688" s="46" t="s">
        <v>2859</v>
      </c>
      <c r="J688" s="271" t="s">
        <v>2860</v>
      </c>
      <c r="K688" s="138">
        <v>7326081251</v>
      </c>
      <c r="L688" s="138" t="s">
        <v>2861</v>
      </c>
      <c r="M688" s="138" t="s">
        <v>395</v>
      </c>
      <c r="N688" s="138" t="s">
        <v>2862</v>
      </c>
      <c r="O688" s="138" t="s">
        <v>424</v>
      </c>
      <c r="P688" s="3" t="s">
        <v>268</v>
      </c>
      <c r="Q688" s="3" t="s">
        <v>268</v>
      </c>
      <c r="R688" s="138" t="s">
        <v>1302</v>
      </c>
      <c r="S688" s="24" t="s">
        <v>270</v>
      </c>
      <c r="T688" s="24" t="s">
        <v>103</v>
      </c>
      <c r="U688" s="29">
        <v>46070</v>
      </c>
      <c r="V688" s="29">
        <v>46070</v>
      </c>
    </row>
    <row r="689" spans="1:30" thickBot="1">
      <c r="A689" s="24" t="s">
        <v>129</v>
      </c>
      <c r="B689" s="24" t="s">
        <v>520</v>
      </c>
      <c r="C689" s="84" t="str">
        <f>IF(ISBLANK(B689),"",_xlfn.XLOOKUP(B689,Recruiter!A:A,Recruiter!B:B))</f>
        <v>Narthana</v>
      </c>
      <c r="D689" s="84" t="str">
        <f>IF(ISBLANK(A689),"",_xlfn.XLOOKUP(A689,'Requirement Overview'!C:C,'Requirement Overview'!E:E))</f>
        <v>Talme</v>
      </c>
      <c r="E689" s="84" t="str">
        <f>IF(ISBLANK(A689),"",_xlfn.XLOOKUP(A689,'Requirement Overview'!C:C,'Requirement Overview'!H:H))</f>
        <v>IT</v>
      </c>
      <c r="F689" s="19" t="str">
        <f>IF(ISBLANK(A689),"",_xlfn.XLOOKUP(A689,'Requirement Overview'!C:C,'Requirement Overview'!I:I))</f>
        <v>Front end developer</v>
      </c>
      <c r="G689" s="58" t="str">
        <f>IF(ISBLANK(A689),"",_xlfn.XLOOKUP(A689,'Requirement Overview'!C:C,'Requirement Overview'!G:G))</f>
        <v>Thoughtfocus</v>
      </c>
      <c r="H689" s="270" t="s">
        <v>2863</v>
      </c>
      <c r="I689" s="46" t="s">
        <v>2864</v>
      </c>
      <c r="J689" s="271" t="s">
        <v>2865</v>
      </c>
      <c r="K689" s="270">
        <v>8050419809</v>
      </c>
      <c r="L689" s="270" t="s">
        <v>2866</v>
      </c>
      <c r="M689" s="270" t="s">
        <v>365</v>
      </c>
      <c r="N689" s="270" t="s">
        <v>2867</v>
      </c>
      <c r="O689" s="270" t="s">
        <v>386</v>
      </c>
      <c r="P689" s="3" t="s">
        <v>268</v>
      </c>
      <c r="Q689" s="3" t="s">
        <v>268</v>
      </c>
      <c r="R689" s="270" t="s">
        <v>1302</v>
      </c>
      <c r="S689" s="24" t="s">
        <v>270</v>
      </c>
      <c r="T689" s="24" t="s">
        <v>103</v>
      </c>
      <c r="U689" s="29">
        <v>46070</v>
      </c>
      <c r="V689" s="29">
        <v>46070</v>
      </c>
    </row>
    <row r="690" spans="1:30" thickBot="1">
      <c r="A690" s="24" t="s">
        <v>129</v>
      </c>
      <c r="B690" s="24" t="s">
        <v>520</v>
      </c>
      <c r="C690" s="84" t="str">
        <f>IF(ISBLANK(B690),"",_xlfn.XLOOKUP(B690,Recruiter!A:A,Recruiter!B:B))</f>
        <v>Narthana</v>
      </c>
      <c r="D690" s="84" t="str">
        <f>IF(ISBLANK(A690),"",_xlfn.XLOOKUP(A690,'Requirement Overview'!C:C,'Requirement Overview'!E:E))</f>
        <v>Talme</v>
      </c>
      <c r="E690" s="84" t="str">
        <f>IF(ISBLANK(A690),"",_xlfn.XLOOKUP(A690,'Requirement Overview'!C:C,'Requirement Overview'!H:H))</f>
        <v>IT</v>
      </c>
      <c r="F690" s="19" t="str">
        <f>IF(ISBLANK(A690),"",_xlfn.XLOOKUP(A690,'Requirement Overview'!C:C,'Requirement Overview'!I:I))</f>
        <v>Front end developer</v>
      </c>
      <c r="G690" s="58" t="str">
        <f>IF(ISBLANK(A690),"",_xlfn.XLOOKUP(A690,'Requirement Overview'!C:C,'Requirement Overview'!G:G))</f>
        <v>Thoughtfocus</v>
      </c>
      <c r="H690" s="270" t="s">
        <v>2868</v>
      </c>
      <c r="I690" s="46" t="s">
        <v>2864</v>
      </c>
      <c r="J690" s="271" t="s">
        <v>2869</v>
      </c>
      <c r="K690" s="270">
        <v>9962828215</v>
      </c>
      <c r="L690" s="270" t="s">
        <v>2870</v>
      </c>
      <c r="M690" s="270" t="s">
        <v>390</v>
      </c>
      <c r="N690" s="270" t="s">
        <v>653</v>
      </c>
      <c r="O690" s="270" t="s">
        <v>2871</v>
      </c>
      <c r="P690" s="3" t="s">
        <v>268</v>
      </c>
      <c r="Q690" s="3" t="s">
        <v>268</v>
      </c>
      <c r="R690" s="270" t="s">
        <v>548</v>
      </c>
      <c r="S690" s="24" t="s">
        <v>601</v>
      </c>
      <c r="T690" s="24" t="s">
        <v>103</v>
      </c>
      <c r="U690" s="29">
        <v>46070</v>
      </c>
      <c r="V690" s="29">
        <v>46070</v>
      </c>
    </row>
    <row r="691" spans="1:30" thickBot="1">
      <c r="A691" s="24" t="s">
        <v>129</v>
      </c>
      <c r="B691" s="24" t="s">
        <v>520</v>
      </c>
      <c r="C691" s="84" t="str">
        <f>IF(ISBLANK(B691),"",_xlfn.XLOOKUP(B691,Recruiter!A:A,Recruiter!B:B))</f>
        <v>Narthana</v>
      </c>
      <c r="D691" s="84" t="str">
        <f>IF(ISBLANK(A691),"",_xlfn.XLOOKUP(A691,'Requirement Overview'!C:C,'Requirement Overview'!E:E))</f>
        <v>Talme</v>
      </c>
      <c r="E691" s="84" t="str">
        <f>IF(ISBLANK(A691),"",_xlfn.XLOOKUP(A691,'Requirement Overview'!C:C,'Requirement Overview'!H:H))</f>
        <v>IT</v>
      </c>
      <c r="F691" s="19" t="str">
        <f>IF(ISBLANK(A691),"",_xlfn.XLOOKUP(A691,'Requirement Overview'!C:C,'Requirement Overview'!I:I))</f>
        <v>Front end developer</v>
      </c>
      <c r="G691" s="58" t="str">
        <f>IF(ISBLANK(A691),"",_xlfn.XLOOKUP(A691,'Requirement Overview'!C:C,'Requirement Overview'!G:G))</f>
        <v>Thoughtfocus</v>
      </c>
      <c r="H691" s="270" t="s">
        <v>2872</v>
      </c>
      <c r="I691" s="46" t="s">
        <v>297</v>
      </c>
      <c r="J691" s="271" t="s">
        <v>2869</v>
      </c>
      <c r="K691" s="270">
        <v>9663492595</v>
      </c>
      <c r="L691" s="270" t="s">
        <v>2873</v>
      </c>
      <c r="M691" s="270" t="s">
        <v>390</v>
      </c>
      <c r="N691" s="270" t="s">
        <v>2874</v>
      </c>
      <c r="O691" s="270" t="s">
        <v>540</v>
      </c>
      <c r="P691" s="3" t="s">
        <v>268</v>
      </c>
      <c r="Q691" s="3" t="s">
        <v>268</v>
      </c>
      <c r="R691" s="270" t="s">
        <v>2875</v>
      </c>
      <c r="S691" s="24" t="s">
        <v>601</v>
      </c>
      <c r="T691" s="24" t="s">
        <v>103</v>
      </c>
      <c r="U691" s="29">
        <v>46070</v>
      </c>
      <c r="V691" s="29">
        <v>46070</v>
      </c>
    </row>
    <row r="692" spans="1:30" ht="14.45">
      <c r="A692" s="24" t="s">
        <v>35</v>
      </c>
      <c r="B692" s="24" t="s">
        <v>340</v>
      </c>
      <c r="C692" s="84" t="str">
        <f>IF(ISBLANK(B692),"",_xlfn.XLOOKUP(B692,Recruiter!A:A,Recruiter!B:B))</f>
        <v>Harshitha</v>
      </c>
      <c r="D692" s="84" t="str">
        <f>IF(ISBLANK(A692),"",_xlfn.XLOOKUP(A692,'Requirement Overview'!C:C,'Requirement Overview'!E:E))</f>
        <v>Talme</v>
      </c>
      <c r="E692" s="84" t="str">
        <f>IF(ISBLANK(A692),"",_xlfn.XLOOKUP(A692,'Requirement Overview'!C:C,'Requirement Overview'!H:H))</f>
        <v>IT</v>
      </c>
      <c r="F692" s="19" t="str">
        <f>IF(ISBLANK(A692),"",_xlfn.XLOOKUP(A692,'Requirement Overview'!C:C,'Requirement Overview'!I:I))</f>
        <v>Windows system adminstrator</v>
      </c>
      <c r="G692" s="58" t="str">
        <f>IF(ISBLANK(A692),"",_xlfn.XLOOKUP(A692,'Requirement Overview'!C:C,'Requirement Overview'!G:G))</f>
        <v>EMIDS</v>
      </c>
      <c r="H692" s="276" t="s">
        <v>2329</v>
      </c>
      <c r="I692" s="44" t="s">
        <v>519</v>
      </c>
      <c r="J692" s="300" t="s">
        <v>2876</v>
      </c>
      <c r="K692" s="295">
        <v>8919829593</v>
      </c>
      <c r="L692" s="44" t="s">
        <v>305</v>
      </c>
      <c r="M692" s="44" t="s">
        <v>1395</v>
      </c>
      <c r="N692" s="44" t="s">
        <v>415</v>
      </c>
      <c r="O692" s="24" t="s">
        <v>1520</v>
      </c>
      <c r="P692" s="44" t="s">
        <v>879</v>
      </c>
      <c r="Q692" s="44" t="s">
        <v>879</v>
      </c>
      <c r="R692" s="21" t="s">
        <v>1191</v>
      </c>
      <c r="S692" s="24" t="s">
        <v>375</v>
      </c>
      <c r="T692" s="24" t="s">
        <v>103</v>
      </c>
      <c r="U692" s="29">
        <v>46070</v>
      </c>
      <c r="V692" s="29">
        <v>46070</v>
      </c>
    </row>
    <row r="693" spans="1:30" ht="14.45">
      <c r="A693" s="24" t="s">
        <v>35</v>
      </c>
      <c r="B693" s="24" t="s">
        <v>340</v>
      </c>
      <c r="C693" s="84" t="str">
        <f>IF(ISBLANK(B693),"",_xlfn.XLOOKUP(B693,Recruiter!A:A,Recruiter!B:B))</f>
        <v>Harshitha</v>
      </c>
      <c r="D693" s="84" t="str">
        <f>IF(ISBLANK(A693),"",_xlfn.XLOOKUP(A693,'Requirement Overview'!C:C,'Requirement Overview'!E:E))</f>
        <v>Talme</v>
      </c>
      <c r="E693" s="84" t="str">
        <f>IF(ISBLANK(A693),"",_xlfn.XLOOKUP(A693,'Requirement Overview'!C:C,'Requirement Overview'!H:H))</f>
        <v>IT</v>
      </c>
      <c r="F693" s="19" t="str">
        <f>IF(ISBLANK(A693),"",_xlfn.XLOOKUP(A693,'Requirement Overview'!C:C,'Requirement Overview'!I:I))</f>
        <v>Windows system adminstrator</v>
      </c>
      <c r="G693" s="58" t="str">
        <f>IF(ISBLANK(A693),"",_xlfn.XLOOKUP(A693,'Requirement Overview'!C:C,'Requirement Overview'!G:G))</f>
        <v>EMIDS</v>
      </c>
      <c r="H693" s="276" t="s">
        <v>2877</v>
      </c>
      <c r="I693" s="44" t="s">
        <v>519</v>
      </c>
      <c r="J693" s="278" t="s">
        <v>2878</v>
      </c>
      <c r="K693" s="44">
        <v>9848336224</v>
      </c>
      <c r="L693" s="44" t="s">
        <v>290</v>
      </c>
      <c r="M693" s="44" t="s">
        <v>379</v>
      </c>
      <c r="N693" s="44" t="s">
        <v>2879</v>
      </c>
      <c r="O693" s="24" t="s">
        <v>295</v>
      </c>
      <c r="P693" s="44" t="s">
        <v>879</v>
      </c>
      <c r="Q693" s="44" t="s">
        <v>879</v>
      </c>
      <c r="R693" s="24" t="s">
        <v>407</v>
      </c>
      <c r="S693" s="24" t="s">
        <v>360</v>
      </c>
      <c r="T693" s="24" t="s">
        <v>103</v>
      </c>
      <c r="U693" s="29">
        <v>46070</v>
      </c>
      <c r="V693" s="29">
        <v>46070</v>
      </c>
      <c r="X693" s="29">
        <v>46072</v>
      </c>
      <c r="Y693" s="24" t="s">
        <v>362</v>
      </c>
    </row>
    <row r="694" spans="1:30" ht="14.45">
      <c r="A694" s="24" t="s">
        <v>35</v>
      </c>
      <c r="B694" s="24" t="s">
        <v>340</v>
      </c>
      <c r="C694" s="84" t="str">
        <f>IF(ISBLANK(B694),"",_xlfn.XLOOKUP(B694,Recruiter!A:A,Recruiter!B:B))</f>
        <v>Harshitha</v>
      </c>
      <c r="D694" s="84" t="str">
        <f>IF(ISBLANK(A694),"",_xlfn.XLOOKUP(A694,'Requirement Overview'!C:C,'Requirement Overview'!E:E))</f>
        <v>Talme</v>
      </c>
      <c r="E694" s="84" t="str">
        <f>IF(ISBLANK(A694),"",_xlfn.XLOOKUP(A694,'Requirement Overview'!C:C,'Requirement Overview'!H:H))</f>
        <v>IT</v>
      </c>
      <c r="F694" s="19" t="str">
        <f>IF(ISBLANK(A694),"",_xlfn.XLOOKUP(A694,'Requirement Overview'!C:C,'Requirement Overview'!I:I))</f>
        <v>Windows system adminstrator</v>
      </c>
      <c r="G694" s="58" t="str">
        <f>IF(ISBLANK(A694),"",_xlfn.XLOOKUP(A694,'Requirement Overview'!C:C,'Requirement Overview'!G:G))</f>
        <v>EMIDS</v>
      </c>
      <c r="H694" s="276" t="s">
        <v>2880</v>
      </c>
      <c r="I694" s="44" t="s">
        <v>519</v>
      </c>
      <c r="J694" s="278" t="s">
        <v>2881</v>
      </c>
      <c r="K694" s="44">
        <v>9894337651</v>
      </c>
      <c r="L694" s="44" t="s">
        <v>378</v>
      </c>
      <c r="M694" s="44" t="s">
        <v>379</v>
      </c>
      <c r="N694" s="126" t="s">
        <v>2882</v>
      </c>
      <c r="O694" s="24" t="s">
        <v>367</v>
      </c>
      <c r="P694" s="44" t="s">
        <v>268</v>
      </c>
      <c r="Q694" s="44" t="s">
        <v>268</v>
      </c>
      <c r="R694" s="24" t="s">
        <v>368</v>
      </c>
      <c r="S694" s="24" t="s">
        <v>270</v>
      </c>
      <c r="T694" s="24" t="s">
        <v>103</v>
      </c>
      <c r="U694" s="29">
        <v>46070</v>
      </c>
      <c r="V694" s="29">
        <v>46070</v>
      </c>
    </row>
    <row r="695" spans="1:30" ht="14.45">
      <c r="A695" s="24" t="s">
        <v>129</v>
      </c>
      <c r="B695" s="24" t="s">
        <v>520</v>
      </c>
      <c r="C695" s="84" t="str">
        <f>IF(ISBLANK(B695),"",_xlfn.XLOOKUP(B695,Recruiter!A:A,Recruiter!B:B))</f>
        <v>Narthana</v>
      </c>
      <c r="D695" s="84" t="str">
        <f>IF(ISBLANK(A695),"",_xlfn.XLOOKUP(A695,'Requirement Overview'!C:C,'Requirement Overview'!E:E))</f>
        <v>Talme</v>
      </c>
      <c r="E695" s="84" t="str">
        <f>IF(ISBLANK(A695),"",_xlfn.XLOOKUP(A695,'Requirement Overview'!C:C,'Requirement Overview'!H:H))</f>
        <v>IT</v>
      </c>
      <c r="F695" s="19" t="str">
        <f>IF(ISBLANK(A695),"",_xlfn.XLOOKUP(A695,'Requirement Overview'!C:C,'Requirement Overview'!I:I))</f>
        <v>Front end developer</v>
      </c>
      <c r="G695" s="58" t="str">
        <f>IF(ISBLANK(A695),"",_xlfn.XLOOKUP(A695,'Requirement Overview'!C:C,'Requirement Overview'!G:G))</f>
        <v>Thoughtfocus</v>
      </c>
      <c r="H695" s="92" t="s">
        <v>2883</v>
      </c>
      <c r="I695" s="46" t="s">
        <v>2884</v>
      </c>
      <c r="J695" s="48" t="s">
        <v>2885</v>
      </c>
      <c r="K695" s="48">
        <v>9036100195</v>
      </c>
      <c r="L695" s="48" t="s">
        <v>2886</v>
      </c>
      <c r="M695" s="48" t="s">
        <v>2887</v>
      </c>
      <c r="N695" s="48" t="s">
        <v>2888</v>
      </c>
      <c r="O695" s="48" t="s">
        <v>1853</v>
      </c>
      <c r="P695" s="48" t="s">
        <v>268</v>
      </c>
      <c r="Q695" s="48" t="s">
        <v>268</v>
      </c>
      <c r="R695" s="48" t="s">
        <v>541</v>
      </c>
      <c r="S695" s="24" t="s">
        <v>601</v>
      </c>
      <c r="T695" s="24" t="s">
        <v>103</v>
      </c>
      <c r="U695" s="29">
        <v>46071</v>
      </c>
      <c r="V695" s="29">
        <v>46071</v>
      </c>
    </row>
    <row r="696" spans="1:30" ht="14.45">
      <c r="A696" s="24" t="s">
        <v>129</v>
      </c>
      <c r="B696" s="24" t="s">
        <v>520</v>
      </c>
      <c r="C696" s="84" t="str">
        <f>IF(ISBLANK(B696),"",_xlfn.XLOOKUP(B696,Recruiter!A:A,Recruiter!B:B))</f>
        <v>Narthana</v>
      </c>
      <c r="D696" s="84" t="str">
        <f>IF(ISBLANK(A696),"",_xlfn.XLOOKUP(A696,'Requirement Overview'!C:C,'Requirement Overview'!E:E))</f>
        <v>Talme</v>
      </c>
      <c r="E696" s="84" t="str">
        <f>IF(ISBLANK(A696),"",_xlfn.XLOOKUP(A696,'Requirement Overview'!C:C,'Requirement Overview'!H:H))</f>
        <v>IT</v>
      </c>
      <c r="F696" s="19" t="str">
        <f>IF(ISBLANK(A696),"",_xlfn.XLOOKUP(A696,'Requirement Overview'!C:C,'Requirement Overview'!I:I))</f>
        <v>Front end developer</v>
      </c>
      <c r="G696" s="58" t="str">
        <f>IF(ISBLANK(A696),"",_xlfn.XLOOKUP(A696,'Requirement Overview'!C:C,'Requirement Overview'!G:G))</f>
        <v>Thoughtfocus</v>
      </c>
      <c r="H696" s="92" t="s">
        <v>2889</v>
      </c>
      <c r="I696" s="46" t="s">
        <v>2890</v>
      </c>
      <c r="J696" s="296" t="s">
        <v>2891</v>
      </c>
      <c r="K696" s="48">
        <v>9944513292</v>
      </c>
      <c r="L696" s="48" t="s">
        <v>2892</v>
      </c>
      <c r="M696" s="92" t="s">
        <v>390</v>
      </c>
      <c r="N696" s="48" t="s">
        <v>400</v>
      </c>
      <c r="O696" s="48" t="s">
        <v>715</v>
      </c>
      <c r="P696" s="92" t="s">
        <v>268</v>
      </c>
      <c r="Q696" s="92" t="s">
        <v>268</v>
      </c>
      <c r="R696" s="48" t="s">
        <v>553</v>
      </c>
      <c r="S696" s="24" t="s">
        <v>601</v>
      </c>
      <c r="T696" s="24" t="s">
        <v>103</v>
      </c>
      <c r="U696" s="29">
        <v>46071</v>
      </c>
      <c r="V696" s="29">
        <v>46071</v>
      </c>
    </row>
    <row r="697" spans="1:30" ht="14.45">
      <c r="A697" s="24" t="s">
        <v>129</v>
      </c>
      <c r="B697" s="24" t="s">
        <v>520</v>
      </c>
      <c r="C697" s="84" t="str">
        <f>IF(ISBLANK(B697),"",_xlfn.XLOOKUP(B697,Recruiter!A:A,Recruiter!B:B))</f>
        <v>Narthana</v>
      </c>
      <c r="D697" s="84" t="str">
        <f>IF(ISBLANK(A697),"",_xlfn.XLOOKUP(A697,'Requirement Overview'!C:C,'Requirement Overview'!E:E))</f>
        <v>Talme</v>
      </c>
      <c r="E697" s="84" t="str">
        <f>IF(ISBLANK(A697),"",_xlfn.XLOOKUP(A697,'Requirement Overview'!C:C,'Requirement Overview'!H:H))</f>
        <v>IT</v>
      </c>
      <c r="F697" s="19" t="str">
        <f>IF(ISBLANK(A697),"",_xlfn.XLOOKUP(A697,'Requirement Overview'!C:C,'Requirement Overview'!I:I))</f>
        <v>Front end developer</v>
      </c>
      <c r="G697" s="58" t="str">
        <f>IF(ISBLANK(A697),"",_xlfn.XLOOKUP(A697,'Requirement Overview'!C:C,'Requirement Overview'!G:G))</f>
        <v>Thoughtfocus</v>
      </c>
      <c r="H697" s="92" t="s">
        <v>2893</v>
      </c>
      <c r="I697" s="92" t="s">
        <v>2894</v>
      </c>
      <c r="J697" s="48" t="s">
        <v>2895</v>
      </c>
      <c r="K697" s="48">
        <v>8951122162</v>
      </c>
      <c r="L697" s="48" t="s">
        <v>2896</v>
      </c>
      <c r="M697" s="92" t="s">
        <v>390</v>
      </c>
      <c r="N697" s="48" t="s">
        <v>2897</v>
      </c>
      <c r="O697" s="48" t="s">
        <v>757</v>
      </c>
      <c r="P697" s="92" t="s">
        <v>268</v>
      </c>
      <c r="Q697" s="92" t="s">
        <v>268</v>
      </c>
      <c r="R697" s="48" t="s">
        <v>548</v>
      </c>
      <c r="S697" s="24" t="s">
        <v>601</v>
      </c>
      <c r="T697" s="24" t="s">
        <v>103</v>
      </c>
      <c r="U697" s="29">
        <v>46071</v>
      </c>
      <c r="V697" s="29">
        <v>46071</v>
      </c>
    </row>
    <row r="698" spans="1:30" ht="14.45">
      <c r="A698" s="24" t="s">
        <v>129</v>
      </c>
      <c r="B698" s="24" t="s">
        <v>520</v>
      </c>
      <c r="C698" s="84" t="str">
        <f>IF(ISBLANK(B698),"",_xlfn.XLOOKUP(B698,Recruiter!A:A,Recruiter!B:B))</f>
        <v>Narthana</v>
      </c>
      <c r="D698" s="84" t="str">
        <f>IF(ISBLANK(A698),"",_xlfn.XLOOKUP(A698,'Requirement Overview'!C:C,'Requirement Overview'!E:E))</f>
        <v>Talme</v>
      </c>
      <c r="E698" s="84" t="str">
        <f>IF(ISBLANK(A698),"",_xlfn.XLOOKUP(A698,'Requirement Overview'!C:C,'Requirement Overview'!H:H))</f>
        <v>IT</v>
      </c>
      <c r="F698" s="19" t="str">
        <f>IF(ISBLANK(A698),"",_xlfn.XLOOKUP(A698,'Requirement Overview'!C:C,'Requirement Overview'!I:I))</f>
        <v>Front end developer</v>
      </c>
      <c r="G698" s="58" t="str">
        <f>IF(ISBLANK(A698),"",_xlfn.XLOOKUP(A698,'Requirement Overview'!C:C,'Requirement Overview'!G:G))</f>
        <v>Thoughtfocus</v>
      </c>
      <c r="H698" s="92" t="s">
        <v>2898</v>
      </c>
      <c r="I698" s="46" t="s">
        <v>2884</v>
      </c>
      <c r="J698" s="297" t="s">
        <v>2899</v>
      </c>
      <c r="K698" s="92">
        <v>9686961421</v>
      </c>
      <c r="L698" s="92" t="s">
        <v>2900</v>
      </c>
      <c r="M698" s="92" t="s">
        <v>351</v>
      </c>
      <c r="N698" s="92" t="s">
        <v>2901</v>
      </c>
      <c r="O698" s="92" t="s">
        <v>1653</v>
      </c>
      <c r="P698" s="92" t="s">
        <v>268</v>
      </c>
      <c r="Q698" s="92" t="s">
        <v>268</v>
      </c>
      <c r="R698" s="92" t="s">
        <v>2902</v>
      </c>
      <c r="S698" s="24" t="s">
        <v>601</v>
      </c>
      <c r="T698" s="24" t="s">
        <v>103</v>
      </c>
      <c r="U698" s="29">
        <v>46071</v>
      </c>
      <c r="V698" s="29">
        <v>46071</v>
      </c>
    </row>
    <row r="699" spans="1:30" ht="14.45">
      <c r="A699" s="24" t="s">
        <v>129</v>
      </c>
      <c r="B699" s="24" t="s">
        <v>520</v>
      </c>
      <c r="C699" s="84" t="str">
        <f>IF(ISBLANK(B699),"",_xlfn.XLOOKUP(B699,Recruiter!A:A,Recruiter!B:B))</f>
        <v>Narthana</v>
      </c>
      <c r="D699" s="84" t="str">
        <f>IF(ISBLANK(A699),"",_xlfn.XLOOKUP(A699,'Requirement Overview'!C:C,'Requirement Overview'!E:E))</f>
        <v>Talme</v>
      </c>
      <c r="E699" s="84" t="str">
        <f>IF(ISBLANK(A699),"",_xlfn.XLOOKUP(A699,'Requirement Overview'!C:C,'Requirement Overview'!H:H))</f>
        <v>IT</v>
      </c>
      <c r="F699" s="19" t="str">
        <f>IF(ISBLANK(A699),"",_xlfn.XLOOKUP(A699,'Requirement Overview'!C:C,'Requirement Overview'!I:I))</f>
        <v>Front end developer</v>
      </c>
      <c r="G699" s="58" t="str">
        <f>IF(ISBLANK(A699),"",_xlfn.XLOOKUP(A699,'Requirement Overview'!C:C,'Requirement Overview'!G:G))</f>
        <v>Thoughtfocus</v>
      </c>
      <c r="H699" s="92" t="s">
        <v>2903</v>
      </c>
      <c r="I699" s="92" t="s">
        <v>2904</v>
      </c>
      <c r="J699" s="298" t="s">
        <v>2905</v>
      </c>
      <c r="K699" s="92">
        <v>9740474127</v>
      </c>
      <c r="L699" s="92" t="s">
        <v>2906</v>
      </c>
      <c r="M699" s="92" t="s">
        <v>390</v>
      </c>
      <c r="N699" s="92" t="s">
        <v>2907</v>
      </c>
      <c r="O699" s="92" t="s">
        <v>1844</v>
      </c>
      <c r="P699" s="92" t="s">
        <v>268</v>
      </c>
      <c r="Q699" s="92" t="s">
        <v>268</v>
      </c>
      <c r="R699" s="92" t="s">
        <v>553</v>
      </c>
      <c r="S699" s="24" t="s">
        <v>601</v>
      </c>
      <c r="T699" s="24" t="s">
        <v>103</v>
      </c>
      <c r="U699" s="29">
        <v>46071</v>
      </c>
      <c r="V699" s="29">
        <v>46071</v>
      </c>
    </row>
    <row r="700" spans="1:30" ht="14.45">
      <c r="A700" s="24" t="s">
        <v>64</v>
      </c>
      <c r="B700" s="24" t="s">
        <v>236</v>
      </c>
      <c r="C700" s="84" t="str">
        <f>IF(ISBLANK(B700),"",_xlfn.XLOOKUP(B700,Recruiter!A:A,Recruiter!B:B))</f>
        <v>Pooja</v>
      </c>
      <c r="D700" s="84" t="str">
        <f>IF(ISBLANK(A700),"",_xlfn.XLOOKUP(A700,'Requirement Overview'!C:C,'Requirement Overview'!E:E))</f>
        <v>Talme</v>
      </c>
      <c r="E700" s="84" t="str">
        <f>IF(ISBLANK(A700),"",_xlfn.XLOOKUP(A700,'Requirement Overview'!C:C,'Requirement Overview'!H:H))</f>
        <v>Non - IT</v>
      </c>
      <c r="F700" s="19" t="str">
        <f>IF(ISBLANK(A700),"",_xlfn.XLOOKUP(A700,'Requirement Overview'!C:C,'Requirement Overview'!I:I))</f>
        <v>Sales Head</v>
      </c>
      <c r="G700" s="58" t="str">
        <f>IF(ISBLANK(A700),"",_xlfn.XLOOKUP(A700,'Requirement Overview'!C:C,'Requirement Overview'!G:G))</f>
        <v>Avinashi Ads</v>
      </c>
      <c r="H700" s="266" t="s">
        <v>2908</v>
      </c>
      <c r="I700" s="3" t="s">
        <v>519</v>
      </c>
      <c r="J700" s="71" t="s">
        <v>2909</v>
      </c>
      <c r="K700" s="3">
        <v>7795358622</v>
      </c>
      <c r="L700" s="3" t="s">
        <v>290</v>
      </c>
      <c r="M700" s="3" t="s">
        <v>899</v>
      </c>
      <c r="N700" s="3" t="s">
        <v>2910</v>
      </c>
      <c r="O700" s="3" t="s">
        <v>715</v>
      </c>
      <c r="P700" s="3" t="s">
        <v>268</v>
      </c>
      <c r="Q700" s="3" t="s">
        <v>268</v>
      </c>
      <c r="R700" s="3" t="s">
        <v>548</v>
      </c>
      <c r="S700" s="24" t="s">
        <v>470</v>
      </c>
      <c r="T700" s="24" t="s">
        <v>103</v>
      </c>
      <c r="U700" s="29">
        <v>46077</v>
      </c>
      <c r="V700" s="29">
        <v>46077</v>
      </c>
    </row>
    <row r="701" spans="1:30" ht="14.45">
      <c r="A701" s="24" t="s">
        <v>64</v>
      </c>
      <c r="B701" s="24" t="s">
        <v>236</v>
      </c>
      <c r="C701" s="84" t="str">
        <f>IF(ISBLANK(B701),"",_xlfn.XLOOKUP(B701,Recruiter!A:A,Recruiter!B:B))</f>
        <v>Pooja</v>
      </c>
      <c r="D701" s="84" t="str">
        <f>IF(ISBLANK(A701),"",_xlfn.XLOOKUP(A701,'Requirement Overview'!C:C,'Requirement Overview'!E:E))</f>
        <v>Talme</v>
      </c>
      <c r="E701" s="84" t="str">
        <f>IF(ISBLANK(A701),"",_xlfn.XLOOKUP(A701,'Requirement Overview'!C:C,'Requirement Overview'!H:H))</f>
        <v>Non - IT</v>
      </c>
      <c r="F701" s="19" t="str">
        <f>IF(ISBLANK(A701),"",_xlfn.XLOOKUP(A701,'Requirement Overview'!C:C,'Requirement Overview'!I:I))</f>
        <v>Sales Head</v>
      </c>
      <c r="G701" s="58" t="str">
        <f>IF(ISBLANK(A701),"",_xlfn.XLOOKUP(A701,'Requirement Overview'!C:C,'Requirement Overview'!G:G))</f>
        <v>Avinashi Ads</v>
      </c>
      <c r="H701" s="266" t="s">
        <v>2911</v>
      </c>
      <c r="I701" s="3" t="s">
        <v>519</v>
      </c>
      <c r="J701" s="71" t="s">
        <v>2912</v>
      </c>
      <c r="K701" s="3">
        <v>9108618428</v>
      </c>
      <c r="L701" s="3" t="s">
        <v>311</v>
      </c>
      <c r="M701" s="3" t="s">
        <v>830</v>
      </c>
      <c r="N701" s="3" t="s">
        <v>2913</v>
      </c>
      <c r="O701" s="3" t="s">
        <v>1653</v>
      </c>
      <c r="P701" s="3" t="s">
        <v>268</v>
      </c>
      <c r="Q701" s="3" t="s">
        <v>268</v>
      </c>
      <c r="R701" s="3" t="s">
        <v>517</v>
      </c>
      <c r="S701" s="24" t="s">
        <v>270</v>
      </c>
      <c r="T701" s="24" t="s">
        <v>103</v>
      </c>
      <c r="U701" s="29">
        <v>46077</v>
      </c>
      <c r="V701" s="29">
        <v>46077</v>
      </c>
    </row>
    <row r="702" spans="1:30" ht="14.45">
      <c r="A702" s="24" t="s">
        <v>64</v>
      </c>
      <c r="B702" s="24" t="s">
        <v>236</v>
      </c>
      <c r="C702" s="84" t="str">
        <f>IF(ISBLANK(B702),"",_xlfn.XLOOKUP(B702,Recruiter!A:A,Recruiter!B:B))</f>
        <v>Pooja</v>
      </c>
      <c r="D702" s="84" t="str">
        <f>IF(ISBLANK(A702),"",_xlfn.XLOOKUP(A702,'Requirement Overview'!C:C,'Requirement Overview'!E:E))</f>
        <v>Talme</v>
      </c>
      <c r="E702" s="84" t="str">
        <f>IF(ISBLANK(A702),"",_xlfn.XLOOKUP(A702,'Requirement Overview'!C:C,'Requirement Overview'!H:H))</f>
        <v>Non - IT</v>
      </c>
      <c r="F702" s="19" t="str">
        <f>IF(ISBLANK(A702),"",_xlfn.XLOOKUP(A702,'Requirement Overview'!C:C,'Requirement Overview'!I:I))</f>
        <v>Sales Head</v>
      </c>
      <c r="G702" s="58" t="str">
        <f>IF(ISBLANK(A702),"",_xlfn.XLOOKUP(A702,'Requirement Overview'!C:C,'Requirement Overview'!G:G))</f>
        <v>Avinashi Ads</v>
      </c>
      <c r="H702" s="266" t="s">
        <v>2914</v>
      </c>
      <c r="I702" s="3" t="s">
        <v>519</v>
      </c>
      <c r="J702" s="71" t="s">
        <v>2915</v>
      </c>
      <c r="K702" s="3">
        <v>9591283734</v>
      </c>
      <c r="L702" s="3" t="s">
        <v>330</v>
      </c>
      <c r="M702" s="3" t="s">
        <v>2916</v>
      </c>
      <c r="N702" s="3" t="s">
        <v>2917</v>
      </c>
      <c r="O702" s="3" t="s">
        <v>757</v>
      </c>
      <c r="P702" s="3" t="s">
        <v>268</v>
      </c>
      <c r="Q702" s="3" t="s">
        <v>268</v>
      </c>
      <c r="R702" s="3" t="s">
        <v>517</v>
      </c>
      <c r="S702" s="24" t="s">
        <v>601</v>
      </c>
      <c r="T702" s="24" t="s">
        <v>103</v>
      </c>
      <c r="U702" s="29">
        <v>46076</v>
      </c>
      <c r="V702" s="29">
        <v>46076</v>
      </c>
    </row>
    <row r="703" spans="1:30" ht="14.45">
      <c r="A703" s="24" t="s">
        <v>64</v>
      </c>
      <c r="B703" s="24" t="s">
        <v>236</v>
      </c>
      <c r="C703" s="84" t="str">
        <f>IF(ISBLANK(B703),"",_xlfn.XLOOKUP(B703,Recruiter!A:A,Recruiter!B:B))</f>
        <v>Pooja</v>
      </c>
      <c r="D703" s="84" t="str">
        <f>IF(ISBLANK(A703),"",_xlfn.XLOOKUP(A703,'Requirement Overview'!C:C,'Requirement Overview'!E:E))</f>
        <v>Talme</v>
      </c>
      <c r="E703" s="84" t="str">
        <f>IF(ISBLANK(A703),"",_xlfn.XLOOKUP(A703,'Requirement Overview'!C:C,'Requirement Overview'!H:H))</f>
        <v>Non - IT</v>
      </c>
      <c r="F703" s="19" t="str">
        <f>IF(ISBLANK(A703),"",_xlfn.XLOOKUP(A703,'Requirement Overview'!C:C,'Requirement Overview'!I:I))</f>
        <v>Sales Head</v>
      </c>
      <c r="G703" s="58" t="str">
        <f>IF(ISBLANK(A703),"",_xlfn.XLOOKUP(A703,'Requirement Overview'!C:C,'Requirement Overview'!G:G))</f>
        <v>Avinashi Ads</v>
      </c>
      <c r="H703" s="266" t="s">
        <v>2918</v>
      </c>
      <c r="I703" s="3" t="s">
        <v>2919</v>
      </c>
      <c r="J703" s="243" t="s">
        <v>2920</v>
      </c>
      <c r="K703" s="3">
        <v>9742345554</v>
      </c>
      <c r="L703" s="3" t="s">
        <v>311</v>
      </c>
      <c r="M703" s="3" t="s">
        <v>2921</v>
      </c>
      <c r="N703" s="3" t="s">
        <v>2922</v>
      </c>
      <c r="O703" s="3" t="s">
        <v>704</v>
      </c>
      <c r="P703" s="3" t="s">
        <v>268</v>
      </c>
      <c r="Q703" s="3" t="s">
        <v>268</v>
      </c>
      <c r="R703" s="3" t="s">
        <v>2923</v>
      </c>
      <c r="S703" s="24" t="s">
        <v>470</v>
      </c>
      <c r="T703" s="24" t="s">
        <v>103</v>
      </c>
      <c r="U703" s="29">
        <v>46077</v>
      </c>
      <c r="V703" s="29">
        <v>46077</v>
      </c>
    </row>
    <row r="704" spans="1:30" ht="14.45">
      <c r="A704" s="51" t="s">
        <v>64</v>
      </c>
      <c r="B704" s="51" t="s">
        <v>236</v>
      </c>
      <c r="C704" s="88" t="str">
        <f>IF(ISBLANK(B704),"",_xlfn.XLOOKUP(B704,Recruiter!A:A,Recruiter!B:B))</f>
        <v>Pooja</v>
      </c>
      <c r="D704" s="88" t="str">
        <f>IF(ISBLANK(A704),"",_xlfn.XLOOKUP(A704,'Requirement Overview'!C:C,'Requirement Overview'!E:E))</f>
        <v>Talme</v>
      </c>
      <c r="E704" s="88" t="str">
        <f>IF(ISBLANK(A704),"",_xlfn.XLOOKUP(A704,'Requirement Overview'!C:C,'Requirement Overview'!H:H))</f>
        <v>Non - IT</v>
      </c>
      <c r="F704" s="73" t="str">
        <f>IF(ISBLANK(A704),"",_xlfn.XLOOKUP(A704,'Requirement Overview'!C:C,'Requirement Overview'!I:I))</f>
        <v>Sales Head</v>
      </c>
      <c r="G704" s="62" t="str">
        <f>IF(ISBLANK(A704),"",_xlfn.XLOOKUP(A704,'Requirement Overview'!C:C,'Requirement Overview'!G:G))</f>
        <v>Avinashi Ads</v>
      </c>
      <c r="H704" s="554" t="s">
        <v>2924</v>
      </c>
      <c r="I704" s="50" t="s">
        <v>262</v>
      </c>
      <c r="J704" s="242" t="s">
        <v>2925</v>
      </c>
      <c r="K704" s="50">
        <v>7795369369</v>
      </c>
      <c r="L704" s="50" t="s">
        <v>311</v>
      </c>
      <c r="M704" s="50" t="s">
        <v>830</v>
      </c>
      <c r="N704" s="50" t="s">
        <v>2926</v>
      </c>
      <c r="O704" s="50" t="s">
        <v>548</v>
      </c>
      <c r="P704" s="50" t="s">
        <v>268</v>
      </c>
      <c r="Q704" s="50" t="s">
        <v>268</v>
      </c>
      <c r="R704" s="50" t="s">
        <v>2927</v>
      </c>
      <c r="S704" s="51" t="s">
        <v>470</v>
      </c>
      <c r="T704" s="51" t="s">
        <v>103</v>
      </c>
      <c r="U704" s="89">
        <v>46077</v>
      </c>
      <c r="V704" s="89">
        <v>46077</v>
      </c>
      <c r="W704" s="51"/>
      <c r="X704" s="51"/>
      <c r="Y704" s="51"/>
      <c r="Z704" s="51"/>
      <c r="AA704" s="51"/>
      <c r="AB704" s="51"/>
      <c r="AC704" s="51"/>
      <c r="AD704" s="51"/>
    </row>
    <row r="705" spans="1:31" ht="14.45">
      <c r="A705" s="702" t="s">
        <v>64</v>
      </c>
      <c r="B705" s="702" t="s">
        <v>258</v>
      </c>
      <c r="C705" s="487" t="str">
        <f>IF(ISBLANK(B705),"",_xlfn.XLOOKUP(B705,Recruiter!A:A,Recruiter!B:B))</f>
        <v>Bhoomika</v>
      </c>
      <c r="D705" s="487" t="str">
        <f>IF(ISBLANK(A705),"",_xlfn.XLOOKUP(A705,'Requirement Overview'!C:C,'Requirement Overview'!E:E))</f>
        <v>Talme</v>
      </c>
      <c r="E705" s="487" t="str">
        <f>IF(ISBLANK(A705),"",_xlfn.XLOOKUP(A705,'Requirement Overview'!C:C,'Requirement Overview'!H:H))</f>
        <v>Non - IT</v>
      </c>
      <c r="F705" s="476" t="str">
        <f>IF(ISBLANK(A705),"",_xlfn.XLOOKUP(A705,'Requirement Overview'!C:C,'Requirement Overview'!I:I))</f>
        <v>Sales Head</v>
      </c>
      <c r="G705" s="702" t="str">
        <f>IF(ISBLANK(A705),"",_xlfn.XLOOKUP(A705,'Requirement Overview'!C:C,'Requirement Overview'!G:G))</f>
        <v>Avinashi Ads</v>
      </c>
      <c r="H705" s="479" t="s">
        <v>2928</v>
      </c>
      <c r="I705" s="702" t="s">
        <v>262</v>
      </c>
      <c r="J705" s="717" t="s">
        <v>2929</v>
      </c>
      <c r="K705" s="702">
        <v>9739080974</v>
      </c>
      <c r="L705" s="702" t="s">
        <v>290</v>
      </c>
      <c r="M705" s="702" t="s">
        <v>351</v>
      </c>
      <c r="N705" s="702" t="s">
        <v>2930</v>
      </c>
      <c r="O705" s="702" t="s">
        <v>1844</v>
      </c>
      <c r="P705" s="702" t="s">
        <v>294</v>
      </c>
      <c r="Q705" s="702" t="s">
        <v>294</v>
      </c>
      <c r="R705" s="702" t="s">
        <v>553</v>
      </c>
      <c r="S705" s="702" t="s">
        <v>270</v>
      </c>
      <c r="T705" s="702" t="s">
        <v>103</v>
      </c>
      <c r="U705" s="703">
        <v>46071</v>
      </c>
      <c r="V705" s="703">
        <v>46071</v>
      </c>
      <c r="W705" s="702"/>
      <c r="X705" s="702"/>
      <c r="Y705" s="702"/>
      <c r="Z705" s="702"/>
      <c r="AA705" s="702"/>
      <c r="AB705" s="702"/>
      <c r="AC705" s="702"/>
      <c r="AD705" s="702"/>
      <c r="AE705" s="46"/>
    </row>
    <row r="706" spans="1:31" ht="14.45">
      <c r="A706" s="702" t="s">
        <v>64</v>
      </c>
      <c r="B706" s="702" t="s">
        <v>258</v>
      </c>
      <c r="C706" s="487" t="str">
        <f>IF(ISBLANK(B706),"",_xlfn.XLOOKUP(B706,Recruiter!A:A,Recruiter!B:B))</f>
        <v>Bhoomika</v>
      </c>
      <c r="D706" s="487" t="str">
        <f>IF(ISBLANK(A706),"",_xlfn.XLOOKUP(A706,'Requirement Overview'!C:C,'Requirement Overview'!E:E))</f>
        <v>Talme</v>
      </c>
      <c r="E706" s="487" t="str">
        <f>IF(ISBLANK(A706),"",_xlfn.XLOOKUP(A706,'Requirement Overview'!C:C,'Requirement Overview'!H:H))</f>
        <v>Non - IT</v>
      </c>
      <c r="F706" s="476" t="str">
        <f>IF(ISBLANK(A706),"",_xlfn.XLOOKUP(A706,'Requirement Overview'!C:C,'Requirement Overview'!I:I))</f>
        <v>Sales Head</v>
      </c>
      <c r="G706" s="702" t="str">
        <f>IF(ISBLANK(A706),"",_xlfn.XLOOKUP(A706,'Requirement Overview'!C:C,'Requirement Overview'!G:G))</f>
        <v>Avinashi Ads</v>
      </c>
      <c r="H706" s="479" t="s">
        <v>2931</v>
      </c>
      <c r="I706" s="702" t="s">
        <v>316</v>
      </c>
      <c r="J706" s="702" t="s">
        <v>2932</v>
      </c>
      <c r="K706" s="702">
        <v>9880856857</v>
      </c>
      <c r="L706" s="702" t="s">
        <v>2563</v>
      </c>
      <c r="M706" s="702" t="s">
        <v>1763</v>
      </c>
      <c r="N706" s="702" t="s">
        <v>2933</v>
      </c>
      <c r="O706" s="702" t="s">
        <v>540</v>
      </c>
      <c r="P706" s="702" t="s">
        <v>294</v>
      </c>
      <c r="Q706" s="702" t="s">
        <v>294</v>
      </c>
      <c r="R706" s="702" t="s">
        <v>623</v>
      </c>
      <c r="S706" s="702" t="s">
        <v>270</v>
      </c>
      <c r="T706" s="702" t="s">
        <v>103</v>
      </c>
      <c r="U706" s="703">
        <v>46071</v>
      </c>
      <c r="V706" s="703">
        <v>46071</v>
      </c>
      <c r="W706" s="702"/>
      <c r="X706" s="702"/>
      <c r="Y706" s="702"/>
      <c r="Z706" s="702"/>
      <c r="AA706" s="702"/>
      <c r="AB706" s="702"/>
      <c r="AC706" s="702"/>
      <c r="AD706" s="702"/>
      <c r="AE706" s="46"/>
    </row>
    <row r="707" spans="1:31" ht="14.45">
      <c r="A707" s="702" t="s">
        <v>64</v>
      </c>
      <c r="B707" s="702" t="s">
        <v>258</v>
      </c>
      <c r="C707" s="487" t="str">
        <f>IF(ISBLANK(B707),"",_xlfn.XLOOKUP(B707,Recruiter!A:A,Recruiter!B:B))</f>
        <v>Bhoomika</v>
      </c>
      <c r="D707" s="487" t="str">
        <f>IF(ISBLANK(A707),"",_xlfn.XLOOKUP(A707,'Requirement Overview'!C:C,'Requirement Overview'!E:E))</f>
        <v>Talme</v>
      </c>
      <c r="E707" s="487" t="str">
        <f>IF(ISBLANK(A707),"",_xlfn.XLOOKUP(A707,'Requirement Overview'!C:C,'Requirement Overview'!H:H))</f>
        <v>Non - IT</v>
      </c>
      <c r="F707" s="476" t="str">
        <f>IF(ISBLANK(A707),"",_xlfn.XLOOKUP(A707,'Requirement Overview'!C:C,'Requirement Overview'!I:I))</f>
        <v>Sales Head</v>
      </c>
      <c r="G707" s="702" t="str">
        <f>IF(ISBLANK(A707),"",_xlfn.XLOOKUP(A707,'Requirement Overview'!C:C,'Requirement Overview'!G:G))</f>
        <v>Avinashi Ads</v>
      </c>
      <c r="H707" s="479" t="s">
        <v>2934</v>
      </c>
      <c r="I707" s="702" t="s">
        <v>2625</v>
      </c>
      <c r="J707" s="702" t="s">
        <v>2935</v>
      </c>
      <c r="K707" s="702">
        <v>9591529143</v>
      </c>
      <c r="L707" s="481" t="s">
        <v>290</v>
      </c>
      <c r="M707" s="702" t="s">
        <v>788</v>
      </c>
      <c r="N707" s="702" t="s">
        <v>2936</v>
      </c>
      <c r="O707" s="702" t="s">
        <v>1844</v>
      </c>
      <c r="P707" s="702" t="s">
        <v>294</v>
      </c>
      <c r="Q707" s="702" t="s">
        <v>294</v>
      </c>
      <c r="R707" s="702" t="s">
        <v>623</v>
      </c>
      <c r="S707" s="702" t="s">
        <v>270</v>
      </c>
      <c r="T707" s="702" t="s">
        <v>103</v>
      </c>
      <c r="U707" s="703">
        <v>46071</v>
      </c>
      <c r="V707" s="703">
        <v>46071</v>
      </c>
      <c r="W707" s="702"/>
      <c r="X707" s="702"/>
      <c r="Y707" s="702"/>
      <c r="Z707" s="702"/>
      <c r="AA707" s="702"/>
      <c r="AB707" s="702"/>
      <c r="AC707" s="702"/>
      <c r="AD707" s="702"/>
      <c r="AE707" s="46"/>
    </row>
    <row r="708" spans="1:31" ht="14.45">
      <c r="A708" s="702" t="s">
        <v>64</v>
      </c>
      <c r="B708" s="702" t="s">
        <v>258</v>
      </c>
      <c r="C708" s="487" t="str">
        <f>IF(ISBLANK(B708),"",_xlfn.XLOOKUP(B708,Recruiter!A:A,Recruiter!B:B))</f>
        <v>Bhoomika</v>
      </c>
      <c r="D708" s="487" t="str">
        <f>IF(ISBLANK(A708),"",_xlfn.XLOOKUP(A708,'Requirement Overview'!C:C,'Requirement Overview'!E:E))</f>
        <v>Talme</v>
      </c>
      <c r="E708" s="487" t="str">
        <f>IF(ISBLANK(A708),"",_xlfn.XLOOKUP(A708,'Requirement Overview'!C:C,'Requirement Overview'!H:H))</f>
        <v>Non - IT</v>
      </c>
      <c r="F708" s="476" t="str">
        <f>IF(ISBLANK(A708),"",_xlfn.XLOOKUP(A708,'Requirement Overview'!C:C,'Requirement Overview'!I:I))</f>
        <v>Sales Head</v>
      </c>
      <c r="G708" s="702" t="str">
        <f>IF(ISBLANK(A708),"",_xlfn.XLOOKUP(A708,'Requirement Overview'!C:C,'Requirement Overview'!G:G))</f>
        <v>Avinashi Ads</v>
      </c>
      <c r="H708" s="482" t="s">
        <v>1483</v>
      </c>
      <c r="I708" s="702" t="s">
        <v>497</v>
      </c>
      <c r="J708" s="717" t="s">
        <v>2937</v>
      </c>
      <c r="K708" s="702">
        <v>9686798284</v>
      </c>
      <c r="L708" s="702" t="s">
        <v>330</v>
      </c>
      <c r="M708" s="702" t="s">
        <v>1598</v>
      </c>
      <c r="N708" s="702" t="s">
        <v>2938</v>
      </c>
      <c r="O708" s="702" t="s">
        <v>540</v>
      </c>
      <c r="P708" s="702" t="s">
        <v>294</v>
      </c>
      <c r="Q708" s="702" t="s">
        <v>294</v>
      </c>
      <c r="R708" s="706" t="s">
        <v>308</v>
      </c>
      <c r="S708" s="702" t="s">
        <v>270</v>
      </c>
      <c r="T708" s="702" t="s">
        <v>103</v>
      </c>
      <c r="U708" s="703">
        <v>46071</v>
      </c>
      <c r="V708" s="703">
        <v>46071</v>
      </c>
      <c r="W708" s="702"/>
      <c r="X708" s="702"/>
      <c r="Y708" s="702"/>
      <c r="Z708" s="702"/>
      <c r="AA708" s="702"/>
      <c r="AB708" s="702"/>
      <c r="AC708" s="702"/>
      <c r="AD708" s="702"/>
      <c r="AE708" s="46"/>
    </row>
    <row r="709" spans="1:31" ht="14.45">
      <c r="A709" s="702" t="s">
        <v>64</v>
      </c>
      <c r="B709" s="702" t="s">
        <v>258</v>
      </c>
      <c r="C709" s="487" t="str">
        <f>IF(ISBLANK(B709),"",_xlfn.XLOOKUP(B709,Recruiter!A:A,Recruiter!B:B))</f>
        <v>Bhoomika</v>
      </c>
      <c r="D709" s="487" t="str">
        <f>IF(ISBLANK(A709),"",_xlfn.XLOOKUP(A709,'Requirement Overview'!C:C,'Requirement Overview'!E:E))</f>
        <v>Talme</v>
      </c>
      <c r="E709" s="487" t="str">
        <f>IF(ISBLANK(A709),"",_xlfn.XLOOKUP(A709,'Requirement Overview'!C:C,'Requirement Overview'!H:H))</f>
        <v>Non - IT</v>
      </c>
      <c r="F709" s="476" t="str">
        <f>IF(ISBLANK(A709),"",_xlfn.XLOOKUP(A709,'Requirement Overview'!C:C,'Requirement Overview'!I:I))</f>
        <v>Sales Head</v>
      </c>
      <c r="G709" s="702" t="str">
        <f>IF(ISBLANK(A709),"",_xlfn.XLOOKUP(A709,'Requirement Overview'!C:C,'Requirement Overview'!G:G))</f>
        <v>Avinashi Ads</v>
      </c>
      <c r="H709" s="702" t="s">
        <v>2939</v>
      </c>
      <c r="I709" s="702" t="s">
        <v>497</v>
      </c>
      <c r="J709" s="717" t="s">
        <v>2940</v>
      </c>
      <c r="K709" s="702">
        <v>8970497083</v>
      </c>
      <c r="L709" s="702" t="s">
        <v>733</v>
      </c>
      <c r="M709" s="702" t="s">
        <v>1598</v>
      </c>
      <c r="N709" s="702" t="s">
        <v>2941</v>
      </c>
      <c r="O709" s="702" t="s">
        <v>589</v>
      </c>
      <c r="P709" s="702" t="s">
        <v>294</v>
      </c>
      <c r="Q709" s="702" t="s">
        <v>294</v>
      </c>
      <c r="R709" s="706" t="s">
        <v>308</v>
      </c>
      <c r="S709" s="702" t="s">
        <v>518</v>
      </c>
      <c r="T709" s="702" t="s">
        <v>103</v>
      </c>
      <c r="U709" s="703">
        <v>46071</v>
      </c>
      <c r="V709" s="703">
        <v>46071</v>
      </c>
      <c r="W709" s="702"/>
      <c r="X709" s="702"/>
      <c r="Y709" s="702"/>
      <c r="Z709" s="702"/>
      <c r="AA709" s="702"/>
      <c r="AB709" s="702"/>
      <c r="AC709" s="702"/>
      <c r="AD709" s="702"/>
      <c r="AE709" s="46"/>
    </row>
    <row r="710" spans="1:31" ht="14.45">
      <c r="A710" s="47" t="s">
        <v>59</v>
      </c>
      <c r="B710" s="47" t="s">
        <v>236</v>
      </c>
      <c r="C710" s="129" t="str">
        <f>IF(ISBLANK(B710),"",_xlfn.XLOOKUP(B710,Recruiter!A:A,Recruiter!B:B))</f>
        <v>Pooja</v>
      </c>
      <c r="D710" s="129" t="str">
        <f>IF(ISBLANK(A710),"",_xlfn.XLOOKUP(A710,'Requirement Overview'!C:C,'Requirement Overview'!E:E))</f>
        <v>Talme</v>
      </c>
      <c r="E710" s="129" t="str">
        <f>IF(ISBLANK(A710),"",_xlfn.XLOOKUP(A710,'Requirement Overview'!C:C,'Requirement Overview'!H:H))</f>
        <v>Non - IT</v>
      </c>
      <c r="F710" s="80" t="str">
        <f>IF(ISBLANK(A710),"",_xlfn.XLOOKUP(A710,'Requirement Overview'!C:C,'Requirement Overview'!I:I))</f>
        <v>Field Sales Executive</v>
      </c>
      <c r="G710" s="255" t="str">
        <f>IF(ISBLANK(A710),"",_xlfn.XLOOKUP(A710,'Requirement Overview'!C:C,'Requirement Overview'!G:G))</f>
        <v>Peritas</v>
      </c>
      <c r="H710" s="619" t="s">
        <v>2942</v>
      </c>
      <c r="I710" s="5" t="s">
        <v>2139</v>
      </c>
      <c r="J710" s="620" t="s">
        <v>2943</v>
      </c>
      <c r="K710" s="5">
        <v>7022309568</v>
      </c>
      <c r="L710" s="5" t="s">
        <v>290</v>
      </c>
      <c r="M710" s="5" t="s">
        <v>978</v>
      </c>
      <c r="N710" s="5" t="s">
        <v>2944</v>
      </c>
      <c r="O710" s="5" t="s">
        <v>434</v>
      </c>
      <c r="P710" s="621" t="s">
        <v>294</v>
      </c>
      <c r="Q710" s="621" t="s">
        <v>294</v>
      </c>
      <c r="R710" s="5" t="s">
        <v>2945</v>
      </c>
      <c r="S710" s="47" t="s">
        <v>470</v>
      </c>
      <c r="T710" s="47" t="s">
        <v>103</v>
      </c>
      <c r="U710" s="118">
        <v>46072</v>
      </c>
      <c r="V710" s="118">
        <v>46072</v>
      </c>
      <c r="W710" s="47"/>
      <c r="X710" s="47"/>
      <c r="Y710" s="47"/>
      <c r="Z710" s="47"/>
      <c r="AA710" s="47"/>
      <c r="AB710" s="47"/>
      <c r="AC710" s="47"/>
      <c r="AD710" s="47"/>
    </row>
    <row r="711" spans="1:31" ht="14.45">
      <c r="A711" s="24" t="s">
        <v>59</v>
      </c>
      <c r="B711" s="24" t="s">
        <v>236</v>
      </c>
      <c r="C711" s="84" t="str">
        <f>IF(ISBLANK(B711),"",_xlfn.XLOOKUP(B711,Recruiter!A:A,Recruiter!B:B))</f>
        <v>Pooja</v>
      </c>
      <c r="D711" s="84" t="str">
        <f>IF(ISBLANK(A711),"",_xlfn.XLOOKUP(A711,'Requirement Overview'!C:C,'Requirement Overview'!E:E))</f>
        <v>Talme</v>
      </c>
      <c r="E711" s="84" t="str">
        <f>IF(ISBLANK(A711),"",_xlfn.XLOOKUP(A711,'Requirement Overview'!C:C,'Requirement Overview'!H:H))</f>
        <v>Non - IT</v>
      </c>
      <c r="F711" s="19" t="str">
        <f>IF(ISBLANK(A711),"",_xlfn.XLOOKUP(A711,'Requirement Overview'!C:C,'Requirement Overview'!I:I))</f>
        <v>Field Sales Executive</v>
      </c>
      <c r="G711" s="58" t="str">
        <f>IF(ISBLANK(A711),"",_xlfn.XLOOKUP(A711,'Requirement Overview'!C:C,'Requirement Overview'!G:G))</f>
        <v>Peritas</v>
      </c>
      <c r="H711" s="301" t="s">
        <v>2946</v>
      </c>
      <c r="I711" s="3" t="s">
        <v>2139</v>
      </c>
      <c r="J711" s="302" t="s">
        <v>2947</v>
      </c>
      <c r="K711" s="3">
        <v>9742458055</v>
      </c>
      <c r="L711" s="3" t="s">
        <v>311</v>
      </c>
      <c r="M711" s="3" t="s">
        <v>923</v>
      </c>
      <c r="N711" s="3" t="s">
        <v>2948</v>
      </c>
      <c r="O711" s="3" t="s">
        <v>429</v>
      </c>
      <c r="P711" s="134" t="s">
        <v>294</v>
      </c>
      <c r="Q711" s="134" t="s">
        <v>294</v>
      </c>
      <c r="R711" s="3" t="s">
        <v>382</v>
      </c>
      <c r="S711" s="24" t="s">
        <v>470</v>
      </c>
      <c r="T711" s="24" t="s">
        <v>103</v>
      </c>
      <c r="U711" s="29">
        <v>46072</v>
      </c>
      <c r="V711" s="29">
        <v>46072</v>
      </c>
    </row>
    <row r="712" spans="1:31" ht="14.45">
      <c r="A712" s="24" t="s">
        <v>59</v>
      </c>
      <c r="B712" s="24" t="s">
        <v>236</v>
      </c>
      <c r="C712" s="84" t="str">
        <f>IF(ISBLANK(B712),"",_xlfn.XLOOKUP(B712,Recruiter!A:A,Recruiter!B:B))</f>
        <v>Pooja</v>
      </c>
      <c r="D712" s="84" t="str">
        <f>IF(ISBLANK(A712),"",_xlfn.XLOOKUP(A712,'Requirement Overview'!C:C,'Requirement Overview'!E:E))</f>
        <v>Talme</v>
      </c>
      <c r="E712" s="84" t="str">
        <f>IF(ISBLANK(A712),"",_xlfn.XLOOKUP(A712,'Requirement Overview'!C:C,'Requirement Overview'!H:H))</f>
        <v>Non - IT</v>
      </c>
      <c r="F712" s="19" t="str">
        <f>IF(ISBLANK(A712),"",_xlfn.XLOOKUP(A712,'Requirement Overview'!C:C,'Requirement Overview'!I:I))</f>
        <v>Field Sales Executive</v>
      </c>
      <c r="G712" s="58" t="str">
        <f>IF(ISBLANK(A712),"",_xlfn.XLOOKUP(A712,'Requirement Overview'!C:C,'Requirement Overview'!G:G))</f>
        <v>Peritas</v>
      </c>
      <c r="H712" s="301" t="s">
        <v>2949</v>
      </c>
      <c r="I712" s="3" t="s">
        <v>497</v>
      </c>
      <c r="J712" s="302" t="s">
        <v>2950</v>
      </c>
      <c r="K712" s="3">
        <v>9036509994</v>
      </c>
      <c r="L712" s="3" t="s">
        <v>421</v>
      </c>
      <c r="M712" s="3" t="s">
        <v>923</v>
      </c>
      <c r="N712" s="3" t="s">
        <v>2951</v>
      </c>
      <c r="O712" s="3" t="s">
        <v>810</v>
      </c>
      <c r="P712" s="134" t="s">
        <v>294</v>
      </c>
      <c r="Q712" s="134" t="s">
        <v>294</v>
      </c>
      <c r="R712" s="3" t="s">
        <v>517</v>
      </c>
      <c r="S712" s="24" t="s">
        <v>470</v>
      </c>
      <c r="T712" s="24" t="s">
        <v>103</v>
      </c>
      <c r="U712" s="29">
        <v>46072</v>
      </c>
      <c r="V712" s="29">
        <v>46072</v>
      </c>
    </row>
    <row r="713" spans="1:31" ht="14.45">
      <c r="A713" s="24" t="s">
        <v>35</v>
      </c>
      <c r="B713" s="24" t="s">
        <v>340</v>
      </c>
      <c r="C713" s="84" t="str">
        <f>IF(ISBLANK(B713),"",_xlfn.XLOOKUP(B713,Recruiter!A:A,Recruiter!B:B))</f>
        <v>Harshitha</v>
      </c>
      <c r="D713" s="84" t="str">
        <f>IF(ISBLANK(A713),"",_xlfn.XLOOKUP(A713,'Requirement Overview'!C:C,'Requirement Overview'!E:E))</f>
        <v>Talme</v>
      </c>
      <c r="E713" s="84" t="str">
        <f>IF(ISBLANK(A713),"",_xlfn.XLOOKUP(A713,'Requirement Overview'!C:C,'Requirement Overview'!H:H))</f>
        <v>IT</v>
      </c>
      <c r="F713" s="19" t="str">
        <f>IF(ISBLANK(A713),"",_xlfn.XLOOKUP(A713,'Requirement Overview'!C:C,'Requirement Overview'!I:I))</f>
        <v>Windows system adminstrator</v>
      </c>
      <c r="G713" s="58" t="str">
        <f>IF(ISBLANK(A713),"",_xlfn.XLOOKUP(A713,'Requirement Overview'!C:C,'Requirement Overview'!G:G))</f>
        <v>EMIDS</v>
      </c>
      <c r="H713" s="276" t="s">
        <v>2952</v>
      </c>
      <c r="I713" s="44" t="s">
        <v>519</v>
      </c>
      <c r="J713" s="278" t="s">
        <v>2953</v>
      </c>
      <c r="K713" s="44">
        <v>9999480524</v>
      </c>
      <c r="L713" s="44" t="s">
        <v>378</v>
      </c>
      <c r="M713" s="44" t="s">
        <v>414</v>
      </c>
      <c r="N713" s="121" t="s">
        <v>2954</v>
      </c>
      <c r="O713" s="24" t="s">
        <v>678</v>
      </c>
      <c r="P713" s="44" t="s">
        <v>1309</v>
      </c>
      <c r="Q713" s="44" t="s">
        <v>806</v>
      </c>
      <c r="R713" s="24" t="s">
        <v>374</v>
      </c>
      <c r="S713" s="24" t="s">
        <v>270</v>
      </c>
      <c r="T713" s="24" t="s">
        <v>103</v>
      </c>
      <c r="U713" s="29">
        <v>46073</v>
      </c>
      <c r="V713" s="29">
        <v>46073</v>
      </c>
    </row>
    <row r="714" spans="1:31" ht="14.45">
      <c r="A714" s="24" t="s">
        <v>35</v>
      </c>
      <c r="B714" s="24" t="s">
        <v>340</v>
      </c>
      <c r="C714" s="84" t="str">
        <f>IF(ISBLANK(B714),"",_xlfn.XLOOKUP(B714,Recruiter!A:A,Recruiter!B:B))</f>
        <v>Harshitha</v>
      </c>
      <c r="D714" s="84" t="str">
        <f>IF(ISBLANK(A714),"",_xlfn.XLOOKUP(A714,'Requirement Overview'!C:C,'Requirement Overview'!E:E))</f>
        <v>Talme</v>
      </c>
      <c r="E714" s="84" t="str">
        <f>IF(ISBLANK(A714),"",_xlfn.XLOOKUP(A714,'Requirement Overview'!C:C,'Requirement Overview'!H:H))</f>
        <v>IT</v>
      </c>
      <c r="F714" s="19" t="str">
        <f>IF(ISBLANK(A714),"",_xlfn.XLOOKUP(A714,'Requirement Overview'!C:C,'Requirement Overview'!I:I))</f>
        <v>Windows system adminstrator</v>
      </c>
      <c r="G714" s="58" t="str">
        <f>IF(ISBLANK(A714),"",_xlfn.XLOOKUP(A714,'Requirement Overview'!C:C,'Requirement Overview'!G:G))</f>
        <v>EMIDS</v>
      </c>
      <c r="H714" s="276" t="s">
        <v>2955</v>
      </c>
      <c r="I714" s="44" t="s">
        <v>519</v>
      </c>
      <c r="J714" s="260" t="s">
        <v>2956</v>
      </c>
      <c r="K714" s="44">
        <v>8098180227</v>
      </c>
      <c r="L714" s="44" t="s">
        <v>378</v>
      </c>
      <c r="M714" s="44" t="s">
        <v>390</v>
      </c>
      <c r="N714" s="121" t="s">
        <v>1519</v>
      </c>
      <c r="O714" s="24" t="s">
        <v>1144</v>
      </c>
      <c r="P714" s="44" t="s">
        <v>268</v>
      </c>
      <c r="Q714" s="44" t="s">
        <v>268</v>
      </c>
      <c r="R714" s="24" t="s">
        <v>1302</v>
      </c>
      <c r="S714" s="24" t="s">
        <v>270</v>
      </c>
      <c r="T714" s="24" t="s">
        <v>103</v>
      </c>
      <c r="U714" s="29">
        <v>46073</v>
      </c>
      <c r="V714" s="29">
        <v>46073</v>
      </c>
    </row>
    <row r="715" spans="1:31" ht="14.45">
      <c r="A715" s="51" t="s">
        <v>35</v>
      </c>
      <c r="B715" s="51" t="s">
        <v>340</v>
      </c>
      <c r="C715" s="88" t="str">
        <f>IF(ISBLANK(B715),"",_xlfn.XLOOKUP(B715,Recruiter!A:A,Recruiter!B:B))</f>
        <v>Harshitha</v>
      </c>
      <c r="D715" s="88" t="str">
        <f>IF(ISBLANK(A715),"",_xlfn.XLOOKUP(A715,'Requirement Overview'!C:C,'Requirement Overview'!E:E))</f>
        <v>Talme</v>
      </c>
      <c r="E715" s="88" t="str">
        <f>IF(ISBLANK(A715),"",_xlfn.XLOOKUP(A715,'Requirement Overview'!C:C,'Requirement Overview'!H:H))</f>
        <v>IT</v>
      </c>
      <c r="F715" s="73" t="str">
        <f>IF(ISBLANK(A715),"",_xlfn.XLOOKUP(A715,'Requirement Overview'!C:C,'Requirement Overview'!I:I))</f>
        <v>Windows system adminstrator</v>
      </c>
      <c r="G715" s="62" t="str">
        <f>IF(ISBLANK(A715),"",_xlfn.XLOOKUP(A715,'Requirement Overview'!C:C,'Requirement Overview'!G:G))</f>
        <v>EMIDS</v>
      </c>
      <c r="H715" s="342" t="s">
        <v>2957</v>
      </c>
      <c r="I715" s="60" t="s">
        <v>519</v>
      </c>
      <c r="J715" s="343" t="s">
        <v>2958</v>
      </c>
      <c r="K715" s="344">
        <v>8999162321</v>
      </c>
      <c r="L715" s="60" t="s">
        <v>404</v>
      </c>
      <c r="M715" s="60" t="s">
        <v>1650</v>
      </c>
      <c r="N715" s="345" t="s">
        <v>2959</v>
      </c>
      <c r="O715" s="51" t="s">
        <v>381</v>
      </c>
      <c r="P715" s="60" t="s">
        <v>1221</v>
      </c>
      <c r="Q715" s="60" t="s">
        <v>879</v>
      </c>
      <c r="R715" s="51" t="s">
        <v>386</v>
      </c>
      <c r="S715" s="24" t="s">
        <v>270</v>
      </c>
      <c r="T715" s="51" t="s">
        <v>103</v>
      </c>
      <c r="U715" s="89">
        <v>46073</v>
      </c>
      <c r="V715" s="89">
        <v>46073</v>
      </c>
    </row>
    <row r="716" spans="1:31" ht="14.45">
      <c r="A716" s="3" t="s">
        <v>64</v>
      </c>
      <c r="B716" s="3" t="s">
        <v>236</v>
      </c>
      <c r="C716" s="103" t="str">
        <f>IF(ISBLANK(B716),"",_xlfn.XLOOKUP(B716,Recruiter!A:A,Recruiter!B:B))</f>
        <v>Pooja</v>
      </c>
      <c r="D716" s="103" t="str">
        <f>IF(ISBLANK(A716),"",_xlfn.XLOOKUP(A716,'Requirement Overview'!C:C,'Requirement Overview'!E:E))</f>
        <v>Talme</v>
      </c>
      <c r="E716" s="103" t="str">
        <f>IF(ISBLANK(A716),"",_xlfn.XLOOKUP(A716,'Requirement Overview'!C:C,'Requirement Overview'!H:H))</f>
        <v>Non - IT</v>
      </c>
      <c r="F716" s="77" t="str">
        <f>IF(ISBLANK(A716),"",_xlfn.XLOOKUP(A716,'Requirement Overview'!C:C,'Requirement Overview'!I:I))</f>
        <v>Sales Head</v>
      </c>
      <c r="G716" s="3" t="str">
        <f>IF(ISBLANK(A716),"",_xlfn.XLOOKUP(A716,'Requirement Overview'!C:C,'Requirement Overview'!G:G))</f>
        <v>Avinashi Ads</v>
      </c>
      <c r="H716" s="303" t="s">
        <v>2960</v>
      </c>
      <c r="I716" s="81" t="s">
        <v>262</v>
      </c>
      <c r="J716" s="71" t="s">
        <v>2961</v>
      </c>
      <c r="K716" s="81">
        <v>9986606365</v>
      </c>
      <c r="L716" s="81" t="s">
        <v>330</v>
      </c>
      <c r="M716" s="3" t="s">
        <v>343</v>
      </c>
      <c r="N716" s="81" t="s">
        <v>2962</v>
      </c>
      <c r="O716" s="81" t="s">
        <v>715</v>
      </c>
      <c r="P716" s="81" t="s">
        <v>268</v>
      </c>
      <c r="Q716" s="81" t="s">
        <v>268</v>
      </c>
      <c r="R716" s="3" t="s">
        <v>244</v>
      </c>
      <c r="S716" s="3" t="s">
        <v>470</v>
      </c>
      <c r="T716" s="3" t="s">
        <v>103</v>
      </c>
      <c r="U716" s="55">
        <v>46073</v>
      </c>
      <c r="V716" s="55">
        <v>46073</v>
      </c>
      <c r="W716" s="46"/>
    </row>
    <row r="717" spans="1:31" ht="14.45">
      <c r="A717" s="3" t="s">
        <v>70</v>
      </c>
      <c r="B717" s="3" t="s">
        <v>236</v>
      </c>
      <c r="C717" s="103" t="str">
        <f>IF(ISBLANK(B717),"",_xlfn.XLOOKUP(B717,Recruiter!A:A,Recruiter!B:B))</f>
        <v>Pooja</v>
      </c>
      <c r="D717" s="103" t="str">
        <f>IF(ISBLANK(A717),"",_xlfn.XLOOKUP(A717,'Requirement Overview'!C:C,'Requirement Overview'!E:E))</f>
        <v>Talme</v>
      </c>
      <c r="E717" s="103" t="str">
        <f>IF(ISBLANK(A717),"",_xlfn.XLOOKUP(A717,'Requirement Overview'!C:C,'Requirement Overview'!H:H))</f>
        <v>Non - IT</v>
      </c>
      <c r="F717" s="77" t="str">
        <f>IF(ISBLANK(A717),"",_xlfn.XLOOKUP(A717,'Requirement Overview'!C:C,'Requirement Overview'!I:I))</f>
        <v>Key Accounts Manager</v>
      </c>
      <c r="G717" s="3" t="str">
        <f>IF(ISBLANK(A717),"",_xlfn.XLOOKUP(A717,'Requirement Overview'!C:C,'Requirement Overview'!G:G))</f>
        <v>Avinashi Ads</v>
      </c>
      <c r="H717" s="303" t="s">
        <v>2963</v>
      </c>
      <c r="I717" s="303" t="s">
        <v>892</v>
      </c>
      <c r="J717" s="243" t="s">
        <v>2964</v>
      </c>
      <c r="K717" s="81">
        <v>7676673032</v>
      </c>
      <c r="L717" s="3" t="s">
        <v>290</v>
      </c>
      <c r="M717" s="3" t="s">
        <v>2965</v>
      </c>
      <c r="N717" s="3" t="s">
        <v>2966</v>
      </c>
      <c r="O717" s="3" t="s">
        <v>382</v>
      </c>
      <c r="P717" s="81" t="s">
        <v>268</v>
      </c>
      <c r="Q717" s="81" t="s">
        <v>268</v>
      </c>
      <c r="R717" s="3" t="s">
        <v>244</v>
      </c>
      <c r="S717" s="3" t="s">
        <v>470</v>
      </c>
      <c r="T717" s="3" t="s">
        <v>103</v>
      </c>
      <c r="U717" s="55">
        <v>46073</v>
      </c>
      <c r="V717" s="55">
        <v>46073</v>
      </c>
      <c r="W717" s="46"/>
    </row>
    <row r="718" spans="1:31" thickBot="1">
      <c r="A718" s="24" t="s">
        <v>127</v>
      </c>
      <c r="B718" s="24" t="s">
        <v>520</v>
      </c>
      <c r="C718" s="84" t="str">
        <f>IF(ISBLANK(B718),"",_xlfn.XLOOKUP(B718,Recruiter!A:A,Recruiter!B:B))</f>
        <v>Narthana</v>
      </c>
      <c r="D718" s="84" t="str">
        <f>IF(ISBLANK(A718),"",_xlfn.XLOOKUP(A718,'Requirement Overview'!C:C,'Requirement Overview'!E:E))</f>
        <v>Talme</v>
      </c>
      <c r="E718" s="84" t="str">
        <f>IF(ISBLANK(A718),"",_xlfn.XLOOKUP(A718,'Requirement Overview'!C:C,'Requirement Overview'!H:H))</f>
        <v>IT</v>
      </c>
      <c r="F718" s="19" t="str">
        <f>IF(ISBLANK(A718),"",_xlfn.XLOOKUP(A718,'Requirement Overview'!C:C,'Requirement Overview'!I:I))</f>
        <v>Backend developer</v>
      </c>
      <c r="G718" s="58" t="str">
        <f>IF(ISBLANK(A718),"",_xlfn.XLOOKUP(A718,'Requirement Overview'!C:C,'Requirement Overview'!G:G))</f>
        <v>Thoughtfocus</v>
      </c>
      <c r="H718" s="138" t="s">
        <v>2967</v>
      </c>
      <c r="I718" s="138" t="s">
        <v>2968</v>
      </c>
      <c r="J718" s="271" t="s">
        <v>2969</v>
      </c>
      <c r="K718" s="318">
        <v>9483076836</v>
      </c>
      <c r="L718" s="138" t="s">
        <v>2970</v>
      </c>
      <c r="M718" s="138" t="s">
        <v>2809</v>
      </c>
      <c r="N718" s="138" t="s">
        <v>653</v>
      </c>
      <c r="O718" s="138" t="s">
        <v>2971</v>
      </c>
      <c r="P718" s="92" t="s">
        <v>268</v>
      </c>
      <c r="Q718" s="92" t="s">
        <v>268</v>
      </c>
      <c r="R718" s="138" t="s">
        <v>548</v>
      </c>
      <c r="S718" s="24" t="s">
        <v>601</v>
      </c>
      <c r="T718" s="24" t="s">
        <v>103</v>
      </c>
      <c r="U718" s="29">
        <v>46072</v>
      </c>
      <c r="V718" s="29">
        <v>46072</v>
      </c>
    </row>
    <row r="719" spans="1:31" thickBot="1">
      <c r="A719" s="24" t="s">
        <v>127</v>
      </c>
      <c r="B719" s="24" t="s">
        <v>520</v>
      </c>
      <c r="C719" s="84" t="str">
        <f>IF(ISBLANK(B719),"",_xlfn.XLOOKUP(B719,Recruiter!A:A,Recruiter!B:B))</f>
        <v>Narthana</v>
      </c>
      <c r="D719" s="84" t="str">
        <f>IF(ISBLANK(A719),"",_xlfn.XLOOKUP(A719,'Requirement Overview'!C:C,'Requirement Overview'!E:E))</f>
        <v>Talme</v>
      </c>
      <c r="E719" s="84" t="str">
        <f>IF(ISBLANK(A719),"",_xlfn.XLOOKUP(A719,'Requirement Overview'!C:C,'Requirement Overview'!H:H))</f>
        <v>IT</v>
      </c>
      <c r="F719" s="19" t="str">
        <f>IF(ISBLANK(A719),"",_xlfn.XLOOKUP(A719,'Requirement Overview'!C:C,'Requirement Overview'!I:I))</f>
        <v>Backend developer</v>
      </c>
      <c r="G719" s="58" t="str">
        <f>IF(ISBLANK(A719),"",_xlfn.XLOOKUP(A719,'Requirement Overview'!C:C,'Requirement Overview'!G:G))</f>
        <v>Thoughtfocus</v>
      </c>
      <c r="H719" s="138" t="s">
        <v>2972</v>
      </c>
      <c r="I719" s="138" t="s">
        <v>2973</v>
      </c>
      <c r="J719" s="271" t="s">
        <v>2974</v>
      </c>
      <c r="K719" s="138">
        <v>9398606865</v>
      </c>
      <c r="L719" s="138" t="s">
        <v>2975</v>
      </c>
      <c r="M719" s="138" t="s">
        <v>379</v>
      </c>
      <c r="N719" s="138" t="s">
        <v>2976</v>
      </c>
      <c r="O719" s="138" t="s">
        <v>382</v>
      </c>
      <c r="P719" s="92" t="s">
        <v>268</v>
      </c>
      <c r="Q719" s="92" t="s">
        <v>268</v>
      </c>
      <c r="R719" s="138" t="s">
        <v>757</v>
      </c>
      <c r="S719" s="24" t="s">
        <v>601</v>
      </c>
      <c r="T719" s="24" t="s">
        <v>103</v>
      </c>
      <c r="U719" s="29">
        <v>46072</v>
      </c>
      <c r="V719" s="29">
        <v>46072</v>
      </c>
    </row>
    <row r="720" spans="1:31" ht="14.45">
      <c r="A720" s="51" t="s">
        <v>127</v>
      </c>
      <c r="B720" s="51" t="s">
        <v>520</v>
      </c>
      <c r="C720" s="88" t="str">
        <f>IF(ISBLANK(B720),"",_xlfn.XLOOKUP(B720,Recruiter!A:A,Recruiter!B:B))</f>
        <v>Narthana</v>
      </c>
      <c r="D720" s="88" t="str">
        <f>IF(ISBLANK(A720),"",_xlfn.XLOOKUP(A720,'Requirement Overview'!C:C,'Requirement Overview'!E:E))</f>
        <v>Talme</v>
      </c>
      <c r="E720" s="88" t="str">
        <f>IF(ISBLANK(A720),"",_xlfn.XLOOKUP(A720,'Requirement Overview'!C:C,'Requirement Overview'!H:H))</f>
        <v>IT</v>
      </c>
      <c r="F720" s="73" t="str">
        <f>IF(ISBLANK(A720),"",_xlfn.XLOOKUP(A720,'Requirement Overview'!C:C,'Requirement Overview'!I:I))</f>
        <v>Backend developer</v>
      </c>
      <c r="G720" s="62" t="str">
        <f>IF(ISBLANK(A720),"",_xlfn.XLOOKUP(A720,'Requirement Overview'!C:C,'Requirement Overview'!G:G))</f>
        <v>Thoughtfocus</v>
      </c>
      <c r="H720" s="339" t="s">
        <v>2977</v>
      </c>
      <c r="I720" s="339" t="s">
        <v>519</v>
      </c>
      <c r="J720" s="555" t="s">
        <v>2978</v>
      </c>
      <c r="K720" s="339">
        <v>8904641847</v>
      </c>
      <c r="L720" s="339" t="s">
        <v>2979</v>
      </c>
      <c r="M720" s="339" t="s">
        <v>414</v>
      </c>
      <c r="N720" s="339" t="s">
        <v>415</v>
      </c>
      <c r="O720" s="339" t="s">
        <v>716</v>
      </c>
      <c r="P720" s="528" t="s">
        <v>268</v>
      </c>
      <c r="Q720" s="528" t="s">
        <v>268</v>
      </c>
      <c r="R720" s="339" t="s">
        <v>554</v>
      </c>
      <c r="S720" s="51" t="s">
        <v>601</v>
      </c>
      <c r="T720" s="51" t="s">
        <v>103</v>
      </c>
      <c r="U720" s="89">
        <v>46072</v>
      </c>
      <c r="V720" s="89">
        <v>46072</v>
      </c>
      <c r="W720" s="51"/>
      <c r="X720" s="51"/>
      <c r="Y720" s="51"/>
      <c r="Z720" s="51"/>
      <c r="AA720" s="51"/>
      <c r="AB720" s="51"/>
      <c r="AC720" s="51"/>
      <c r="AD720" s="51"/>
    </row>
    <row r="721" spans="1:31" ht="14.45">
      <c r="A721" s="702" t="s">
        <v>70</v>
      </c>
      <c r="B721" s="702" t="s">
        <v>258</v>
      </c>
      <c r="C721" s="487" t="str">
        <f>IF(ISBLANK(B721),"",_xlfn.XLOOKUP(B721,Recruiter!A:A,Recruiter!B:B))</f>
        <v>Bhoomika</v>
      </c>
      <c r="D721" s="487" t="str">
        <f>IF(ISBLANK(A721),"",_xlfn.XLOOKUP(A721,'Requirement Overview'!C:C,'Requirement Overview'!E:E))</f>
        <v>Talme</v>
      </c>
      <c r="E721" s="487" t="str">
        <f>IF(ISBLANK(A721),"",_xlfn.XLOOKUP(A721,'Requirement Overview'!C:C,'Requirement Overview'!H:H))</f>
        <v>Non - IT</v>
      </c>
      <c r="F721" s="476" t="str">
        <f>IF(ISBLANK(A721),"",_xlfn.XLOOKUP(A721,'Requirement Overview'!C:C,'Requirement Overview'!I:I))</f>
        <v>Key Accounts Manager</v>
      </c>
      <c r="G721" s="702" t="str">
        <f>IF(ISBLANK(A721),"",_xlfn.XLOOKUP(A721,'Requirement Overview'!C:C,'Requirement Overview'!G:G))</f>
        <v>Avinashi Ads</v>
      </c>
      <c r="H721" s="482" t="s">
        <v>2980</v>
      </c>
      <c r="I721" s="702" t="s">
        <v>262</v>
      </c>
      <c r="J721" s="478" t="s">
        <v>2981</v>
      </c>
      <c r="K721" s="702">
        <v>9902884532</v>
      </c>
      <c r="L721" s="702" t="s">
        <v>597</v>
      </c>
      <c r="M721" s="702" t="s">
        <v>390</v>
      </c>
      <c r="N721" s="702" t="s">
        <v>2982</v>
      </c>
      <c r="O721" s="702" t="s">
        <v>540</v>
      </c>
      <c r="P721" s="702" t="s">
        <v>294</v>
      </c>
      <c r="Q721" s="702" t="s">
        <v>294</v>
      </c>
      <c r="R721" s="702" t="s">
        <v>1302</v>
      </c>
      <c r="S721" s="702" t="s">
        <v>270</v>
      </c>
      <c r="T721" s="702" t="s">
        <v>103</v>
      </c>
      <c r="U721" s="703">
        <v>46076</v>
      </c>
      <c r="V721" s="703">
        <v>46076</v>
      </c>
      <c r="W721" s="702"/>
      <c r="X721" s="702"/>
      <c r="Y721" s="702"/>
      <c r="Z721" s="702"/>
      <c r="AA721" s="702"/>
      <c r="AB721" s="702"/>
      <c r="AC721" s="702"/>
      <c r="AD721" s="702"/>
      <c r="AE721" s="46"/>
    </row>
    <row r="722" spans="1:31" ht="14.45">
      <c r="A722" s="702" t="s">
        <v>70</v>
      </c>
      <c r="B722" s="702" t="s">
        <v>258</v>
      </c>
      <c r="C722" s="487" t="str">
        <f>IF(ISBLANK(B722),"",_xlfn.XLOOKUP(B722,Recruiter!A:A,Recruiter!B:B))</f>
        <v>Bhoomika</v>
      </c>
      <c r="D722" s="487" t="str">
        <f>IF(ISBLANK(A722),"",_xlfn.XLOOKUP(A722,'Requirement Overview'!C:C,'Requirement Overview'!E:E))</f>
        <v>Talme</v>
      </c>
      <c r="E722" s="487" t="str">
        <f>IF(ISBLANK(A722),"",_xlfn.XLOOKUP(A722,'Requirement Overview'!C:C,'Requirement Overview'!H:H))</f>
        <v>Non - IT</v>
      </c>
      <c r="F722" s="476" t="str">
        <f>IF(ISBLANK(A722),"",_xlfn.XLOOKUP(A722,'Requirement Overview'!C:C,'Requirement Overview'!I:I))</f>
        <v>Key Accounts Manager</v>
      </c>
      <c r="G722" s="702" t="str">
        <f>IF(ISBLANK(A722),"",_xlfn.XLOOKUP(A722,'Requirement Overview'!C:C,'Requirement Overview'!G:G))</f>
        <v>Avinashi Ads</v>
      </c>
      <c r="H722" s="479" t="s">
        <v>2983</v>
      </c>
      <c r="I722" s="702" t="s">
        <v>262</v>
      </c>
      <c r="J722" s="478" t="s">
        <v>2984</v>
      </c>
      <c r="K722" s="702">
        <v>8867238180</v>
      </c>
      <c r="L722" s="702" t="s">
        <v>290</v>
      </c>
      <c r="M722" s="702" t="s">
        <v>365</v>
      </c>
      <c r="N722" s="702" t="s">
        <v>2985</v>
      </c>
      <c r="O722" s="702" t="s">
        <v>540</v>
      </c>
      <c r="P722" s="702" t="s">
        <v>294</v>
      </c>
      <c r="Q722" s="702" t="s">
        <v>294</v>
      </c>
      <c r="R722" s="702" t="s">
        <v>1302</v>
      </c>
      <c r="S722" s="702" t="s">
        <v>601</v>
      </c>
      <c r="T722" s="702" t="s">
        <v>103</v>
      </c>
      <c r="U722" s="703">
        <v>46076</v>
      </c>
      <c r="V722" s="703">
        <v>46076</v>
      </c>
      <c r="W722" s="702" t="s">
        <v>2092</v>
      </c>
      <c r="X722" s="702"/>
      <c r="Y722" s="702"/>
      <c r="Z722" s="702"/>
      <c r="AA722" s="702"/>
      <c r="AB722" s="702"/>
      <c r="AC722" s="702"/>
      <c r="AD722" s="702"/>
      <c r="AE722" s="46"/>
    </row>
    <row r="723" spans="1:31" ht="14.45">
      <c r="A723" s="702" t="s">
        <v>70</v>
      </c>
      <c r="B723" s="702" t="s">
        <v>258</v>
      </c>
      <c r="C723" s="487" t="str">
        <f>IF(ISBLANK(B723),"",_xlfn.XLOOKUP(B723,Recruiter!A:A,Recruiter!B:B))</f>
        <v>Bhoomika</v>
      </c>
      <c r="D723" s="487" t="str">
        <f>IF(ISBLANK(A723),"",_xlfn.XLOOKUP(A723,'Requirement Overview'!C:C,'Requirement Overview'!E:E))</f>
        <v>Talme</v>
      </c>
      <c r="E723" s="487" t="str">
        <f>IF(ISBLANK(A723),"",_xlfn.XLOOKUP(A723,'Requirement Overview'!C:C,'Requirement Overview'!H:H))</f>
        <v>Non - IT</v>
      </c>
      <c r="F723" s="476" t="str">
        <f>IF(ISBLANK(A723),"",_xlfn.XLOOKUP(A723,'Requirement Overview'!C:C,'Requirement Overview'!I:I))</f>
        <v>Key Accounts Manager</v>
      </c>
      <c r="G723" s="702" t="str">
        <f>IF(ISBLANK(A723),"",_xlfn.XLOOKUP(A723,'Requirement Overview'!C:C,'Requirement Overview'!G:G))</f>
        <v>Avinashi Ads</v>
      </c>
      <c r="H723" s="479" t="s">
        <v>2986</v>
      </c>
      <c r="I723" s="702" t="s">
        <v>262</v>
      </c>
      <c r="J723" s="478" t="s">
        <v>2987</v>
      </c>
      <c r="K723" s="702">
        <v>9686219111</v>
      </c>
      <c r="L723" s="702" t="s">
        <v>290</v>
      </c>
      <c r="M723" s="702" t="s">
        <v>379</v>
      </c>
      <c r="N723" s="702" t="s">
        <v>2988</v>
      </c>
      <c r="O723" s="702" t="s">
        <v>1520</v>
      </c>
      <c r="P723" s="702" t="s">
        <v>294</v>
      </c>
      <c r="Q723" s="702" t="s">
        <v>294</v>
      </c>
      <c r="R723" s="706" t="s">
        <v>2989</v>
      </c>
      <c r="S723" s="702" t="s">
        <v>601</v>
      </c>
      <c r="T723" s="702" t="s">
        <v>103</v>
      </c>
      <c r="U723" s="703">
        <v>46076</v>
      </c>
      <c r="V723" s="703">
        <v>46076</v>
      </c>
      <c r="W723" s="702" t="s">
        <v>2092</v>
      </c>
      <c r="X723" s="702"/>
      <c r="Y723" s="702"/>
      <c r="Z723" s="702"/>
      <c r="AA723" s="702"/>
      <c r="AB723" s="702"/>
      <c r="AC723" s="702"/>
      <c r="AD723" s="702"/>
      <c r="AE723" s="46"/>
    </row>
    <row r="724" spans="1:31" ht="14.45">
      <c r="A724" s="47" t="s">
        <v>35</v>
      </c>
      <c r="B724" s="47" t="s">
        <v>340</v>
      </c>
      <c r="C724" s="129" t="str">
        <f>IF(ISBLANK(B724),"",_xlfn.XLOOKUP(B724,Recruiter!A:A,Recruiter!B:B))</f>
        <v>Harshitha</v>
      </c>
      <c r="D724" s="129" t="str">
        <f>IF(ISBLANK(A724),"",_xlfn.XLOOKUP(A724,'Requirement Overview'!C:C,'Requirement Overview'!E:E))</f>
        <v>Talme</v>
      </c>
      <c r="E724" s="129" t="str">
        <f>IF(ISBLANK(A724),"",_xlfn.XLOOKUP(A724,'Requirement Overview'!C:C,'Requirement Overview'!H:H))</f>
        <v>IT</v>
      </c>
      <c r="F724" s="80" t="str">
        <f>IF(ISBLANK(A724),"",_xlfn.XLOOKUP(A724,'Requirement Overview'!C:C,'Requirement Overview'!I:I))</f>
        <v>Windows system adminstrator</v>
      </c>
      <c r="G724" s="255" t="str">
        <f>IF(ISBLANK(A724),"",_xlfn.XLOOKUP(A724,'Requirement Overview'!C:C,'Requirement Overview'!G:G))</f>
        <v>EMIDS</v>
      </c>
      <c r="H724" s="622" t="s">
        <v>2990</v>
      </c>
      <c r="I724" s="623" t="s">
        <v>519</v>
      </c>
      <c r="J724" s="620" t="s">
        <v>2991</v>
      </c>
      <c r="K724" s="624">
        <v>9025127838</v>
      </c>
      <c r="L724" s="623" t="s">
        <v>305</v>
      </c>
      <c r="M724" s="623" t="s">
        <v>365</v>
      </c>
      <c r="N724" s="623" t="s">
        <v>653</v>
      </c>
      <c r="O724" s="47" t="s">
        <v>842</v>
      </c>
      <c r="P724" s="623" t="s">
        <v>2992</v>
      </c>
      <c r="Q724" s="623" t="s">
        <v>268</v>
      </c>
      <c r="R724" s="47" t="s">
        <v>1191</v>
      </c>
      <c r="S724" s="47" t="s">
        <v>601</v>
      </c>
      <c r="T724" s="47" t="s">
        <v>103</v>
      </c>
      <c r="U724" s="118">
        <v>46076</v>
      </c>
      <c r="V724" s="118">
        <v>46076</v>
      </c>
      <c r="W724" s="47"/>
      <c r="X724" s="47"/>
      <c r="Y724" s="47"/>
      <c r="Z724" s="47"/>
      <c r="AA724" s="47"/>
      <c r="AB724" s="47"/>
      <c r="AC724" s="47"/>
      <c r="AD724" s="47"/>
    </row>
    <row r="725" spans="1:31" ht="14.45">
      <c r="A725" s="51" t="s">
        <v>35</v>
      </c>
      <c r="B725" s="51" t="s">
        <v>340</v>
      </c>
      <c r="C725" s="88" t="str">
        <f>IF(ISBLANK(B725),"",_xlfn.XLOOKUP(B725,Recruiter!A:A,Recruiter!B:B))</f>
        <v>Harshitha</v>
      </c>
      <c r="D725" s="88" t="str">
        <f>IF(ISBLANK(A725),"",_xlfn.XLOOKUP(A725,'Requirement Overview'!C:C,'Requirement Overview'!E:E))</f>
        <v>Talme</v>
      </c>
      <c r="E725" s="88" t="str">
        <f>IF(ISBLANK(A725),"",_xlfn.XLOOKUP(A725,'Requirement Overview'!C:C,'Requirement Overview'!H:H))</f>
        <v>IT</v>
      </c>
      <c r="F725" s="73" t="str">
        <f>IF(ISBLANK(A725),"",_xlfn.XLOOKUP(A725,'Requirement Overview'!C:C,'Requirement Overview'!I:I))</f>
        <v>Windows system adminstrator</v>
      </c>
      <c r="G725" s="62" t="str">
        <f>IF(ISBLANK(A725),"",_xlfn.XLOOKUP(A725,'Requirement Overview'!C:C,'Requirement Overview'!G:G))</f>
        <v>EMIDS</v>
      </c>
      <c r="H725" s="342" t="s">
        <v>2993</v>
      </c>
      <c r="I725" s="60" t="s">
        <v>1755</v>
      </c>
      <c r="J725" s="556" t="s">
        <v>2994</v>
      </c>
      <c r="K725" s="344">
        <v>9080017751</v>
      </c>
      <c r="L725" s="60" t="s">
        <v>305</v>
      </c>
      <c r="M725" s="60" t="s">
        <v>2995</v>
      </c>
      <c r="N725" s="127" t="s">
        <v>2996</v>
      </c>
      <c r="O725" s="51" t="s">
        <v>295</v>
      </c>
      <c r="P725" s="60" t="s">
        <v>1128</v>
      </c>
      <c r="Q725" s="60" t="s">
        <v>268</v>
      </c>
      <c r="R725" s="51" t="s">
        <v>407</v>
      </c>
      <c r="S725" s="51" t="s">
        <v>601</v>
      </c>
      <c r="T725" s="51" t="s">
        <v>103</v>
      </c>
      <c r="U725" s="89">
        <v>46076</v>
      </c>
      <c r="V725" s="89">
        <v>46076</v>
      </c>
      <c r="W725" s="51"/>
      <c r="X725" s="51"/>
      <c r="Y725" s="51"/>
      <c r="Z725" s="51"/>
      <c r="AA725" s="51"/>
      <c r="AB725" s="51"/>
      <c r="AC725" s="51"/>
      <c r="AD725" s="51"/>
    </row>
    <row r="726" spans="1:31" ht="14.45">
      <c r="A726" s="702" t="s">
        <v>64</v>
      </c>
      <c r="B726" s="702" t="s">
        <v>258</v>
      </c>
      <c r="C726" s="487" t="str">
        <f>IF(ISBLANK(B726),"",_xlfn.XLOOKUP(B726,Recruiter!A:A,Recruiter!B:B))</f>
        <v>Bhoomika</v>
      </c>
      <c r="D726" s="487" t="str">
        <f>IF(ISBLANK(A726),"",_xlfn.XLOOKUP(A726,'Requirement Overview'!C:C,'Requirement Overview'!E:E))</f>
        <v>Talme</v>
      </c>
      <c r="E726" s="487" t="str">
        <f>IF(ISBLANK(A726),"",_xlfn.XLOOKUP(A726,'Requirement Overview'!C:C,'Requirement Overview'!H:H))</f>
        <v>Non - IT</v>
      </c>
      <c r="F726" s="476" t="str">
        <f>IF(ISBLANK(A726),"",_xlfn.XLOOKUP(A726,'Requirement Overview'!C:C,'Requirement Overview'!I:I))</f>
        <v>Sales Head</v>
      </c>
      <c r="G726" s="702" t="str">
        <f>IF(ISBLANK(A726),"",_xlfn.XLOOKUP(A726,'Requirement Overview'!C:C,'Requirement Overview'!G:G))</f>
        <v>Avinashi Ads</v>
      </c>
      <c r="H726" s="479" t="s">
        <v>2997</v>
      </c>
      <c r="I726" s="702" t="s">
        <v>497</v>
      </c>
      <c r="J726" s="478" t="s">
        <v>2998</v>
      </c>
      <c r="K726" s="702">
        <v>8095434443</v>
      </c>
      <c r="L726" s="702" t="s">
        <v>1098</v>
      </c>
      <c r="M726" s="702" t="s">
        <v>2999</v>
      </c>
      <c r="N726" s="702" t="s">
        <v>3000</v>
      </c>
      <c r="O726" s="702" t="s">
        <v>757</v>
      </c>
      <c r="P726" s="702" t="s">
        <v>294</v>
      </c>
      <c r="Q726" s="702" t="s">
        <v>294</v>
      </c>
      <c r="R726" s="706" t="s">
        <v>308</v>
      </c>
      <c r="S726" s="702" t="s">
        <v>270</v>
      </c>
      <c r="T726" s="702" t="s">
        <v>103</v>
      </c>
      <c r="U726" s="703">
        <v>46076</v>
      </c>
      <c r="V726" s="703">
        <v>46076</v>
      </c>
      <c r="W726" s="702"/>
      <c r="X726" s="702"/>
      <c r="Y726" s="702"/>
      <c r="Z726" s="702"/>
      <c r="AA726" s="702"/>
      <c r="AB726" s="702"/>
      <c r="AC726" s="702"/>
      <c r="AD726" s="702"/>
      <c r="AE726" s="46"/>
    </row>
    <row r="727" spans="1:31" ht="14.45">
      <c r="A727" s="702" t="s">
        <v>64</v>
      </c>
      <c r="B727" s="702" t="s">
        <v>258</v>
      </c>
      <c r="C727" s="487" t="str">
        <f>IF(ISBLANK(B727),"",_xlfn.XLOOKUP(B727,Recruiter!A:A,Recruiter!B:B))</f>
        <v>Bhoomika</v>
      </c>
      <c r="D727" s="487" t="str">
        <f>IF(ISBLANK(A727),"",_xlfn.XLOOKUP(A727,'Requirement Overview'!C:C,'Requirement Overview'!E:E))</f>
        <v>Talme</v>
      </c>
      <c r="E727" s="487" t="str">
        <f>IF(ISBLANK(A727),"",_xlfn.XLOOKUP(A727,'Requirement Overview'!C:C,'Requirement Overview'!H:H))</f>
        <v>Non - IT</v>
      </c>
      <c r="F727" s="476" t="str">
        <f>IF(ISBLANK(A727),"",_xlfn.XLOOKUP(A727,'Requirement Overview'!C:C,'Requirement Overview'!I:I))</f>
        <v>Sales Head</v>
      </c>
      <c r="G727" s="702" t="str">
        <f>IF(ISBLANK(A727),"",_xlfn.XLOOKUP(A727,'Requirement Overview'!C:C,'Requirement Overview'!G:G))</f>
        <v>Avinashi Ads</v>
      </c>
      <c r="H727" s="479" t="s">
        <v>3001</v>
      </c>
      <c r="I727" s="702" t="s">
        <v>316</v>
      </c>
      <c r="J727" s="478" t="s">
        <v>3002</v>
      </c>
      <c r="K727" s="702">
        <v>8317393831</v>
      </c>
      <c r="L727" s="702" t="s">
        <v>3003</v>
      </c>
      <c r="M727" s="702" t="s">
        <v>351</v>
      </c>
      <c r="N727" s="702" t="s">
        <v>3004</v>
      </c>
      <c r="O727" s="702" t="s">
        <v>810</v>
      </c>
      <c r="P727" s="702" t="s">
        <v>294</v>
      </c>
      <c r="Q727" s="702" t="s">
        <v>294</v>
      </c>
      <c r="R727" s="702" t="s">
        <v>623</v>
      </c>
      <c r="S727" s="702" t="s">
        <v>270</v>
      </c>
      <c r="T727" s="702" t="s">
        <v>103</v>
      </c>
      <c r="U727" s="703">
        <v>46076</v>
      </c>
      <c r="V727" s="703">
        <v>46076</v>
      </c>
      <c r="W727" s="702"/>
      <c r="X727" s="702"/>
      <c r="Y727" s="702"/>
      <c r="Z727" s="702"/>
      <c r="AA727" s="702"/>
      <c r="AB727" s="702"/>
      <c r="AC727" s="702"/>
      <c r="AD727" s="702"/>
      <c r="AE727" s="46"/>
    </row>
    <row r="728" spans="1:31" ht="14.45">
      <c r="A728" s="47" t="s">
        <v>64</v>
      </c>
      <c r="B728" s="47" t="s">
        <v>236</v>
      </c>
      <c r="C728" s="129" t="str">
        <f>IF(ISBLANK(B728),"",_xlfn.XLOOKUP(B728,Recruiter!A:A,Recruiter!B:B))</f>
        <v>Pooja</v>
      </c>
      <c r="D728" s="129" t="str">
        <f>IF(ISBLANK(A728),"",_xlfn.XLOOKUP(A728,'Requirement Overview'!C:C,'Requirement Overview'!E:E))</f>
        <v>Talme</v>
      </c>
      <c r="E728" s="129" t="str">
        <f>IF(ISBLANK(A728),"",_xlfn.XLOOKUP(A728,'Requirement Overview'!C:C,'Requirement Overview'!H:H))</f>
        <v>Non - IT</v>
      </c>
      <c r="F728" s="80" t="str">
        <f>IF(ISBLANK(A728),"",_xlfn.XLOOKUP(A728,'Requirement Overview'!C:C,'Requirement Overview'!I:I))</f>
        <v>Sales Head</v>
      </c>
      <c r="G728" s="255" t="str">
        <f>IF(ISBLANK(A728),"",_xlfn.XLOOKUP(A728,'Requirement Overview'!C:C,'Requirement Overview'!G:G))</f>
        <v>Avinashi Ads</v>
      </c>
      <c r="H728" s="287" t="s">
        <v>3005</v>
      </c>
      <c r="I728" s="184" t="s">
        <v>519</v>
      </c>
      <c r="J728" s="122" t="s">
        <v>3006</v>
      </c>
      <c r="K728" s="388">
        <v>8892471324</v>
      </c>
      <c r="L728" s="184" t="s">
        <v>290</v>
      </c>
      <c r="M728" s="47" t="s">
        <v>351</v>
      </c>
      <c r="N728" s="388" t="s">
        <v>3007</v>
      </c>
      <c r="O728" s="47" t="s">
        <v>1302</v>
      </c>
      <c r="P728" s="5" t="s">
        <v>294</v>
      </c>
      <c r="Q728" s="5" t="s">
        <v>294</v>
      </c>
      <c r="R728" s="5" t="s">
        <v>623</v>
      </c>
      <c r="S728" s="47" t="s">
        <v>470</v>
      </c>
      <c r="T728" s="47" t="s">
        <v>103</v>
      </c>
      <c r="U728" s="118">
        <v>46077</v>
      </c>
      <c r="V728" s="118">
        <v>46077</v>
      </c>
      <c r="W728" s="47"/>
      <c r="X728" s="47"/>
      <c r="Y728" s="47"/>
      <c r="Z728" s="47"/>
      <c r="AA728" s="47"/>
      <c r="AB728" s="47"/>
      <c r="AC728" s="47"/>
      <c r="AD728" s="47"/>
    </row>
    <row r="729" spans="1:31" ht="14.45">
      <c r="A729" s="24" t="s">
        <v>70</v>
      </c>
      <c r="B729" s="24" t="s">
        <v>236</v>
      </c>
      <c r="C729" s="84" t="str">
        <f>IF(ISBLANK(B729),"",_xlfn.XLOOKUP(B729,Recruiter!A:A,Recruiter!B:B))</f>
        <v>Pooja</v>
      </c>
      <c r="D729" s="84" t="str">
        <f>IF(ISBLANK(A729),"",_xlfn.XLOOKUP(A729,'Requirement Overview'!C:C,'Requirement Overview'!E:E))</f>
        <v>Talme</v>
      </c>
      <c r="E729" s="84" t="str">
        <f>IF(ISBLANK(A729),"",_xlfn.XLOOKUP(A729,'Requirement Overview'!C:C,'Requirement Overview'!H:H))</f>
        <v>Non - IT</v>
      </c>
      <c r="F729" s="19" t="str">
        <f>IF(ISBLANK(A729),"",_xlfn.XLOOKUP(A729,'Requirement Overview'!C:C,'Requirement Overview'!I:I))</f>
        <v>Key Accounts Manager</v>
      </c>
      <c r="G729" s="58" t="str">
        <f>IF(ISBLANK(A729),"",_xlfn.XLOOKUP(A729,'Requirement Overview'!C:C,'Requirement Overview'!G:G))</f>
        <v>Avinashi Ads</v>
      </c>
      <c r="H729" s="287" t="s">
        <v>3008</v>
      </c>
      <c r="I729" s="46" t="s">
        <v>497</v>
      </c>
      <c r="J729" s="341" t="s">
        <v>3009</v>
      </c>
      <c r="K729" s="388">
        <v>8792294808</v>
      </c>
      <c r="L729" s="46" t="s">
        <v>290</v>
      </c>
      <c r="M729" s="24" t="s">
        <v>956</v>
      </c>
      <c r="N729" s="388" t="s">
        <v>3010</v>
      </c>
      <c r="O729" s="24" t="s">
        <v>589</v>
      </c>
      <c r="P729" s="3" t="s">
        <v>294</v>
      </c>
      <c r="Q729" s="3" t="s">
        <v>294</v>
      </c>
      <c r="R729" s="24" t="s">
        <v>244</v>
      </c>
      <c r="S729" s="24" t="s">
        <v>470</v>
      </c>
      <c r="T729" s="24" t="s">
        <v>103</v>
      </c>
      <c r="U729" s="29">
        <v>46077</v>
      </c>
      <c r="V729" s="29">
        <v>46077</v>
      </c>
    </row>
    <row r="730" spans="1:31" ht="14.45">
      <c r="A730" s="24" t="s">
        <v>118</v>
      </c>
      <c r="B730" s="24" t="s">
        <v>520</v>
      </c>
      <c r="C730" s="84" t="str">
        <f>IF(ISBLANK(B730),"",_xlfn.XLOOKUP(B730,Recruiter!A:A,Recruiter!B:B))</f>
        <v>Narthana</v>
      </c>
      <c r="D730" s="84" t="str">
        <f>IF(ISBLANK(A730),"",_xlfn.XLOOKUP(A730,'Requirement Overview'!C:C,'Requirement Overview'!E:E))</f>
        <v>Talme</v>
      </c>
      <c r="E730" s="84" t="str">
        <f>IF(ISBLANK(A730),"",_xlfn.XLOOKUP(A730,'Requirement Overview'!C:C,'Requirement Overview'!H:H))</f>
        <v>IT</v>
      </c>
      <c r="F730" s="24" t="s">
        <v>119</v>
      </c>
      <c r="G730" s="58" t="s">
        <v>45</v>
      </c>
      <c r="H730" s="24" t="s">
        <v>3011</v>
      </c>
      <c r="I730" s="46" t="s">
        <v>1933</v>
      </c>
      <c r="J730" s="122" t="s">
        <v>3012</v>
      </c>
      <c r="K730" s="346">
        <v>9892089796</v>
      </c>
      <c r="L730" s="46" t="s">
        <v>404</v>
      </c>
      <c r="M730" s="24" t="s">
        <v>3013</v>
      </c>
      <c r="N730" t="s">
        <v>3014</v>
      </c>
      <c r="O730" s="24" t="s">
        <v>1948</v>
      </c>
      <c r="P730" s="24" t="s">
        <v>1374</v>
      </c>
      <c r="Q730" s="24" t="s">
        <v>1557</v>
      </c>
      <c r="R730" s="24" t="s">
        <v>374</v>
      </c>
      <c r="S730" s="24" t="s">
        <v>518</v>
      </c>
      <c r="T730" s="24" t="s">
        <v>103</v>
      </c>
      <c r="U730" s="29">
        <v>46076</v>
      </c>
      <c r="V730" s="29">
        <v>46076</v>
      </c>
    </row>
    <row r="731" spans="1:31" ht="14.45">
      <c r="A731" s="24" t="s">
        <v>131</v>
      </c>
      <c r="B731" s="24" t="s">
        <v>520</v>
      </c>
      <c r="C731" s="84" t="str">
        <f>IF(ISBLANK(B731),"",_xlfn.XLOOKUP(B731,Recruiter!A:A,Recruiter!B:B))</f>
        <v>Narthana</v>
      </c>
      <c r="D731" s="84" t="str">
        <f>IF(ISBLANK(A731),"",_xlfn.XLOOKUP(A731,'Requirement Overview'!C:C,'Requirement Overview'!E:E))</f>
        <v>Talme</v>
      </c>
      <c r="E731" s="84" t="str">
        <f>IF(ISBLANK(A731),"",_xlfn.XLOOKUP(A731,'Requirement Overview'!C:C,'Requirement Overview'!H:H))</f>
        <v>IT</v>
      </c>
      <c r="F731" s="19" t="str">
        <f>IF(ISBLANK(A731),"",_xlfn.XLOOKUP(A731,'Requirement Overview'!C:C,'Requirement Overview'!I:I))</f>
        <v>Technical Lead</v>
      </c>
      <c r="G731" s="58" t="s">
        <v>132</v>
      </c>
      <c r="H731" s="352" t="s">
        <v>3015</v>
      </c>
      <c r="I731" s="46" t="s">
        <v>262</v>
      </c>
      <c r="J731" s="59" t="s">
        <v>3016</v>
      </c>
      <c r="K731" s="24">
        <v>8285678364</v>
      </c>
      <c r="L731" s="46" t="s">
        <v>378</v>
      </c>
      <c r="M731" s="24" t="s">
        <v>3017</v>
      </c>
      <c r="N731" s="24" t="s">
        <v>239</v>
      </c>
      <c r="O731" s="24" t="s">
        <v>715</v>
      </c>
      <c r="P731" t="s">
        <v>3018</v>
      </c>
      <c r="Q731" s="24" t="s">
        <v>1557</v>
      </c>
      <c r="R731" s="24" t="s">
        <v>553</v>
      </c>
      <c r="S731" s="24" t="s">
        <v>601</v>
      </c>
      <c r="T731" s="24" t="s">
        <v>103</v>
      </c>
      <c r="U731" s="29">
        <v>46076</v>
      </c>
      <c r="V731" s="29">
        <v>46076</v>
      </c>
    </row>
    <row r="732" spans="1:31" ht="14.45">
      <c r="A732" s="51" t="s">
        <v>131</v>
      </c>
      <c r="B732" s="51" t="s">
        <v>520</v>
      </c>
      <c r="C732" s="88" t="str">
        <f>IF(ISBLANK(B732),"",_xlfn.XLOOKUP(B732,Recruiter!A:A,Recruiter!B:B))</f>
        <v>Narthana</v>
      </c>
      <c r="D732" s="88" t="str">
        <f>IF(ISBLANK(A732),"",_xlfn.XLOOKUP(A732,'Requirement Overview'!C:C,'Requirement Overview'!E:E))</f>
        <v>Talme</v>
      </c>
      <c r="E732" s="88" t="str">
        <f>IF(ISBLANK(A732),"",_xlfn.XLOOKUP(A732,'Requirement Overview'!C:C,'Requirement Overview'!H:H))</f>
        <v>IT</v>
      </c>
      <c r="F732" s="73" t="str">
        <f>IF(ISBLANK(A732),"",_xlfn.XLOOKUP(A732,'Requirement Overview'!C:C,'Requirement Overview'!I:I))</f>
        <v>Technical Lead</v>
      </c>
      <c r="G732" s="62" t="s">
        <v>132</v>
      </c>
      <c r="H732" s="51" t="s">
        <v>3019</v>
      </c>
      <c r="I732" s="108" t="s">
        <v>3020</v>
      </c>
      <c r="J732" s="225" t="s">
        <v>3021</v>
      </c>
      <c r="K732" s="51">
        <v>7503693297</v>
      </c>
      <c r="L732" s="108" t="s">
        <v>404</v>
      </c>
      <c r="M732" s="51" t="s">
        <v>788</v>
      </c>
      <c r="N732" s="51" t="s">
        <v>3022</v>
      </c>
      <c r="O732" s="51" t="s">
        <v>1145</v>
      </c>
      <c r="P732" s="51" t="s">
        <v>3023</v>
      </c>
      <c r="Q732" s="51" t="s">
        <v>1557</v>
      </c>
      <c r="R732" s="51" t="s">
        <v>541</v>
      </c>
      <c r="S732" s="51" t="s">
        <v>601</v>
      </c>
      <c r="T732" s="51" t="s">
        <v>103</v>
      </c>
      <c r="U732" s="89">
        <v>46077</v>
      </c>
      <c r="V732" s="89">
        <v>46077</v>
      </c>
      <c r="W732" s="51"/>
      <c r="X732" s="51"/>
      <c r="Y732" s="51"/>
      <c r="Z732" s="51"/>
      <c r="AA732" s="51"/>
      <c r="AB732" s="51"/>
      <c r="AC732" s="51"/>
      <c r="AD732" s="51"/>
    </row>
    <row r="733" spans="1:31" ht="14.45">
      <c r="A733" s="702" t="s">
        <v>59</v>
      </c>
      <c r="B733" s="702" t="s">
        <v>258</v>
      </c>
      <c r="C733" s="487" t="str">
        <f>IF(ISBLANK(B733),"",_xlfn.XLOOKUP(B733,Recruiter!A:A,Recruiter!B:B))</f>
        <v>Bhoomika</v>
      </c>
      <c r="D733" s="487" t="str">
        <f>IF(ISBLANK(A733),"",_xlfn.XLOOKUP(A733,'Requirement Overview'!C:C,'Requirement Overview'!E:E))</f>
        <v>Talme</v>
      </c>
      <c r="E733" s="487" t="str">
        <f>IF(ISBLANK(A733),"",_xlfn.XLOOKUP(A733,'Requirement Overview'!C:C,'Requirement Overview'!H:H))</f>
        <v>Non - IT</v>
      </c>
      <c r="F733" s="476" t="str">
        <f>IF(ISBLANK(A733),"",_xlfn.XLOOKUP(A733,'Requirement Overview'!C:C,'Requirement Overview'!I:I))</f>
        <v>Field Sales Executive</v>
      </c>
      <c r="G733" s="702" t="str">
        <f>IF(ISBLANK(A733),"",_xlfn.XLOOKUP(A733,'Requirement Overview'!C:C,'Requirement Overview'!G:G))</f>
        <v>Peritas</v>
      </c>
      <c r="H733" s="702" t="s">
        <v>3015</v>
      </c>
      <c r="I733" s="702" t="s">
        <v>262</v>
      </c>
      <c r="J733" s="478" t="s">
        <v>3024</v>
      </c>
      <c r="K733" s="702">
        <v>6364726564</v>
      </c>
      <c r="L733" s="702" t="s">
        <v>421</v>
      </c>
      <c r="M733" s="702" t="s">
        <v>306</v>
      </c>
      <c r="N733" s="702" t="s">
        <v>3025</v>
      </c>
      <c r="O733" s="702" t="s">
        <v>2398</v>
      </c>
      <c r="P733" s="702" t="s">
        <v>1297</v>
      </c>
      <c r="Q733" s="702" t="s">
        <v>294</v>
      </c>
      <c r="R733" s="702" t="s">
        <v>295</v>
      </c>
      <c r="S733" s="702" t="s">
        <v>518</v>
      </c>
      <c r="T733" s="702" t="s">
        <v>103</v>
      </c>
      <c r="U733" s="703">
        <v>46077</v>
      </c>
      <c r="V733" s="703">
        <v>46077</v>
      </c>
      <c r="W733" s="702"/>
      <c r="X733" s="702"/>
      <c r="Y733" s="702"/>
      <c r="Z733" s="702"/>
      <c r="AA733" s="702"/>
      <c r="AB733" s="702"/>
      <c r="AC733" s="702"/>
      <c r="AD733" s="702"/>
      <c r="AE733" s="46"/>
    </row>
    <row r="734" spans="1:31" ht="14.45">
      <c r="A734" s="702" t="s">
        <v>59</v>
      </c>
      <c r="B734" s="702" t="s">
        <v>258</v>
      </c>
      <c r="C734" s="487" t="str">
        <f>IF(ISBLANK(B734),"",_xlfn.XLOOKUP(B734,Recruiter!A:A,Recruiter!B:B))</f>
        <v>Bhoomika</v>
      </c>
      <c r="D734" s="487" t="str">
        <f>IF(ISBLANK(A734),"",_xlfn.XLOOKUP(A734,'Requirement Overview'!C:C,'Requirement Overview'!E:E))</f>
        <v>Talme</v>
      </c>
      <c r="E734" s="487" t="str">
        <f>IF(ISBLANK(A734),"",_xlfn.XLOOKUP(A734,'Requirement Overview'!C:C,'Requirement Overview'!H:H))</f>
        <v>Non - IT</v>
      </c>
      <c r="F734" s="476" t="str">
        <f>IF(ISBLANK(A734),"",_xlfn.XLOOKUP(A734,'Requirement Overview'!C:C,'Requirement Overview'!I:I))</f>
        <v>Field Sales Executive</v>
      </c>
      <c r="G734" s="702" t="str">
        <f>IF(ISBLANK(A734),"",_xlfn.XLOOKUP(A734,'Requirement Overview'!C:C,'Requirement Overview'!G:G))</f>
        <v>Peritas</v>
      </c>
      <c r="H734" s="717" t="s">
        <v>3026</v>
      </c>
      <c r="I734" s="702" t="s">
        <v>316</v>
      </c>
      <c r="J734" s="478" t="s">
        <v>3027</v>
      </c>
      <c r="K734" s="702">
        <v>8903616031</v>
      </c>
      <c r="L734" s="702" t="s">
        <v>1024</v>
      </c>
      <c r="M734" s="702" t="s">
        <v>2576</v>
      </c>
      <c r="N734" s="702" t="s">
        <v>3028</v>
      </c>
      <c r="O734" s="702" t="s">
        <v>327</v>
      </c>
      <c r="P734" s="702" t="s">
        <v>294</v>
      </c>
      <c r="Q734" s="702" t="s">
        <v>294</v>
      </c>
      <c r="R734" s="702" t="s">
        <v>623</v>
      </c>
      <c r="S734" s="702" t="s">
        <v>270</v>
      </c>
      <c r="T734" s="702" t="s">
        <v>103</v>
      </c>
      <c r="U734" s="703">
        <v>46077</v>
      </c>
      <c r="V734" s="703">
        <v>46077</v>
      </c>
      <c r="W734" s="702"/>
      <c r="X734" s="702"/>
      <c r="Y734" s="702"/>
      <c r="Z734" s="702"/>
      <c r="AA734" s="702"/>
      <c r="AB734" s="702"/>
      <c r="AC734" s="702"/>
      <c r="AD734" s="702"/>
      <c r="AE734" s="46"/>
    </row>
    <row r="735" spans="1:31" ht="14.45">
      <c r="A735" s="702" t="s">
        <v>59</v>
      </c>
      <c r="B735" s="702" t="s">
        <v>258</v>
      </c>
      <c r="C735" s="487" t="str">
        <f>IF(ISBLANK(B735),"",_xlfn.XLOOKUP(B735,Recruiter!A:A,Recruiter!B:B))</f>
        <v>Bhoomika</v>
      </c>
      <c r="D735" s="487" t="str">
        <f>IF(ISBLANK(A735),"",_xlfn.XLOOKUP(A735,'Requirement Overview'!C:C,'Requirement Overview'!E:E))</f>
        <v>Talme</v>
      </c>
      <c r="E735" s="487" t="str">
        <f>IF(ISBLANK(A735),"",_xlfn.XLOOKUP(A735,'Requirement Overview'!C:C,'Requirement Overview'!H:H))</f>
        <v>Non - IT</v>
      </c>
      <c r="F735" s="476" t="str">
        <f>IF(ISBLANK(A735),"",_xlfn.XLOOKUP(A735,'Requirement Overview'!C:C,'Requirement Overview'!I:I))</f>
        <v>Field Sales Executive</v>
      </c>
      <c r="G735" s="702" t="str">
        <f>IF(ISBLANK(A735),"",_xlfn.XLOOKUP(A735,'Requirement Overview'!C:C,'Requirement Overview'!G:G))</f>
        <v>Peritas</v>
      </c>
      <c r="H735" s="717" t="s">
        <v>3029</v>
      </c>
      <c r="I735" s="702" t="s">
        <v>262</v>
      </c>
      <c r="J735" s="478" t="s">
        <v>3030</v>
      </c>
      <c r="K735" s="702">
        <v>7996863884</v>
      </c>
      <c r="L735" s="702" t="s">
        <v>421</v>
      </c>
      <c r="M735" s="702" t="s">
        <v>306</v>
      </c>
      <c r="N735" s="702" t="s">
        <v>3031</v>
      </c>
      <c r="O735" s="702" t="s">
        <v>3032</v>
      </c>
      <c r="P735" s="702" t="s">
        <v>294</v>
      </c>
      <c r="Q735" s="702" t="s">
        <v>294</v>
      </c>
      <c r="R735" s="702" t="s">
        <v>726</v>
      </c>
      <c r="S735" s="702" t="s">
        <v>518</v>
      </c>
      <c r="T735" s="702" t="s">
        <v>103</v>
      </c>
      <c r="U735" s="703">
        <v>46077</v>
      </c>
      <c r="V735" s="703">
        <v>46077</v>
      </c>
      <c r="W735" s="702"/>
      <c r="X735" s="702"/>
      <c r="Y735" s="702"/>
      <c r="Z735" s="702"/>
      <c r="AA735" s="702"/>
      <c r="AB735" s="702"/>
      <c r="AC735" s="702"/>
      <c r="AD735" s="702"/>
      <c r="AE735" s="46"/>
    </row>
    <row r="736" spans="1:31" ht="14.45">
      <c r="A736" s="702" t="s">
        <v>59</v>
      </c>
      <c r="B736" s="702" t="s">
        <v>258</v>
      </c>
      <c r="C736" s="487" t="str">
        <f>IF(ISBLANK(B736),"",_xlfn.XLOOKUP(B736,Recruiter!A:A,Recruiter!B:B))</f>
        <v>Bhoomika</v>
      </c>
      <c r="D736" s="487" t="str">
        <f>IF(ISBLANK(A736),"",_xlfn.XLOOKUP(A736,'Requirement Overview'!C:C,'Requirement Overview'!E:E))</f>
        <v>Talme</v>
      </c>
      <c r="E736" s="487" t="str">
        <f>IF(ISBLANK(A736),"",_xlfn.XLOOKUP(A736,'Requirement Overview'!C:C,'Requirement Overview'!H:H))</f>
        <v>Non - IT</v>
      </c>
      <c r="F736" s="476" t="str">
        <f>IF(ISBLANK(A736),"",_xlfn.XLOOKUP(A736,'Requirement Overview'!C:C,'Requirement Overview'!I:I))</f>
        <v>Field Sales Executive</v>
      </c>
      <c r="G736" s="702" t="str">
        <f>IF(ISBLANK(A736),"",_xlfn.XLOOKUP(A736,'Requirement Overview'!C:C,'Requirement Overview'!G:G))</f>
        <v>Peritas</v>
      </c>
      <c r="H736" s="702" t="s">
        <v>3033</v>
      </c>
      <c r="I736" s="702" t="s">
        <v>316</v>
      </c>
      <c r="J736" s="478" t="s">
        <v>3034</v>
      </c>
      <c r="K736" s="702">
        <v>9902010450</v>
      </c>
      <c r="L736" s="702" t="s">
        <v>290</v>
      </c>
      <c r="M736" s="702" t="s">
        <v>566</v>
      </c>
      <c r="N736" s="702" t="s">
        <v>3035</v>
      </c>
      <c r="O736" s="702" t="s">
        <v>2398</v>
      </c>
      <c r="P736" s="702" t="s">
        <v>294</v>
      </c>
      <c r="Q736" s="702" t="s">
        <v>294</v>
      </c>
      <c r="R736" s="702" t="s">
        <v>1020</v>
      </c>
      <c r="S736" s="702" t="s">
        <v>270</v>
      </c>
      <c r="T736" s="702" t="s">
        <v>103</v>
      </c>
      <c r="U736" s="703">
        <v>46077</v>
      </c>
      <c r="V736" s="703">
        <v>46077</v>
      </c>
      <c r="W736" s="702"/>
      <c r="X736" s="702"/>
      <c r="Y736" s="702"/>
      <c r="Z736" s="702"/>
      <c r="AA736" s="702"/>
      <c r="AB736" s="702"/>
      <c r="AC736" s="702"/>
      <c r="AD736" s="702"/>
      <c r="AE736" s="46"/>
    </row>
    <row r="737" spans="1:31" ht="14.45">
      <c r="A737" s="702" t="s">
        <v>64</v>
      </c>
      <c r="B737" s="702" t="s">
        <v>258</v>
      </c>
      <c r="C737" s="487" t="str">
        <f>IF(ISBLANK(B737),"",_xlfn.XLOOKUP(B737,Recruiter!A:A,Recruiter!B:B))</f>
        <v>Bhoomika</v>
      </c>
      <c r="D737" s="487" t="str">
        <f>IF(ISBLANK(A737),"",_xlfn.XLOOKUP(A737,'Requirement Overview'!C:C,'Requirement Overview'!E:E))</f>
        <v>Talme</v>
      </c>
      <c r="E737" s="487" t="str">
        <f>IF(ISBLANK(A737),"",_xlfn.XLOOKUP(A737,'Requirement Overview'!C:C,'Requirement Overview'!H:H))</f>
        <v>Non - IT</v>
      </c>
      <c r="F737" s="476" t="str">
        <f>IF(ISBLANK(A737),"",_xlfn.XLOOKUP(A737,'Requirement Overview'!C:C,'Requirement Overview'!I:I))</f>
        <v>Sales Head</v>
      </c>
      <c r="G737" s="702" t="str">
        <f>IF(ISBLANK(A737),"",_xlfn.XLOOKUP(A737,'Requirement Overview'!C:C,'Requirement Overview'!G:G))</f>
        <v>Avinashi Ads</v>
      </c>
      <c r="H737" s="702" t="s">
        <v>3036</v>
      </c>
      <c r="I737" s="702" t="s">
        <v>497</v>
      </c>
      <c r="J737" s="483" t="s">
        <v>3037</v>
      </c>
      <c r="K737" s="702">
        <v>9148218134</v>
      </c>
      <c r="L737" s="702" t="s">
        <v>1160</v>
      </c>
      <c r="M737" s="702" t="s">
        <v>1763</v>
      </c>
      <c r="N737" s="702" t="s">
        <v>3038</v>
      </c>
      <c r="O737" s="702" t="s">
        <v>715</v>
      </c>
      <c r="P737" s="702" t="s">
        <v>294</v>
      </c>
      <c r="Q737" s="702" t="s">
        <v>294</v>
      </c>
      <c r="R737" s="702" t="s">
        <v>623</v>
      </c>
      <c r="S737" s="702" t="s">
        <v>601</v>
      </c>
      <c r="T737" s="702" t="s">
        <v>103</v>
      </c>
      <c r="U737" s="703">
        <v>46078</v>
      </c>
      <c r="V737" s="703">
        <v>46078</v>
      </c>
      <c r="W737" s="702" t="s">
        <v>3039</v>
      </c>
      <c r="X737" s="702"/>
      <c r="Y737" s="702"/>
      <c r="Z737" s="702"/>
      <c r="AA737" s="702"/>
      <c r="AB737" s="702"/>
      <c r="AC737" s="702"/>
      <c r="AD737" s="702"/>
      <c r="AE737" s="46"/>
    </row>
    <row r="738" spans="1:31" ht="14.45">
      <c r="A738" s="702" t="s">
        <v>64</v>
      </c>
      <c r="B738" s="702" t="s">
        <v>258</v>
      </c>
      <c r="C738" s="487" t="str">
        <f>IF(ISBLANK(B738),"",_xlfn.XLOOKUP(B738,Recruiter!A:A,Recruiter!B:B))</f>
        <v>Bhoomika</v>
      </c>
      <c r="D738" s="487" t="str">
        <f>IF(ISBLANK(A738),"",_xlfn.XLOOKUP(A738,'Requirement Overview'!C:C,'Requirement Overview'!E:E))</f>
        <v>Talme</v>
      </c>
      <c r="E738" s="487" t="str">
        <f>IF(ISBLANK(A738),"",_xlfn.XLOOKUP(A738,'Requirement Overview'!C:C,'Requirement Overview'!H:H))</f>
        <v>Non - IT</v>
      </c>
      <c r="F738" s="476" t="str">
        <f>IF(ISBLANK(A738),"",_xlfn.XLOOKUP(A738,'Requirement Overview'!C:C,'Requirement Overview'!I:I))</f>
        <v>Sales Head</v>
      </c>
      <c r="G738" s="702" t="str">
        <f>IF(ISBLANK(A738),"",_xlfn.XLOOKUP(A738,'Requirement Overview'!C:C,'Requirement Overview'!G:G))</f>
        <v>Avinashi Ads</v>
      </c>
      <c r="H738" s="702" t="s">
        <v>3040</v>
      </c>
      <c r="I738" s="702" t="s">
        <v>262</v>
      </c>
      <c r="J738" s="484" t="s">
        <v>3041</v>
      </c>
      <c r="K738" s="702">
        <v>8892847420</v>
      </c>
      <c r="L738" s="702" t="s">
        <v>290</v>
      </c>
      <c r="M738" s="702" t="s">
        <v>351</v>
      </c>
      <c r="N738" s="702" t="s">
        <v>3042</v>
      </c>
      <c r="O738" s="702" t="s">
        <v>1608</v>
      </c>
      <c r="P738" s="702" t="s">
        <v>294</v>
      </c>
      <c r="Q738" s="702" t="s">
        <v>294</v>
      </c>
      <c r="R738" s="702" t="s">
        <v>623</v>
      </c>
      <c r="S738" s="702" t="s">
        <v>601</v>
      </c>
      <c r="T738" s="702" t="s">
        <v>103</v>
      </c>
      <c r="U738" s="703">
        <v>46078</v>
      </c>
      <c r="V738" s="703">
        <v>46078</v>
      </c>
      <c r="W738" s="702" t="s">
        <v>3039</v>
      </c>
      <c r="X738" s="702"/>
      <c r="Y738" s="702"/>
      <c r="Z738" s="702"/>
      <c r="AA738" s="702"/>
      <c r="AB738" s="702"/>
      <c r="AC738" s="702"/>
      <c r="AD738" s="702"/>
      <c r="AE738" s="46"/>
    </row>
    <row r="739" spans="1:31" ht="14.45">
      <c r="A739" s="702" t="s">
        <v>64</v>
      </c>
      <c r="B739" s="702" t="s">
        <v>258</v>
      </c>
      <c r="C739" s="487" t="str">
        <f>IF(ISBLANK(B739),"",_xlfn.XLOOKUP(B739,Recruiter!A:A,Recruiter!B:B))</f>
        <v>Bhoomika</v>
      </c>
      <c r="D739" s="487" t="str">
        <f>IF(ISBLANK(A739),"",_xlfn.XLOOKUP(A739,'Requirement Overview'!C:C,'Requirement Overview'!E:E))</f>
        <v>Talme</v>
      </c>
      <c r="E739" s="487" t="str">
        <f>IF(ISBLANK(A739),"",_xlfn.XLOOKUP(A739,'Requirement Overview'!C:C,'Requirement Overview'!H:H))</f>
        <v>Non - IT</v>
      </c>
      <c r="F739" s="476" t="str">
        <f>IF(ISBLANK(A739),"",_xlfn.XLOOKUP(A739,'Requirement Overview'!C:C,'Requirement Overview'!I:I))</f>
        <v>Sales Head</v>
      </c>
      <c r="G739" s="702" t="str">
        <f>IF(ISBLANK(A739),"",_xlfn.XLOOKUP(A739,'Requirement Overview'!C:C,'Requirement Overview'!G:G))</f>
        <v>Avinashi Ads</v>
      </c>
      <c r="H739" s="702" t="s">
        <v>3043</v>
      </c>
      <c r="I739" s="702" t="s">
        <v>262</v>
      </c>
      <c r="J739" s="484" t="s">
        <v>3044</v>
      </c>
      <c r="K739" s="702">
        <v>9066669993</v>
      </c>
      <c r="L739" s="702" t="s">
        <v>330</v>
      </c>
      <c r="M739" s="702" t="s">
        <v>1598</v>
      </c>
      <c r="N739" s="702" t="s">
        <v>3045</v>
      </c>
      <c r="O739" s="702" t="s">
        <v>589</v>
      </c>
      <c r="P739" s="702" t="s">
        <v>294</v>
      </c>
      <c r="Q739" s="702" t="s">
        <v>294</v>
      </c>
      <c r="R739" s="706" t="s">
        <v>308</v>
      </c>
      <c r="S739" s="702" t="s">
        <v>601</v>
      </c>
      <c r="T739" s="702" t="s">
        <v>103</v>
      </c>
      <c r="U739" s="703">
        <v>46078</v>
      </c>
      <c r="V739" s="703">
        <v>46078</v>
      </c>
      <c r="W739" s="702" t="s">
        <v>3039</v>
      </c>
      <c r="X739" s="702"/>
      <c r="Y739" s="702"/>
      <c r="Z739" s="702"/>
      <c r="AA739" s="702"/>
      <c r="AB739" s="702"/>
      <c r="AC739" s="702"/>
      <c r="AD739" s="702"/>
      <c r="AE739" s="46"/>
    </row>
    <row r="740" spans="1:31" ht="14.45">
      <c r="A740" s="47" t="s">
        <v>64</v>
      </c>
      <c r="B740" s="47" t="s">
        <v>236</v>
      </c>
      <c r="C740" s="129" t="str">
        <f>IF(ISBLANK(B740),"",_xlfn.XLOOKUP(B740,Recruiter!A:A,Recruiter!B:B))</f>
        <v>Pooja</v>
      </c>
      <c r="D740" s="129" t="str">
        <f>IF(ISBLANK(A740),"",_xlfn.XLOOKUP(A740,'Requirement Overview'!C:C,'Requirement Overview'!E:E))</f>
        <v>Talme</v>
      </c>
      <c r="E740" s="129" t="str">
        <f>IF(ISBLANK(A740),"",_xlfn.XLOOKUP(A740,'Requirement Overview'!C:C,'Requirement Overview'!H:H))</f>
        <v>Non - IT</v>
      </c>
      <c r="F740" s="80" t="str">
        <f>IF(ISBLANK(A740),"",_xlfn.XLOOKUP(A740,'Requirement Overview'!C:C,'Requirement Overview'!I:I))</f>
        <v>Sales Head</v>
      </c>
      <c r="G740" s="255" t="str">
        <f>IF(ISBLANK(A740),"",_xlfn.XLOOKUP(A740,'Requirement Overview'!C:C,'Requirement Overview'!G:G))</f>
        <v>Avinashi Ads</v>
      </c>
      <c r="H740" s="452" t="s">
        <v>3046</v>
      </c>
      <c r="I740" s="5" t="s">
        <v>892</v>
      </c>
      <c r="J740" s="618" t="s">
        <v>2961</v>
      </c>
      <c r="K740" s="585">
        <v>9986606365</v>
      </c>
      <c r="L740" s="5" t="s">
        <v>330</v>
      </c>
      <c r="M740" s="5" t="s">
        <v>829</v>
      </c>
      <c r="N740" s="585" t="s">
        <v>2962</v>
      </c>
      <c r="O740" s="5" t="s">
        <v>856</v>
      </c>
      <c r="P740" s="5" t="s">
        <v>294</v>
      </c>
      <c r="Q740" s="5" t="s">
        <v>268</v>
      </c>
      <c r="R740" s="5" t="s">
        <v>843</v>
      </c>
      <c r="S740" s="5" t="s">
        <v>470</v>
      </c>
      <c r="T740" s="5" t="s">
        <v>103</v>
      </c>
      <c r="U740" s="453">
        <v>46078</v>
      </c>
      <c r="V740" s="453">
        <v>46078</v>
      </c>
      <c r="W740" s="47"/>
      <c r="X740" s="47"/>
      <c r="Y740" s="47"/>
      <c r="Z740" s="47"/>
      <c r="AA740" s="47"/>
      <c r="AB740" s="47"/>
      <c r="AC740" s="47"/>
      <c r="AD740" s="47"/>
    </row>
    <row r="741" spans="1:31" ht="14.45">
      <c r="A741" s="24" t="s">
        <v>68</v>
      </c>
      <c r="B741" s="24" t="s">
        <v>236</v>
      </c>
      <c r="C741" s="84" t="str">
        <f>IF(ISBLANK(B741),"",_xlfn.XLOOKUP(B741,Recruiter!A:A,Recruiter!B:B))</f>
        <v>Pooja</v>
      </c>
      <c r="D741" s="84" t="str">
        <f>IF(ISBLANK(A741),"",_xlfn.XLOOKUP(A741,'Requirement Overview'!C:C,'Requirement Overview'!E:E))</f>
        <v>Talme</v>
      </c>
      <c r="E741" s="84" t="str">
        <f>IF(ISBLANK(A741),"",_xlfn.XLOOKUP(A741,'Requirement Overview'!C:C,'Requirement Overview'!H:H))</f>
        <v>Non - IT</v>
      </c>
      <c r="F741" s="19" t="str">
        <f>IF(ISBLANK(A741),"",_xlfn.XLOOKUP(A741,'Requirement Overview'!C:C,'Requirement Overview'!I:I))</f>
        <v>Associate Sales</v>
      </c>
      <c r="G741" s="58" t="str">
        <f>IF(ISBLANK(A741),"",_xlfn.XLOOKUP(A741,'Requirement Overview'!C:C,'Requirement Overview'!G:G))</f>
        <v>Avinashi Ads</v>
      </c>
      <c r="H741" s="266" t="s">
        <v>3047</v>
      </c>
      <c r="I741" s="3" t="s">
        <v>625</v>
      </c>
      <c r="J741" s="71" t="s">
        <v>3048</v>
      </c>
      <c r="K741" s="45">
        <v>9353747164</v>
      </c>
      <c r="L741" s="3" t="s">
        <v>3049</v>
      </c>
      <c r="M741" s="3" t="s">
        <v>986</v>
      </c>
      <c r="N741" s="45" t="s">
        <v>3050</v>
      </c>
      <c r="O741" s="3" t="s">
        <v>3051</v>
      </c>
      <c r="P741" s="3" t="s">
        <v>294</v>
      </c>
      <c r="Q741" s="3" t="s">
        <v>268</v>
      </c>
      <c r="R741" s="3" t="s">
        <v>3052</v>
      </c>
      <c r="S741" s="3" t="s">
        <v>470</v>
      </c>
      <c r="T741" s="3" t="s">
        <v>103</v>
      </c>
      <c r="U741" s="55">
        <v>46078</v>
      </c>
      <c r="V741" s="55">
        <v>46078</v>
      </c>
    </row>
    <row r="742" spans="1:31" ht="14.45">
      <c r="A742" s="24" t="s">
        <v>55</v>
      </c>
      <c r="B742" s="24" t="s">
        <v>236</v>
      </c>
      <c r="C742" s="84" t="str">
        <f>IF(ISBLANK(B742),"",_xlfn.XLOOKUP(B742,Recruiter!A:A,Recruiter!B:B))</f>
        <v>Pooja</v>
      </c>
      <c r="D742" s="84" t="str">
        <f>IF(ISBLANK(A742),"",_xlfn.XLOOKUP(A742,'Requirement Overview'!C:C,'Requirement Overview'!E:E))</f>
        <v>Talme</v>
      </c>
      <c r="E742" s="84" t="str">
        <f>IF(ISBLANK(A742),"",_xlfn.XLOOKUP(A742,'Requirement Overview'!C:C,'Requirement Overview'!H:H))</f>
        <v>Non - IT</v>
      </c>
      <c r="F742" s="19" t="str">
        <f>IF(ISBLANK(A742),"",_xlfn.XLOOKUP(A742,'Requirement Overview'!C:C,'Requirement Overview'!I:I))</f>
        <v>Inside Sales Executive</v>
      </c>
      <c r="G742" s="58" t="str">
        <f>IF(ISBLANK(A742),"",_xlfn.XLOOKUP(A742,'Requirement Overview'!C:C,'Requirement Overview'!G:G))</f>
        <v>Peritas</v>
      </c>
      <c r="H742" s="301" t="s">
        <v>3053</v>
      </c>
      <c r="I742" s="3" t="s">
        <v>262</v>
      </c>
      <c r="J742" s="302" t="s">
        <v>3054</v>
      </c>
      <c r="K742" s="3">
        <v>9791277224</v>
      </c>
      <c r="L742" s="3" t="s">
        <v>3055</v>
      </c>
      <c r="M742" s="3" t="s">
        <v>3056</v>
      </c>
      <c r="N742" s="3" t="s">
        <v>3057</v>
      </c>
      <c r="O742" s="3" t="s">
        <v>1020</v>
      </c>
      <c r="P742" s="3" t="s">
        <v>294</v>
      </c>
      <c r="Q742" s="3" t="s">
        <v>268</v>
      </c>
      <c r="R742" s="3" t="s">
        <v>434</v>
      </c>
      <c r="S742" s="24" t="s">
        <v>470</v>
      </c>
      <c r="T742" s="24" t="s">
        <v>103</v>
      </c>
      <c r="U742" s="29">
        <v>46079</v>
      </c>
      <c r="V742" s="29">
        <v>46079</v>
      </c>
    </row>
    <row r="743" spans="1:31" ht="14.45">
      <c r="A743" s="51" t="s">
        <v>55</v>
      </c>
      <c r="B743" s="51" t="s">
        <v>236</v>
      </c>
      <c r="C743" s="88" t="str">
        <f>IF(ISBLANK(B743),"",_xlfn.XLOOKUP(B743,Recruiter!A:A,Recruiter!B:B))</f>
        <v>Pooja</v>
      </c>
      <c r="D743" s="88" t="str">
        <f>IF(ISBLANK(A743),"",_xlfn.XLOOKUP(A743,'Requirement Overview'!C:C,'Requirement Overview'!E:E))</f>
        <v>Talme</v>
      </c>
      <c r="E743" s="88" t="str">
        <f>IF(ISBLANK(A743),"",_xlfn.XLOOKUP(A743,'Requirement Overview'!C:C,'Requirement Overview'!H:H))</f>
        <v>Non - IT</v>
      </c>
      <c r="F743" s="73" t="str">
        <f>IF(ISBLANK(A743),"",_xlfn.XLOOKUP(A743,'Requirement Overview'!C:C,'Requirement Overview'!I:I))</f>
        <v>Inside Sales Executive</v>
      </c>
      <c r="G743" s="62" t="str">
        <f>IF(ISBLANK(A743),"",_xlfn.XLOOKUP(A743,'Requirement Overview'!C:C,'Requirement Overview'!G:G))</f>
        <v>Peritas</v>
      </c>
      <c r="H743" s="400" t="s">
        <v>3058</v>
      </c>
      <c r="I743" s="50" t="s">
        <v>2139</v>
      </c>
      <c r="J743" s="556" t="s">
        <v>3059</v>
      </c>
      <c r="K743" s="50">
        <v>9945065016</v>
      </c>
      <c r="L743" s="50" t="s">
        <v>389</v>
      </c>
      <c r="M743" s="50" t="s">
        <v>1253</v>
      </c>
      <c r="N743" s="50" t="s">
        <v>3060</v>
      </c>
      <c r="O743" s="50" t="s">
        <v>3061</v>
      </c>
      <c r="P743" s="50" t="s">
        <v>294</v>
      </c>
      <c r="Q743" s="50" t="s">
        <v>268</v>
      </c>
      <c r="R743" s="50" t="s">
        <v>3062</v>
      </c>
      <c r="S743" s="51" t="s">
        <v>470</v>
      </c>
      <c r="T743" s="51" t="s">
        <v>103</v>
      </c>
      <c r="U743" s="89">
        <v>46079</v>
      </c>
      <c r="V743" s="89">
        <v>46079</v>
      </c>
      <c r="W743" s="51"/>
      <c r="X743" s="51"/>
      <c r="Y743" s="51"/>
      <c r="Z743" s="51"/>
      <c r="AA743" s="51"/>
      <c r="AB743" s="51"/>
      <c r="AC743" s="51"/>
      <c r="AD743" s="51"/>
    </row>
    <row r="744" spans="1:31" ht="14.45">
      <c r="A744" s="702" t="s">
        <v>61</v>
      </c>
      <c r="B744" s="702" t="s">
        <v>258</v>
      </c>
      <c r="C744" s="487" t="str">
        <f>IF(ISBLANK(B744),"",_xlfn.XLOOKUP(B744,Recruiter!A:A,Recruiter!B:B))</f>
        <v>Bhoomika</v>
      </c>
      <c r="D744" s="487" t="str">
        <f>IF(ISBLANK(A744),"",_xlfn.XLOOKUP(A744,'Requirement Overview'!C:C,'Requirement Overview'!E:E))</f>
        <v>Talme</v>
      </c>
      <c r="E744" s="487" t="str">
        <f>IF(ISBLANK(A744),"",_xlfn.XLOOKUP(A744,'Requirement Overview'!C:C,'Requirement Overview'!H:H))</f>
        <v>Non - IT</v>
      </c>
      <c r="F744" s="476" t="str">
        <f>IF(ISBLANK(A744),"",_xlfn.XLOOKUP(A744,'Requirement Overview'!C:C,'Requirement Overview'!I:I))</f>
        <v>Graphic Designer</v>
      </c>
      <c r="G744" s="702" t="str">
        <f>IF(ISBLANK(A744),"",_xlfn.XLOOKUP(A744,'Requirement Overview'!C:C,'Requirement Overview'!G:G))</f>
        <v>Avinashi Ads</v>
      </c>
      <c r="H744" s="702" t="s">
        <v>2214</v>
      </c>
      <c r="I744" s="702" t="s">
        <v>316</v>
      </c>
      <c r="J744" s="478" t="s">
        <v>2215</v>
      </c>
      <c r="K744" s="702">
        <v>8431111879</v>
      </c>
      <c r="L744" s="702" t="s">
        <v>318</v>
      </c>
      <c r="M744" s="702" t="s">
        <v>573</v>
      </c>
      <c r="N744" s="702" t="s">
        <v>574</v>
      </c>
      <c r="O744" s="702" t="s">
        <v>574</v>
      </c>
      <c r="P744" s="702" t="s">
        <v>1078</v>
      </c>
      <c r="Q744" s="702" t="s">
        <v>268</v>
      </c>
      <c r="R744" s="702" t="s">
        <v>623</v>
      </c>
      <c r="S744" s="702" t="s">
        <v>601</v>
      </c>
      <c r="T744" s="702" t="s">
        <v>271</v>
      </c>
      <c r="U744" s="703">
        <v>46079</v>
      </c>
      <c r="V744" s="703">
        <v>46079</v>
      </c>
      <c r="W744" s="702" t="s">
        <v>3039</v>
      </c>
      <c r="X744" s="702"/>
      <c r="Y744" s="702"/>
      <c r="Z744" s="702"/>
      <c r="AA744" s="702"/>
      <c r="AB744" s="702"/>
      <c r="AC744" s="702"/>
      <c r="AD744" s="702"/>
      <c r="AE744" s="46"/>
    </row>
    <row r="745" spans="1:31" ht="14.45">
      <c r="A745" s="702" t="s">
        <v>68</v>
      </c>
      <c r="B745" s="702" t="s">
        <v>258</v>
      </c>
      <c r="C745" s="487" t="str">
        <f>IF(ISBLANK(B745),"",_xlfn.XLOOKUP(B745,Recruiter!A:A,Recruiter!B:B))</f>
        <v>Bhoomika</v>
      </c>
      <c r="D745" s="487" t="str">
        <f>IF(ISBLANK(A745),"",_xlfn.XLOOKUP(A745,'Requirement Overview'!C:C,'Requirement Overview'!E:E))</f>
        <v>Talme</v>
      </c>
      <c r="E745" s="487" t="str">
        <f>IF(ISBLANK(A745),"",_xlfn.XLOOKUP(A745,'Requirement Overview'!C:C,'Requirement Overview'!H:H))</f>
        <v>Non - IT</v>
      </c>
      <c r="F745" s="476" t="str">
        <f>IF(ISBLANK(A745),"",_xlfn.XLOOKUP(A745,'Requirement Overview'!C:C,'Requirement Overview'!I:I))</f>
        <v>Associate Sales</v>
      </c>
      <c r="G745" s="702" t="str">
        <f>IF(ISBLANK(A745),"",_xlfn.XLOOKUP(A745,'Requirement Overview'!C:C,'Requirement Overview'!G:G))</f>
        <v>Avinashi Ads</v>
      </c>
      <c r="H745" s="479" t="s">
        <v>3063</v>
      </c>
      <c r="I745" s="702" t="s">
        <v>497</v>
      </c>
      <c r="J745" s="478" t="s">
        <v>3064</v>
      </c>
      <c r="K745" s="702">
        <v>7619474350</v>
      </c>
      <c r="L745" s="702" t="s">
        <v>3065</v>
      </c>
      <c r="M745" s="702" t="s">
        <v>1490</v>
      </c>
      <c r="N745" s="702" t="s">
        <v>3066</v>
      </c>
      <c r="O745" s="702" t="s">
        <v>3067</v>
      </c>
      <c r="P745" s="702" t="s">
        <v>294</v>
      </c>
      <c r="Q745" s="702" t="s">
        <v>268</v>
      </c>
      <c r="R745" s="702" t="s">
        <v>3068</v>
      </c>
      <c r="S745" s="702" t="s">
        <v>375</v>
      </c>
      <c r="T745" s="702" t="s">
        <v>103</v>
      </c>
      <c r="U745" s="703">
        <v>46079</v>
      </c>
      <c r="V745" s="703">
        <v>46079</v>
      </c>
      <c r="W745" s="702" t="s">
        <v>3069</v>
      </c>
      <c r="X745" s="702"/>
      <c r="Y745" s="702"/>
      <c r="Z745" s="702"/>
      <c r="AA745" s="702"/>
      <c r="AB745" s="702"/>
      <c r="AC745" s="702"/>
      <c r="AD745" s="702"/>
      <c r="AE745" s="46"/>
    </row>
    <row r="746" spans="1:31" ht="14.45">
      <c r="A746" s="47" t="s">
        <v>35</v>
      </c>
      <c r="B746" s="47" t="s">
        <v>340</v>
      </c>
      <c r="C746" s="129" t="str">
        <f>IF(ISBLANK(B746),"",_xlfn.XLOOKUP(B746,Recruiter!A:A,Recruiter!B:B))</f>
        <v>Harshitha</v>
      </c>
      <c r="D746" s="129" t="str">
        <f>IF(ISBLANK(A746),"",_xlfn.XLOOKUP(A746,'Requirement Overview'!C:C,'Requirement Overview'!E:E))</f>
        <v>Talme</v>
      </c>
      <c r="E746" s="129" t="str">
        <f>IF(ISBLANK(A746),"",_xlfn.XLOOKUP(A746,'Requirement Overview'!C:C,'Requirement Overview'!H:H))</f>
        <v>IT</v>
      </c>
      <c r="F746" s="80" t="str">
        <f>IF(ISBLANK(A746),"",_xlfn.XLOOKUP(A746,'Requirement Overview'!C:C,'Requirement Overview'!I:I))</f>
        <v>Windows system adminstrator</v>
      </c>
      <c r="G746" s="255" t="str">
        <f>IF(ISBLANK(A746),"",_xlfn.XLOOKUP(A746,'Requirement Overview'!C:C,'Requirement Overview'!G:G))</f>
        <v>EMIDS</v>
      </c>
      <c r="H746" s="622" t="s">
        <v>3070</v>
      </c>
      <c r="I746" s="623" t="s">
        <v>519</v>
      </c>
      <c r="J746" s="625" t="s">
        <v>3071</v>
      </c>
      <c r="K746" s="624">
        <v>9080643287</v>
      </c>
      <c r="L746" s="623" t="s">
        <v>421</v>
      </c>
      <c r="M746" s="623" t="s">
        <v>395</v>
      </c>
      <c r="N746" s="626" t="s">
        <v>3072</v>
      </c>
      <c r="O746" s="47" t="s">
        <v>367</v>
      </c>
      <c r="P746" s="623" t="s">
        <v>268</v>
      </c>
      <c r="Q746" s="623" t="s">
        <v>268</v>
      </c>
      <c r="R746" s="47" t="s">
        <v>368</v>
      </c>
      <c r="S746" s="47" t="s">
        <v>270</v>
      </c>
      <c r="T746" s="47" t="s">
        <v>103</v>
      </c>
      <c r="U746" s="118">
        <v>46077</v>
      </c>
      <c r="V746" s="118">
        <v>46077</v>
      </c>
      <c r="W746" s="47"/>
      <c r="X746" s="47"/>
      <c r="Y746" s="47"/>
      <c r="Z746" s="47"/>
      <c r="AA746" s="47"/>
      <c r="AB746" s="47"/>
      <c r="AC746" s="47"/>
      <c r="AD746" s="47"/>
    </row>
    <row r="747" spans="1:31" ht="14.45">
      <c r="A747" s="24" t="s">
        <v>35</v>
      </c>
      <c r="B747" s="24" t="s">
        <v>340</v>
      </c>
      <c r="C747" s="84" t="str">
        <f>IF(ISBLANK(B747),"",_xlfn.XLOOKUP(B747,Recruiter!A:A,Recruiter!B:B))</f>
        <v>Harshitha</v>
      </c>
      <c r="D747" s="84" t="str">
        <f>IF(ISBLANK(A747),"",_xlfn.XLOOKUP(A747,'Requirement Overview'!C:C,'Requirement Overview'!E:E))</f>
        <v>Talme</v>
      </c>
      <c r="E747" s="84" t="str">
        <f>IF(ISBLANK(A747),"",_xlfn.XLOOKUP(A747,'Requirement Overview'!C:C,'Requirement Overview'!H:H))</f>
        <v>IT</v>
      </c>
      <c r="F747" s="19" t="str">
        <f>IF(ISBLANK(A747),"",_xlfn.XLOOKUP(A747,'Requirement Overview'!C:C,'Requirement Overview'!I:I))</f>
        <v>Windows system adminstrator</v>
      </c>
      <c r="G747" s="58" t="str">
        <f>IF(ISBLANK(A747),"",_xlfn.XLOOKUP(A747,'Requirement Overview'!C:C,'Requirement Overview'!G:G))</f>
        <v>EMIDS</v>
      </c>
      <c r="H747" s="276" t="s">
        <v>3073</v>
      </c>
      <c r="I747" s="44" t="s">
        <v>1755</v>
      </c>
      <c r="J747" s="257" t="s">
        <v>3074</v>
      </c>
      <c r="K747" s="277">
        <v>8470917771</v>
      </c>
      <c r="L747" s="44" t="s">
        <v>305</v>
      </c>
      <c r="M747" s="44" t="s">
        <v>395</v>
      </c>
      <c r="N747" s="126" t="s">
        <v>3075</v>
      </c>
      <c r="O747" s="24" t="s">
        <v>386</v>
      </c>
      <c r="P747" s="44" t="s">
        <v>806</v>
      </c>
      <c r="Q747" s="44" t="s">
        <v>806</v>
      </c>
      <c r="R747" s="24" t="s">
        <v>1144</v>
      </c>
      <c r="S747" s="24" t="s">
        <v>270</v>
      </c>
      <c r="T747" s="24" t="s">
        <v>103</v>
      </c>
      <c r="U747" s="29">
        <v>46077</v>
      </c>
      <c r="V747" s="29">
        <v>46077</v>
      </c>
    </row>
    <row r="748" spans="1:31" ht="14.45">
      <c r="A748" s="24" t="s">
        <v>35</v>
      </c>
      <c r="B748" s="24" t="s">
        <v>340</v>
      </c>
      <c r="C748" s="84" t="str">
        <f>IF(ISBLANK(B748),"",_xlfn.XLOOKUP(B748,Recruiter!A:A,Recruiter!B:B))</f>
        <v>Harshitha</v>
      </c>
      <c r="D748" s="84" t="str">
        <f>IF(ISBLANK(A748),"",_xlfn.XLOOKUP(A748,'Requirement Overview'!C:C,'Requirement Overview'!E:E))</f>
        <v>Talme</v>
      </c>
      <c r="E748" s="84" t="str">
        <f>IF(ISBLANK(A748),"",_xlfn.XLOOKUP(A748,'Requirement Overview'!C:C,'Requirement Overview'!H:H))</f>
        <v>IT</v>
      </c>
      <c r="F748" s="19" t="str">
        <f>IF(ISBLANK(A748),"",_xlfn.XLOOKUP(A748,'Requirement Overview'!C:C,'Requirement Overview'!I:I))</f>
        <v>Windows system adminstrator</v>
      </c>
      <c r="G748" s="58" t="str">
        <f>IF(ISBLANK(A748),"",_xlfn.XLOOKUP(A748,'Requirement Overview'!C:C,'Requirement Overview'!G:G))</f>
        <v>EMIDS</v>
      </c>
      <c r="H748" s="276" t="s">
        <v>3076</v>
      </c>
      <c r="I748" s="389" t="s">
        <v>519</v>
      </c>
      <c r="J748" s="390" t="s">
        <v>3077</v>
      </c>
      <c r="K748" s="391">
        <v>8754669657</v>
      </c>
      <c r="L748" s="389" t="s">
        <v>305</v>
      </c>
      <c r="M748" s="389" t="s">
        <v>2410</v>
      </c>
      <c r="N748" s="389" t="s">
        <v>3078</v>
      </c>
      <c r="O748" s="24" t="s">
        <v>386</v>
      </c>
      <c r="P748" s="389" t="s">
        <v>268</v>
      </c>
      <c r="Q748" s="389" t="s">
        <v>268</v>
      </c>
      <c r="R748" s="24" t="s">
        <v>540</v>
      </c>
      <c r="S748" s="24" t="s">
        <v>375</v>
      </c>
      <c r="T748" s="24" t="s">
        <v>271</v>
      </c>
      <c r="U748" s="29">
        <v>46079</v>
      </c>
      <c r="V748" s="29">
        <v>46079</v>
      </c>
    </row>
    <row r="749" spans="1:31" ht="14.45">
      <c r="A749" s="24" t="s">
        <v>35</v>
      </c>
      <c r="B749" s="24" t="s">
        <v>340</v>
      </c>
      <c r="C749" s="84" t="str">
        <f>IF(ISBLANK(B749),"",_xlfn.XLOOKUP(B749,Recruiter!A:A,Recruiter!B:B))</f>
        <v>Harshitha</v>
      </c>
      <c r="D749" s="84" t="str">
        <f>IF(ISBLANK(A749),"",_xlfn.XLOOKUP(A749,'Requirement Overview'!C:C,'Requirement Overview'!E:E))</f>
        <v>Talme</v>
      </c>
      <c r="E749" s="84" t="str">
        <f>IF(ISBLANK(A749),"",_xlfn.XLOOKUP(A749,'Requirement Overview'!C:C,'Requirement Overview'!H:H))</f>
        <v>IT</v>
      </c>
      <c r="F749" s="19" t="str">
        <f>IF(ISBLANK(A749),"",_xlfn.XLOOKUP(A749,'Requirement Overview'!C:C,'Requirement Overview'!I:I))</f>
        <v>Windows system adminstrator</v>
      </c>
      <c r="G749" s="58" t="str">
        <f>IF(ISBLANK(A749),"",_xlfn.XLOOKUP(A749,'Requirement Overview'!C:C,'Requirement Overview'!G:G))</f>
        <v>EMIDS</v>
      </c>
      <c r="H749" s="277" t="s">
        <v>3079</v>
      </c>
      <c r="I749" s="389" t="s">
        <v>519</v>
      </c>
      <c r="J749" s="390" t="s">
        <v>3080</v>
      </c>
      <c r="K749" s="391">
        <v>8999097040</v>
      </c>
      <c r="L749" s="389" t="s">
        <v>404</v>
      </c>
      <c r="M749" s="389" t="s">
        <v>399</v>
      </c>
      <c r="N749" s="389" t="s">
        <v>3081</v>
      </c>
      <c r="O749" s="24" t="s">
        <v>589</v>
      </c>
      <c r="P749" s="389" t="s">
        <v>879</v>
      </c>
      <c r="Q749" s="389" t="s">
        <v>879</v>
      </c>
      <c r="R749" s="24" t="s">
        <v>1144</v>
      </c>
      <c r="S749" s="24" t="s">
        <v>270</v>
      </c>
      <c r="T749" s="24" t="s">
        <v>271</v>
      </c>
      <c r="U749" s="29">
        <v>46079</v>
      </c>
      <c r="V749" s="29">
        <v>46079</v>
      </c>
    </row>
    <row r="750" spans="1:31" ht="14.45">
      <c r="A750" s="24" t="s">
        <v>35</v>
      </c>
      <c r="B750" s="24" t="s">
        <v>340</v>
      </c>
      <c r="C750" s="84" t="str">
        <f>IF(ISBLANK(B750),"",_xlfn.XLOOKUP(B750,Recruiter!A:A,Recruiter!B:B))</f>
        <v>Harshitha</v>
      </c>
      <c r="D750" s="84" t="str">
        <f>IF(ISBLANK(A750),"",_xlfn.XLOOKUP(A750,'Requirement Overview'!C:C,'Requirement Overview'!E:E))</f>
        <v>Talme</v>
      </c>
      <c r="E750" s="84" t="str">
        <f>IF(ISBLANK(A750),"",_xlfn.XLOOKUP(A750,'Requirement Overview'!C:C,'Requirement Overview'!H:H))</f>
        <v>IT</v>
      </c>
      <c r="F750" s="19" t="str">
        <f>IF(ISBLANK(A750),"",_xlfn.XLOOKUP(A750,'Requirement Overview'!C:C,'Requirement Overview'!I:I))</f>
        <v>Windows system adminstrator</v>
      </c>
      <c r="G750" s="58" t="str">
        <f>IF(ISBLANK(A750),"",_xlfn.XLOOKUP(A750,'Requirement Overview'!C:C,'Requirement Overview'!G:G))</f>
        <v>EMIDS</v>
      </c>
      <c r="H750" s="276" t="s">
        <v>1517</v>
      </c>
      <c r="I750" s="389" t="s">
        <v>519</v>
      </c>
      <c r="J750" s="392" t="s">
        <v>3082</v>
      </c>
      <c r="K750" s="392">
        <v>8125826988</v>
      </c>
      <c r="L750" s="389" t="s">
        <v>378</v>
      </c>
      <c r="M750" s="389" t="s">
        <v>395</v>
      </c>
      <c r="N750" s="389" t="s">
        <v>3083</v>
      </c>
      <c r="O750" s="24" t="s">
        <v>540</v>
      </c>
      <c r="P750" s="389" t="s">
        <v>879</v>
      </c>
      <c r="Q750" s="389" t="s">
        <v>879</v>
      </c>
      <c r="R750" s="24" t="s">
        <v>757</v>
      </c>
      <c r="S750" s="24" t="s">
        <v>270</v>
      </c>
      <c r="T750" s="24" t="s">
        <v>271</v>
      </c>
      <c r="U750" s="29">
        <v>46079</v>
      </c>
      <c r="V750" s="29">
        <v>46079</v>
      </c>
    </row>
    <row r="751" spans="1:31" ht="14.45">
      <c r="A751" s="24" t="s">
        <v>92</v>
      </c>
      <c r="B751" s="24" t="s">
        <v>340</v>
      </c>
      <c r="C751" s="84" t="str">
        <f>IF(ISBLANK(B751),"",_xlfn.XLOOKUP(B751,Recruiter!A:A,Recruiter!B:B))</f>
        <v>Harshitha</v>
      </c>
      <c r="D751" s="84" t="str">
        <f>IF(ISBLANK(A751),"",_xlfn.XLOOKUP(A751,'Requirement Overview'!C:C,'Requirement Overview'!E:E))</f>
        <v>Talme</v>
      </c>
      <c r="E751" s="84" t="str">
        <f>IF(ISBLANK(A751),"",_xlfn.XLOOKUP(A751,'Requirement Overview'!C:C,'Requirement Overview'!H:H))</f>
        <v>IT</v>
      </c>
      <c r="F751" s="19" t="str">
        <f>IF(ISBLANK(A751),"",_xlfn.XLOOKUP(A751,'Requirement Overview'!C:C,'Requirement Overview'!I:I))</f>
        <v>Lead Data Engineer</v>
      </c>
      <c r="G751" s="58" t="str">
        <f>IF(ISBLANK(A751),"",_xlfn.XLOOKUP(A751,'Requirement Overview'!C:C,'Requirement Overview'!G:G))</f>
        <v>Thoughtfocus</v>
      </c>
      <c r="H751" s="276" t="s">
        <v>3084</v>
      </c>
      <c r="I751" s="3" t="s">
        <v>3085</v>
      </c>
      <c r="J751" s="353" t="s">
        <v>3086</v>
      </c>
      <c r="K751" s="259">
        <v>9538522233</v>
      </c>
      <c r="L751" s="3" t="s">
        <v>305</v>
      </c>
      <c r="M751" s="3" t="s">
        <v>1598</v>
      </c>
      <c r="N751" s="126" t="s">
        <v>3087</v>
      </c>
      <c r="O751" s="3" t="s">
        <v>475</v>
      </c>
      <c r="P751" s="3" t="s">
        <v>268</v>
      </c>
      <c r="Q751" s="3" t="s">
        <v>268</v>
      </c>
      <c r="R751" s="3" t="s">
        <v>469</v>
      </c>
      <c r="S751" s="24" t="s">
        <v>270</v>
      </c>
      <c r="T751" s="24" t="s">
        <v>103</v>
      </c>
      <c r="U751" s="29">
        <v>46077</v>
      </c>
      <c r="V751" s="29">
        <v>46077</v>
      </c>
    </row>
    <row r="752" spans="1:31" ht="14.45">
      <c r="A752" s="24" t="s">
        <v>92</v>
      </c>
      <c r="B752" s="24" t="s">
        <v>340</v>
      </c>
      <c r="C752" s="84" t="str">
        <f>IF(ISBLANK(B752),"",_xlfn.XLOOKUP(B752,Recruiter!A:A,Recruiter!B:B))</f>
        <v>Harshitha</v>
      </c>
      <c r="D752" s="84" t="str">
        <f>IF(ISBLANK(A752),"",_xlfn.XLOOKUP(A752,'Requirement Overview'!C:C,'Requirement Overview'!E:E))</f>
        <v>Talme</v>
      </c>
      <c r="E752" s="84" t="str">
        <f>IF(ISBLANK(A752),"",_xlfn.XLOOKUP(A752,'Requirement Overview'!C:C,'Requirement Overview'!H:H))</f>
        <v>IT</v>
      </c>
      <c r="F752" s="19" t="str">
        <f>IF(ISBLANK(A752),"",_xlfn.XLOOKUP(A752,'Requirement Overview'!C:C,'Requirement Overview'!I:I))</f>
        <v>Lead Data Engineer</v>
      </c>
      <c r="G752" s="58" t="str">
        <f>IF(ISBLANK(A752),"",_xlfn.XLOOKUP(A752,'Requirement Overview'!C:C,'Requirement Overview'!G:G))</f>
        <v>Thoughtfocus</v>
      </c>
      <c r="H752" s="276" t="s">
        <v>3088</v>
      </c>
      <c r="I752" s="3" t="s">
        <v>519</v>
      </c>
      <c r="J752" s="353" t="s">
        <v>3089</v>
      </c>
      <c r="K752" s="259">
        <v>8147684237</v>
      </c>
      <c r="L752" s="3" t="s">
        <v>378</v>
      </c>
      <c r="M752" s="3" t="s">
        <v>1763</v>
      </c>
      <c r="N752" s="126" t="s">
        <v>2492</v>
      </c>
      <c r="O752" s="3" t="s">
        <v>691</v>
      </c>
      <c r="P752" s="3" t="s">
        <v>268</v>
      </c>
      <c r="Q752" s="3" t="s">
        <v>268</v>
      </c>
      <c r="R752" s="3" t="s">
        <v>455</v>
      </c>
      <c r="S752" s="24" t="s">
        <v>375</v>
      </c>
      <c r="T752" s="24" t="s">
        <v>103</v>
      </c>
      <c r="U752" s="29">
        <v>46077</v>
      </c>
      <c r="V752" s="29">
        <v>46077</v>
      </c>
    </row>
    <row r="753" spans="1:45" ht="14.45">
      <c r="A753" s="51" t="s">
        <v>68</v>
      </c>
      <c r="B753" s="51" t="s">
        <v>236</v>
      </c>
      <c r="C753" s="88" t="str">
        <f>IF(ISBLANK(B753),"",_xlfn.XLOOKUP(B753,Recruiter!A:A,Recruiter!B:B))</f>
        <v>Pooja</v>
      </c>
      <c r="D753" s="88" t="str">
        <f>IF(ISBLANK(A753),"",_xlfn.XLOOKUP(A753,'Requirement Overview'!C:C,'Requirement Overview'!E:E))</f>
        <v>Talme</v>
      </c>
      <c r="E753" s="88" t="str">
        <f>IF(ISBLANK(A753),"",_xlfn.XLOOKUP(A753,'Requirement Overview'!C:C,'Requirement Overview'!H:H))</f>
        <v>Non - IT</v>
      </c>
      <c r="F753" s="73" t="str">
        <f>IF(ISBLANK(A753),"",_xlfn.XLOOKUP(A753,'Requirement Overview'!C:C,'Requirement Overview'!I:I))</f>
        <v>Associate Sales</v>
      </c>
      <c r="G753" s="62" t="str">
        <f>IF(ISBLANK(A753),"",_xlfn.XLOOKUP(A753,'Requirement Overview'!C:C,'Requirement Overview'!G:G))</f>
        <v>Avinashi Ads</v>
      </c>
      <c r="H753" s="287" t="s">
        <v>3090</v>
      </c>
      <c r="I753" s="50" t="s">
        <v>519</v>
      </c>
      <c r="J753" s="341" t="s">
        <v>3091</v>
      </c>
      <c r="K753" s="388">
        <v>6361156074</v>
      </c>
      <c r="L753" s="108" t="s">
        <v>330</v>
      </c>
      <c r="M753" s="51" t="s">
        <v>1355</v>
      </c>
      <c r="N753" s="388" t="s">
        <v>3092</v>
      </c>
      <c r="O753" s="51"/>
      <c r="P753" s="50" t="s">
        <v>268</v>
      </c>
      <c r="Q753" s="50" t="s">
        <v>268</v>
      </c>
      <c r="R753" s="51" t="s">
        <v>3093</v>
      </c>
      <c r="S753" s="51" t="s">
        <v>470</v>
      </c>
      <c r="T753" s="51" t="s">
        <v>103</v>
      </c>
      <c r="U753" s="89">
        <v>46080</v>
      </c>
      <c r="V753" s="89">
        <v>46080</v>
      </c>
      <c r="W753" s="51"/>
      <c r="X753" s="51"/>
      <c r="Y753" s="51"/>
      <c r="Z753" s="51"/>
      <c r="AA753" s="51"/>
      <c r="AB753" s="51"/>
      <c r="AC753" s="51"/>
      <c r="AD753" s="51"/>
    </row>
    <row r="754" spans="1:45" ht="14.45">
      <c r="A754" s="702" t="s">
        <v>68</v>
      </c>
      <c r="B754" s="702" t="s">
        <v>258</v>
      </c>
      <c r="C754" s="487" t="str">
        <f>IF(ISBLANK(B754),"",_xlfn.XLOOKUP(B754,Recruiter!A:A,Recruiter!B:B))</f>
        <v>Bhoomika</v>
      </c>
      <c r="D754" s="487" t="str">
        <f>IF(ISBLANK(A754),"",_xlfn.XLOOKUP(A754,'Requirement Overview'!C:C,'Requirement Overview'!E:E))</f>
        <v>Talme</v>
      </c>
      <c r="E754" s="487" t="str">
        <f>IF(ISBLANK(A754),"",_xlfn.XLOOKUP(A754,'Requirement Overview'!C:C,'Requirement Overview'!H:H))</f>
        <v>Non - IT</v>
      </c>
      <c r="F754" s="476" t="str">
        <f>IF(ISBLANK(A754),"",_xlfn.XLOOKUP(A754,'Requirement Overview'!C:C,'Requirement Overview'!I:I))</f>
        <v>Associate Sales</v>
      </c>
      <c r="G754" s="702" t="str">
        <f>IF(ISBLANK(A754),"",_xlfn.XLOOKUP(A754,'Requirement Overview'!C:C,'Requirement Overview'!G:G))</f>
        <v>Avinashi Ads</v>
      </c>
      <c r="H754" s="713" t="s">
        <v>3094</v>
      </c>
      <c r="I754" s="702" t="s">
        <v>519</v>
      </c>
      <c r="J754" s="478" t="s">
        <v>3095</v>
      </c>
      <c r="K754" s="702">
        <v>7975146531</v>
      </c>
      <c r="L754" s="702" t="s">
        <v>2622</v>
      </c>
      <c r="M754" s="702" t="s">
        <v>312</v>
      </c>
      <c r="N754" s="702" t="s">
        <v>3096</v>
      </c>
      <c r="O754" s="702" t="s">
        <v>622</v>
      </c>
      <c r="P754" s="702" t="s">
        <v>268</v>
      </c>
      <c r="Q754" s="702" t="s">
        <v>268</v>
      </c>
      <c r="R754" s="702" t="s">
        <v>327</v>
      </c>
      <c r="S754" s="702" t="s">
        <v>601</v>
      </c>
      <c r="T754" s="702" t="s">
        <v>103</v>
      </c>
      <c r="U754" s="703">
        <v>46080</v>
      </c>
      <c r="V754" s="703">
        <v>46080</v>
      </c>
      <c r="W754" s="702" t="s">
        <v>3097</v>
      </c>
      <c r="X754" s="702"/>
      <c r="Y754" s="702"/>
      <c r="Z754" s="702"/>
      <c r="AA754" s="702"/>
      <c r="AB754" s="702"/>
      <c r="AC754" s="702"/>
      <c r="AD754" s="702"/>
      <c r="AE754" s="46"/>
    </row>
    <row r="755" spans="1:45" ht="14.45">
      <c r="A755" s="47" t="s">
        <v>35</v>
      </c>
      <c r="B755" s="47" t="s">
        <v>340</v>
      </c>
      <c r="C755" s="129" t="str">
        <f>IF(ISBLANK(B755),"",_xlfn.XLOOKUP(B755,Recruiter!A:A,Recruiter!B:B))</f>
        <v>Harshitha</v>
      </c>
      <c r="D755" s="129" t="str">
        <f>IF(ISBLANK(A755),"",_xlfn.XLOOKUP(A755,'Requirement Overview'!C:C,'Requirement Overview'!E:E))</f>
        <v>Talme</v>
      </c>
      <c r="E755" s="129" t="str">
        <f>IF(ISBLANK(A755),"",_xlfn.XLOOKUP(A755,'Requirement Overview'!C:C,'Requirement Overview'!H:H))</f>
        <v>IT</v>
      </c>
      <c r="F755" s="80" t="str">
        <f>IF(ISBLANK(A755),"",_xlfn.XLOOKUP(A755,'Requirement Overview'!C:C,'Requirement Overview'!I:I))</f>
        <v>Windows system adminstrator</v>
      </c>
      <c r="G755" s="255" t="str">
        <f>IF(ISBLANK(A755),"",_xlfn.XLOOKUP(A755,'Requirement Overview'!C:C,'Requirement Overview'!G:G))</f>
        <v>EMIDS</v>
      </c>
      <c r="H755" s="624" t="s">
        <v>3098</v>
      </c>
      <c r="I755" s="627" t="s">
        <v>3099</v>
      </c>
      <c r="J755" s="628" t="s">
        <v>3100</v>
      </c>
      <c r="K755" s="623">
        <v>8535891079</v>
      </c>
      <c r="L755" s="627" t="s">
        <v>427</v>
      </c>
      <c r="M755" s="627" t="s">
        <v>1150</v>
      </c>
      <c r="N755" s="629" t="s">
        <v>3101</v>
      </c>
      <c r="O755" s="47" t="s">
        <v>386</v>
      </c>
      <c r="P755" s="627" t="s">
        <v>806</v>
      </c>
      <c r="Q755" s="627" t="s">
        <v>806</v>
      </c>
      <c r="R755" s="47" t="s">
        <v>1144</v>
      </c>
      <c r="S755" s="47" t="s">
        <v>375</v>
      </c>
      <c r="T755" s="47" t="s">
        <v>103</v>
      </c>
      <c r="U755" s="118">
        <v>46080</v>
      </c>
      <c r="V755" s="118">
        <v>46080</v>
      </c>
      <c r="W755" s="47"/>
      <c r="X755" s="47"/>
      <c r="Y755" s="47"/>
      <c r="Z755" s="47"/>
      <c r="AA755" s="47"/>
      <c r="AB755" s="47"/>
      <c r="AC755" s="47"/>
      <c r="AD755" s="47"/>
    </row>
    <row r="756" spans="1:45" ht="14.45">
      <c r="A756" s="24" t="s">
        <v>35</v>
      </c>
      <c r="B756" s="24" t="s">
        <v>340</v>
      </c>
      <c r="C756" s="84" t="str">
        <f>IF(ISBLANK(B756),"",_xlfn.XLOOKUP(B756,Recruiter!A:A,Recruiter!B:B))</f>
        <v>Harshitha</v>
      </c>
      <c r="D756" s="84" t="str">
        <f>IF(ISBLANK(A756),"",_xlfn.XLOOKUP(A756,'Requirement Overview'!C:C,'Requirement Overview'!E:E))</f>
        <v>Talme</v>
      </c>
      <c r="E756" s="84" t="str">
        <f>IF(ISBLANK(A756),"",_xlfn.XLOOKUP(A756,'Requirement Overview'!C:C,'Requirement Overview'!H:H))</f>
        <v>IT</v>
      </c>
      <c r="F756" s="19" t="str">
        <f>IF(ISBLANK(A756),"",_xlfn.XLOOKUP(A756,'Requirement Overview'!C:C,'Requirement Overview'!I:I))</f>
        <v>Windows system adminstrator</v>
      </c>
      <c r="G756" s="58" t="str">
        <f>IF(ISBLANK(A756),"",_xlfn.XLOOKUP(A756,'Requirement Overview'!C:C,'Requirement Overview'!G:G))</f>
        <v>EMIDS</v>
      </c>
      <c r="H756" s="276" t="s">
        <v>3102</v>
      </c>
      <c r="I756" s="389" t="s">
        <v>519</v>
      </c>
      <c r="J756" s="260" t="s">
        <v>3103</v>
      </c>
      <c r="K756" s="277">
        <v>9492872952</v>
      </c>
      <c r="L756" s="389" t="s">
        <v>290</v>
      </c>
      <c r="M756" s="389" t="s">
        <v>390</v>
      </c>
      <c r="N756" s="126" t="s">
        <v>380</v>
      </c>
      <c r="O756" s="24" t="s">
        <v>589</v>
      </c>
      <c r="P756" s="389" t="s">
        <v>268</v>
      </c>
      <c r="Q756" s="389" t="s">
        <v>268</v>
      </c>
      <c r="R756" s="24" t="s">
        <v>1144</v>
      </c>
      <c r="S756" s="24" t="s">
        <v>270</v>
      </c>
      <c r="T756" s="24" t="s">
        <v>103</v>
      </c>
      <c r="U756" s="29">
        <v>46080</v>
      </c>
      <c r="V756" s="29">
        <v>46080</v>
      </c>
    </row>
    <row r="757" spans="1:45" s="51" customFormat="1" ht="14.45">
      <c r="A757" s="51" t="s">
        <v>35</v>
      </c>
      <c r="B757" s="51" t="s">
        <v>340</v>
      </c>
      <c r="C757" s="88" t="str">
        <f>IF(ISBLANK(B757),"",_xlfn.XLOOKUP(B757,Recruiter!A:A,Recruiter!B:B))</f>
        <v>Harshitha</v>
      </c>
      <c r="D757" s="88" t="str">
        <f>IF(ISBLANK(A757),"",_xlfn.XLOOKUP(A757,'Requirement Overview'!C:C,'Requirement Overview'!E:E))</f>
        <v>Talme</v>
      </c>
      <c r="E757" s="88" t="str">
        <f>IF(ISBLANK(A757),"",_xlfn.XLOOKUP(A757,'Requirement Overview'!C:C,'Requirement Overview'!H:H))</f>
        <v>IT</v>
      </c>
      <c r="F757" s="73" t="str">
        <f>IF(ISBLANK(A757),"",_xlfn.XLOOKUP(A757,'Requirement Overview'!C:C,'Requirement Overview'!I:I))</f>
        <v>Windows system adminstrator</v>
      </c>
      <c r="G757" s="62" t="str">
        <f>IF(ISBLANK(A757),"",_xlfn.XLOOKUP(A757,'Requirement Overview'!C:C,'Requirement Overview'!G:G))</f>
        <v>EMIDS</v>
      </c>
      <c r="H757" s="342" t="s">
        <v>3104</v>
      </c>
      <c r="I757" s="393" t="s">
        <v>519</v>
      </c>
      <c r="J757" s="394" t="s">
        <v>3105</v>
      </c>
      <c r="K757" s="344">
        <v>7675970584</v>
      </c>
      <c r="L757" s="393" t="s">
        <v>305</v>
      </c>
      <c r="M757" s="393" t="s">
        <v>3106</v>
      </c>
      <c r="N757" s="395" t="s">
        <v>3107</v>
      </c>
      <c r="O757" s="51" t="s">
        <v>540</v>
      </c>
      <c r="P757" s="393" t="s">
        <v>879</v>
      </c>
      <c r="Q757" s="393" t="s">
        <v>879</v>
      </c>
      <c r="R757" s="51" t="s">
        <v>757</v>
      </c>
      <c r="S757" s="51" t="s">
        <v>375</v>
      </c>
      <c r="T757" s="51" t="s">
        <v>103</v>
      </c>
      <c r="U757" s="89">
        <v>46080</v>
      </c>
      <c r="V757" s="89">
        <v>46080</v>
      </c>
      <c r="AL757" s="73"/>
      <c r="AM757" s="73"/>
      <c r="AS757" s="73"/>
    </row>
    <row r="758" spans="1:45" s="19" customFormat="1" ht="14.45">
      <c r="A758" s="19" t="s">
        <v>35</v>
      </c>
      <c r="B758" s="19" t="s">
        <v>340</v>
      </c>
      <c r="C758" s="84" t="str">
        <f>IF(ISBLANK(B758),"",_xlfn.XLOOKUP(B758,Recruiter!A:A,Recruiter!B:B))</f>
        <v>Harshitha</v>
      </c>
      <c r="D758" s="84" t="str">
        <f>IF(ISBLANK(A758),"",_xlfn.XLOOKUP(A758,'Requirement Overview'!C:C,'Requirement Overview'!E:E))</f>
        <v>Talme</v>
      </c>
      <c r="E758" s="84" t="str">
        <f>IF(ISBLANK(A758),"",_xlfn.XLOOKUP(A758,'Requirement Overview'!C:C,'Requirement Overview'!H:H))</f>
        <v>IT</v>
      </c>
      <c r="F758" s="19" t="str">
        <f>IF(ISBLANK(A758),"",_xlfn.XLOOKUP(A758,'Requirement Overview'!C:C,'Requirement Overview'!I:I))</f>
        <v>Windows system adminstrator</v>
      </c>
      <c r="G758" s="19" t="str">
        <f>IF(ISBLANK(A758),"",_xlfn.XLOOKUP(A758,'Requirement Overview'!C:C,'Requirement Overview'!G:G))</f>
        <v>EMIDS</v>
      </c>
      <c r="H758" s="354" t="s">
        <v>3108</v>
      </c>
      <c r="I758" s="355" t="s">
        <v>519</v>
      </c>
      <c r="J758" s="356" t="s">
        <v>3109</v>
      </c>
      <c r="K758" s="354">
        <v>7416090077</v>
      </c>
      <c r="L758" s="355" t="s">
        <v>305</v>
      </c>
      <c r="M758" s="355" t="s">
        <v>2995</v>
      </c>
      <c r="N758" s="356" t="s">
        <v>3110</v>
      </c>
      <c r="O758" s="19" t="s">
        <v>368</v>
      </c>
      <c r="P758" s="355" t="s">
        <v>879</v>
      </c>
      <c r="Q758" s="355" t="s">
        <v>879</v>
      </c>
      <c r="R758" s="19" t="s">
        <v>540</v>
      </c>
      <c r="S758" s="19" t="s">
        <v>270</v>
      </c>
      <c r="T758" s="19" t="s">
        <v>103</v>
      </c>
      <c r="U758" s="31">
        <v>46080</v>
      </c>
      <c r="V758" s="31">
        <v>46080</v>
      </c>
    </row>
    <row r="759" spans="1:45" s="19" customFormat="1" ht="14.45">
      <c r="A759" s="19" t="s">
        <v>131</v>
      </c>
      <c r="B759" s="19" t="s">
        <v>520</v>
      </c>
      <c r="C759" s="84" t="str">
        <f>IF(ISBLANK(B759),"",_xlfn.XLOOKUP(B759,Recruiter!A:A,Recruiter!B:B))</f>
        <v>Narthana</v>
      </c>
      <c r="D759" s="84" t="str">
        <f>IF(ISBLANK(A759),"",_xlfn.XLOOKUP(A759,'Requirement Overview'!C:C,'Requirement Overview'!E:E))</f>
        <v>Talme</v>
      </c>
      <c r="E759" s="84" t="str">
        <f>IF(ISBLANK(A759),"",_xlfn.XLOOKUP(A759,'Requirement Overview'!C:C,'Requirement Overview'!H:H))</f>
        <v>IT</v>
      </c>
      <c r="F759" s="19" t="str">
        <f>IF(ISBLANK(A759),"",_xlfn.XLOOKUP(A759,'Requirement Overview'!C:C,'Requirement Overview'!I:I))</f>
        <v>Technical Lead</v>
      </c>
      <c r="G759" s="19" t="str">
        <f>IF(ISBLANK(A759),"",_xlfn.XLOOKUP(A759,'Requirement Overview'!C:C,'Requirement Overview'!G:G))</f>
        <v>Anika Solutions</v>
      </c>
      <c r="H759" s="19" t="s">
        <v>3111</v>
      </c>
      <c r="I759" s="19" t="s">
        <v>3112</v>
      </c>
      <c r="J759" s="19" t="s">
        <v>3113</v>
      </c>
      <c r="K759" s="19">
        <v>6303631785</v>
      </c>
      <c r="L759" s="355" t="s">
        <v>305</v>
      </c>
      <c r="M759" s="19" t="s">
        <v>343</v>
      </c>
      <c r="N759" s="19" t="s">
        <v>3114</v>
      </c>
      <c r="O759" s="19" t="s">
        <v>553</v>
      </c>
      <c r="P759" s="19" t="s">
        <v>3115</v>
      </c>
      <c r="Q759" s="19" t="s">
        <v>1557</v>
      </c>
      <c r="R759" s="19" t="s">
        <v>474</v>
      </c>
      <c r="S759" s="19" t="s">
        <v>601</v>
      </c>
      <c r="T759" s="19" t="s">
        <v>103</v>
      </c>
      <c r="U759" s="31">
        <v>46079</v>
      </c>
      <c r="V759" s="31">
        <v>46079</v>
      </c>
    </row>
    <row r="760" spans="1:45" s="19" customFormat="1" ht="14.45">
      <c r="A760" s="19" t="s">
        <v>134</v>
      </c>
      <c r="B760" s="19" t="s">
        <v>520</v>
      </c>
      <c r="C760" s="84" t="str">
        <f>IF(ISBLANK(B760),"",_xlfn.XLOOKUP(B760,Recruiter!A:A,Recruiter!B:B))</f>
        <v>Narthana</v>
      </c>
      <c r="D760" s="84" t="str">
        <f>IF(ISBLANK(A760),"",_xlfn.XLOOKUP(A760,'Requirement Overview'!C:C,'Requirement Overview'!E:E))</f>
        <v>Talme</v>
      </c>
      <c r="E760" s="84" t="str">
        <f>IF(ISBLANK(A760),"",_xlfn.XLOOKUP(A760,'Requirement Overview'!C:C,'Requirement Overview'!H:H))</f>
        <v>Non - IT</v>
      </c>
      <c r="F760" s="19" t="s">
        <v>136</v>
      </c>
      <c r="G760" s="19" t="str">
        <f>IF(ISBLANK(A760),"",_xlfn.XLOOKUP(A760,'Requirement Overview'!C:C,'Requirement Overview'!G:G))</f>
        <v>Megha foods pvt ltd</v>
      </c>
      <c r="H760" s="19" t="s">
        <v>3116</v>
      </c>
      <c r="I760" s="19" t="s">
        <v>303</v>
      </c>
      <c r="J760" s="357" t="s">
        <v>3117</v>
      </c>
      <c r="K760" s="19">
        <v>9361369189</v>
      </c>
      <c r="L760" s="19" t="s">
        <v>421</v>
      </c>
      <c r="M760" s="19" t="s">
        <v>306</v>
      </c>
      <c r="N760" s="19" t="s">
        <v>3118</v>
      </c>
      <c r="O760" s="19" t="s">
        <v>1026</v>
      </c>
      <c r="P760" s="19" t="s">
        <v>1286</v>
      </c>
      <c r="Q760" s="19" t="s">
        <v>1286</v>
      </c>
      <c r="R760" s="19" t="s">
        <v>622</v>
      </c>
      <c r="S760" s="19" t="s">
        <v>601</v>
      </c>
      <c r="T760" s="19" t="s">
        <v>103</v>
      </c>
      <c r="U760" s="31">
        <v>46078</v>
      </c>
      <c r="V760" s="31">
        <v>46078</v>
      </c>
    </row>
    <row r="761" spans="1:45" s="19" customFormat="1" ht="16.149999999999999" thickBot="1">
      <c r="A761" s="19" t="s">
        <v>61</v>
      </c>
      <c r="B761" s="19" t="s">
        <v>520</v>
      </c>
      <c r="C761" s="84" t="str">
        <f>IF(ISBLANK(B761),"",_xlfn.XLOOKUP(B761,Recruiter!A:A,Recruiter!B:B))</f>
        <v>Narthana</v>
      </c>
      <c r="D761" s="84" t="str">
        <f>IF(ISBLANK(A761),"",_xlfn.XLOOKUP(A761,'Requirement Overview'!C:C,'Requirement Overview'!E:E))</f>
        <v>Talme</v>
      </c>
      <c r="E761" s="84" t="str">
        <f>IF(ISBLANK(A761),"",_xlfn.XLOOKUP(A761,'Requirement Overview'!C:C,'Requirement Overview'!H:H))</f>
        <v>Non - IT</v>
      </c>
      <c r="F761" s="19" t="str">
        <f>IF(ISBLANK(A761),"",_xlfn.XLOOKUP(A761,'Requirement Overview'!C:C,'Requirement Overview'!I:I))</f>
        <v>Graphic Designer</v>
      </c>
      <c r="G761" s="19" t="str">
        <f>IF(ISBLANK(A761),"",_xlfn.XLOOKUP(A761,'Requirement Overview'!C:C,'Requirement Overview'!G:G))</f>
        <v>Avinashi Ads</v>
      </c>
      <c r="H761" s="358" t="s">
        <v>3119</v>
      </c>
      <c r="I761" s="19" t="s">
        <v>3112</v>
      </c>
      <c r="J761" s="359" t="s">
        <v>3120</v>
      </c>
      <c r="K761" s="358">
        <v>7348801240</v>
      </c>
      <c r="L761" s="19" t="s">
        <v>305</v>
      </c>
      <c r="M761" s="19" t="s">
        <v>3121</v>
      </c>
      <c r="N761" s="19" t="s">
        <v>3122</v>
      </c>
      <c r="O761" s="19" t="s">
        <v>622</v>
      </c>
      <c r="P761" s="19" t="s">
        <v>3123</v>
      </c>
      <c r="Q761" s="19" t="s">
        <v>268</v>
      </c>
      <c r="R761" s="19" t="s">
        <v>327</v>
      </c>
      <c r="S761" s="19" t="s">
        <v>601</v>
      </c>
      <c r="T761" s="19" t="s">
        <v>103</v>
      </c>
      <c r="U761" s="31">
        <v>46080</v>
      </c>
      <c r="V761" s="31">
        <v>46080</v>
      </c>
    </row>
    <row r="762" spans="1:45" s="47" customFormat="1" thickBot="1">
      <c r="A762" s="19" t="s">
        <v>134</v>
      </c>
      <c r="B762" s="19" t="s">
        <v>520</v>
      </c>
      <c r="C762" s="84" t="str">
        <f>IF(ISBLANK(B762),"",_xlfn.XLOOKUP(B762,Recruiter!A:A,Recruiter!B:B))</f>
        <v>Narthana</v>
      </c>
      <c r="D762" s="84" t="str">
        <f>IF(ISBLANK(A762),"",_xlfn.XLOOKUP(A762,'Requirement Overview'!C:C,'Requirement Overview'!E:E))</f>
        <v>Talme</v>
      </c>
      <c r="E762" s="84" t="str">
        <f>IF(ISBLANK(A762),"",_xlfn.XLOOKUP(A762,'Requirement Overview'!C:C,'Requirement Overview'!H:H))</f>
        <v>Non - IT</v>
      </c>
      <c r="F762" s="19" t="s">
        <v>136</v>
      </c>
      <c r="G762" s="19" t="str">
        <f>IF(ISBLANK(A762),"",_xlfn.XLOOKUP(A762,'Requirement Overview'!C:C,'Requirement Overview'!G:G))</f>
        <v>Megha foods pvt ltd</v>
      </c>
      <c r="H762" s="360" t="s">
        <v>2931</v>
      </c>
      <c r="I762" s="360" t="s">
        <v>303</v>
      </c>
      <c r="J762" s="362" t="s">
        <v>3124</v>
      </c>
      <c r="K762" s="360">
        <v>7418925920</v>
      </c>
      <c r="L762" s="184"/>
      <c r="M762" s="360" t="s">
        <v>1284</v>
      </c>
      <c r="O762" s="47" t="s">
        <v>1026</v>
      </c>
      <c r="P762" s="47" t="s">
        <v>1286</v>
      </c>
      <c r="Q762" s="47" t="s">
        <v>1286</v>
      </c>
      <c r="R762" s="47" t="s">
        <v>622</v>
      </c>
      <c r="S762" s="47" t="s">
        <v>270</v>
      </c>
      <c r="T762" s="19" t="s">
        <v>103</v>
      </c>
      <c r="U762" s="118">
        <v>46070</v>
      </c>
      <c r="V762" s="118">
        <v>46070</v>
      </c>
      <c r="AL762" s="80"/>
      <c r="AM762" s="80"/>
      <c r="AS762" s="80"/>
    </row>
    <row r="763" spans="1:45" thickBot="1">
      <c r="A763" s="19" t="s">
        <v>134</v>
      </c>
      <c r="B763" s="19" t="s">
        <v>520</v>
      </c>
      <c r="C763" s="84" t="str">
        <f>IF(ISBLANK(B763),"",_xlfn.XLOOKUP(B763,Recruiter!A:A,Recruiter!B:B))</f>
        <v>Narthana</v>
      </c>
      <c r="D763" s="84" t="str">
        <f>IF(ISBLANK(A763),"",_xlfn.XLOOKUP(A763,'Requirement Overview'!C:C,'Requirement Overview'!E:E))</f>
        <v>Talme</v>
      </c>
      <c r="E763" s="84" t="str">
        <f>IF(ISBLANK(A763),"",_xlfn.XLOOKUP(A763,'Requirement Overview'!C:C,'Requirement Overview'!H:H))</f>
        <v>Non - IT</v>
      </c>
      <c r="F763" s="19" t="s">
        <v>136</v>
      </c>
      <c r="G763" s="19" t="str">
        <f>IF(ISBLANK(A763),"",_xlfn.XLOOKUP(A763,'Requirement Overview'!C:C,'Requirement Overview'!G:G))</f>
        <v>Megha foods pvt ltd</v>
      </c>
      <c r="H763" s="361" t="s">
        <v>3125</v>
      </c>
      <c r="I763" s="361" t="s">
        <v>497</v>
      </c>
      <c r="J763" s="363" t="s">
        <v>3126</v>
      </c>
      <c r="K763" s="361">
        <v>9629339851</v>
      </c>
      <c r="L763" s="46"/>
      <c r="M763" s="361" t="s">
        <v>279</v>
      </c>
      <c r="O763" s="47" t="s">
        <v>1026</v>
      </c>
      <c r="P763" s="24" t="s">
        <v>1286</v>
      </c>
      <c r="Q763" s="24" t="s">
        <v>1286</v>
      </c>
      <c r="R763" s="24" t="s">
        <v>622</v>
      </c>
      <c r="S763" s="24" t="s">
        <v>3127</v>
      </c>
      <c r="T763" s="19" t="s">
        <v>103</v>
      </c>
      <c r="U763" s="118">
        <v>46070</v>
      </c>
      <c r="V763" s="118">
        <v>46070</v>
      </c>
      <c r="W763" s="24" t="s">
        <v>3128</v>
      </c>
      <c r="AJ763" s="29">
        <v>46098</v>
      </c>
      <c r="AK763" s="29">
        <v>46098</v>
      </c>
      <c r="AM763" s="29">
        <v>46098</v>
      </c>
      <c r="AN763" s="24" t="s">
        <v>3129</v>
      </c>
      <c r="AO763" s="29">
        <v>46098</v>
      </c>
      <c r="AP763" s="24" t="s">
        <v>2762</v>
      </c>
      <c r="AQ763" s="29">
        <v>46099</v>
      </c>
      <c r="AR763" s="24" t="s">
        <v>3127</v>
      </c>
    </row>
    <row r="764" spans="1:45" thickBot="1">
      <c r="A764" s="19" t="s">
        <v>134</v>
      </c>
      <c r="B764" s="19" t="s">
        <v>520</v>
      </c>
      <c r="C764" s="84" t="str">
        <f>IF(ISBLANK(B764),"",_xlfn.XLOOKUP(B764,Recruiter!A:A,Recruiter!B:B))</f>
        <v>Narthana</v>
      </c>
      <c r="D764" s="84" t="str">
        <f>IF(ISBLANK(A764),"",_xlfn.XLOOKUP(A764,'Requirement Overview'!C:C,'Requirement Overview'!E:E))</f>
        <v>Talme</v>
      </c>
      <c r="E764" s="84" t="str">
        <f>IF(ISBLANK(A764),"",_xlfn.XLOOKUP(A764,'Requirement Overview'!C:C,'Requirement Overview'!H:H))</f>
        <v>Non - IT</v>
      </c>
      <c r="F764" s="19" t="s">
        <v>136</v>
      </c>
      <c r="G764" s="19" t="str">
        <f>IF(ISBLANK(A764),"",_xlfn.XLOOKUP(A764,'Requirement Overview'!C:C,'Requirement Overview'!G:G))</f>
        <v>Megha foods pvt ltd</v>
      </c>
      <c r="H764" s="361" t="s">
        <v>3130</v>
      </c>
      <c r="I764" s="361" t="s">
        <v>303</v>
      </c>
      <c r="J764" s="363" t="s">
        <v>3131</v>
      </c>
      <c r="K764" s="361">
        <v>6379091450</v>
      </c>
      <c r="L764" s="46"/>
      <c r="M764" s="361" t="s">
        <v>390</v>
      </c>
      <c r="O764" s="24" t="s">
        <v>3132</v>
      </c>
      <c r="P764" s="24" t="s">
        <v>1286</v>
      </c>
      <c r="Q764" s="24" t="s">
        <v>1286</v>
      </c>
      <c r="R764" s="24" t="s">
        <v>3132</v>
      </c>
      <c r="S764" s="24" t="s">
        <v>612</v>
      </c>
      <c r="T764" s="19" t="s">
        <v>103</v>
      </c>
      <c r="U764" s="118">
        <v>46070</v>
      </c>
      <c r="V764" s="118">
        <v>46070</v>
      </c>
    </row>
    <row r="765" spans="1:45" ht="14.45">
      <c r="A765" s="73" t="s">
        <v>134</v>
      </c>
      <c r="B765" s="73" t="s">
        <v>520</v>
      </c>
      <c r="C765" s="88" t="str">
        <f>IF(ISBLANK(B765),"",_xlfn.XLOOKUP(B765,Recruiter!A:A,Recruiter!B:B))</f>
        <v>Narthana</v>
      </c>
      <c r="D765" s="88" t="str">
        <f>IF(ISBLANK(A765),"",_xlfn.XLOOKUP(A765,'Requirement Overview'!C:C,'Requirement Overview'!E:E))</f>
        <v>Talme</v>
      </c>
      <c r="E765" s="88" t="str">
        <f>IF(ISBLANK(A765),"",_xlfn.XLOOKUP(A765,'Requirement Overview'!C:C,'Requirement Overview'!H:H))</f>
        <v>Non - IT</v>
      </c>
      <c r="F765" s="73" t="s">
        <v>136</v>
      </c>
      <c r="G765" s="73" t="str">
        <f>IF(ISBLANK(A765),"",_xlfn.XLOOKUP(A765,'Requirement Overview'!C:C,'Requirement Overview'!G:G))</f>
        <v>Megha foods pvt ltd</v>
      </c>
      <c r="H765" s="557" t="s">
        <v>3133</v>
      </c>
      <c r="I765" s="557" t="s">
        <v>497</v>
      </c>
      <c r="J765" s="558" t="s">
        <v>3134</v>
      </c>
      <c r="K765" s="559">
        <v>9629658189</v>
      </c>
      <c r="L765" s="108"/>
      <c r="M765" s="557" t="s">
        <v>390</v>
      </c>
      <c r="N765" s="51"/>
      <c r="O765" s="51" t="s">
        <v>3135</v>
      </c>
      <c r="P765" s="51" t="s">
        <v>1286</v>
      </c>
      <c r="Q765" s="51" t="s">
        <v>1286</v>
      </c>
      <c r="R765" s="51" t="s">
        <v>3132</v>
      </c>
      <c r="S765" s="51" t="s">
        <v>270</v>
      </c>
      <c r="T765" s="73" t="s">
        <v>103</v>
      </c>
      <c r="U765" s="128">
        <v>46070</v>
      </c>
      <c r="V765" s="128">
        <v>46070</v>
      </c>
      <c r="W765" s="51"/>
      <c r="X765" s="51"/>
      <c r="Y765" s="51"/>
      <c r="Z765" s="51"/>
      <c r="AA765" s="51"/>
      <c r="AB765" s="51"/>
      <c r="AC765" s="51"/>
      <c r="AD765" s="51"/>
    </row>
    <row r="766" spans="1:45" ht="14.45">
      <c r="A766" s="702" t="s">
        <v>68</v>
      </c>
      <c r="B766" s="702" t="s">
        <v>258</v>
      </c>
      <c r="C766" s="487" t="str">
        <f>IF(ISBLANK(B766),"",_xlfn.XLOOKUP(B766,Recruiter!A:A,Recruiter!B:B))</f>
        <v>Bhoomika</v>
      </c>
      <c r="D766" s="487" t="str">
        <f>IF(ISBLANK(A766),"",_xlfn.XLOOKUP(A766,'Requirement Overview'!C:C,'Requirement Overview'!E:E))</f>
        <v>Talme</v>
      </c>
      <c r="E766" s="487" t="str">
        <f>IF(ISBLANK(A766),"",_xlfn.XLOOKUP(A766,'Requirement Overview'!C:C,'Requirement Overview'!H:H))</f>
        <v>Non - IT</v>
      </c>
      <c r="F766" s="476" t="str">
        <f>IF(ISBLANK(A766),"",_xlfn.XLOOKUP(A766,'Requirement Overview'!C:C,'Requirement Overview'!I:I))</f>
        <v>Associate Sales</v>
      </c>
      <c r="G766" s="702" t="str">
        <f>IF(ISBLANK(A766),"",_xlfn.XLOOKUP(A766,'Requirement Overview'!C:C,'Requirement Overview'!G:G))</f>
        <v>Avinashi Ads</v>
      </c>
      <c r="H766" s="485" t="s">
        <v>3136</v>
      </c>
      <c r="I766" s="702" t="s">
        <v>2074</v>
      </c>
      <c r="J766" s="478" t="s">
        <v>3137</v>
      </c>
      <c r="K766" s="702">
        <v>8660738269</v>
      </c>
      <c r="L766" s="702" t="s">
        <v>1034</v>
      </c>
      <c r="M766" s="702" t="s">
        <v>306</v>
      </c>
      <c r="N766" s="702" t="s">
        <v>3138</v>
      </c>
      <c r="O766" s="702" t="s">
        <v>314</v>
      </c>
      <c r="P766" s="702" t="s">
        <v>294</v>
      </c>
      <c r="Q766" s="702" t="s">
        <v>294</v>
      </c>
      <c r="R766" s="702" t="s">
        <v>327</v>
      </c>
      <c r="S766" s="702" t="s">
        <v>601</v>
      </c>
      <c r="T766" s="476" t="s">
        <v>103</v>
      </c>
      <c r="U766" s="703">
        <v>46081</v>
      </c>
      <c r="V766" s="703">
        <v>46081</v>
      </c>
      <c r="W766" s="702"/>
      <c r="X766" s="702"/>
      <c r="Y766" s="702"/>
      <c r="Z766" s="702"/>
      <c r="AA766" s="702"/>
      <c r="AB766" s="702"/>
      <c r="AC766" s="702"/>
      <c r="AD766" s="702"/>
      <c r="AE766" s="46"/>
    </row>
    <row r="767" spans="1:45" ht="15" customHeight="1" thickBot="1">
      <c r="A767" s="47" t="s">
        <v>35</v>
      </c>
      <c r="B767" s="47" t="s">
        <v>520</v>
      </c>
      <c r="C767" s="129" t="str">
        <f>IF(ISBLANK(B767),"",_xlfn.XLOOKUP(B767,Recruiter!A:A,Recruiter!B:B))</f>
        <v>Narthana</v>
      </c>
      <c r="D767" s="129" t="str">
        <f>IF(ISBLANK(A767),"",_xlfn.XLOOKUP(A767,'Requirement Overview'!C:C,'Requirement Overview'!E:E))</f>
        <v>Talme</v>
      </c>
      <c r="E767" s="129" t="str">
        <f>IF(ISBLANK(A767),"",_xlfn.XLOOKUP(A767,'Requirement Overview'!C:C,'Requirement Overview'!H:H))</f>
        <v>IT</v>
      </c>
      <c r="F767" s="80" t="str">
        <f>IF(ISBLANK(A767),"",_xlfn.XLOOKUP(A767,'Requirement Overview'!C:C,'Requirement Overview'!I:I))</f>
        <v>Windows system adminstrator</v>
      </c>
      <c r="G767" s="255" t="str">
        <f>IF(ISBLANK(A767),"",_xlfn.XLOOKUP(A767,'Requirement Overview'!C:C,'Requirement Overview'!G:G))</f>
        <v>EMIDS</v>
      </c>
      <c r="H767" s="630" t="s">
        <v>3139</v>
      </c>
      <c r="I767" s="184" t="s">
        <v>3140</v>
      </c>
      <c r="J767" s="630" t="s">
        <v>3141</v>
      </c>
      <c r="K767" s="313">
        <v>9187310193</v>
      </c>
      <c r="L767" s="313" t="s">
        <v>421</v>
      </c>
      <c r="M767" s="313" t="s">
        <v>2179</v>
      </c>
      <c r="N767" s="138" t="s">
        <v>3142</v>
      </c>
      <c r="O767" s="47" t="s">
        <v>374</v>
      </c>
      <c r="P767" s="138" t="s">
        <v>268</v>
      </c>
      <c r="Q767" s="138" t="s">
        <v>268</v>
      </c>
      <c r="R767" s="47" t="s">
        <v>3143</v>
      </c>
      <c r="S767" s="80" t="s">
        <v>601</v>
      </c>
      <c r="T767" s="80" t="s">
        <v>103</v>
      </c>
      <c r="U767" s="118">
        <v>46083</v>
      </c>
      <c r="V767" s="118">
        <v>46083</v>
      </c>
      <c r="W767" s="47"/>
      <c r="X767" s="47"/>
      <c r="Y767" s="47"/>
      <c r="Z767" s="47"/>
      <c r="AA767" s="47"/>
      <c r="AB767" s="47"/>
      <c r="AC767" s="47"/>
      <c r="AD767" s="47"/>
    </row>
    <row r="768" spans="1:45" ht="15" customHeight="1" thickBot="1">
      <c r="A768" s="24" t="s">
        <v>35</v>
      </c>
      <c r="B768" s="24" t="s">
        <v>520</v>
      </c>
      <c r="C768" s="84" t="str">
        <f>IF(ISBLANK(B768),"",_xlfn.XLOOKUP(B768,Recruiter!A:A,Recruiter!B:B))</f>
        <v>Narthana</v>
      </c>
      <c r="D768" s="84" t="str">
        <f>IF(ISBLANK(A768),"",_xlfn.XLOOKUP(A768,'Requirement Overview'!C:C,'Requirement Overview'!E:E))</f>
        <v>Talme</v>
      </c>
      <c r="E768" s="84" t="str">
        <f>IF(ISBLANK(A768),"",_xlfn.XLOOKUP(A768,'Requirement Overview'!C:C,'Requirement Overview'!H:H))</f>
        <v>IT</v>
      </c>
      <c r="F768" s="19" t="str">
        <f>IF(ISBLANK(A768),"",_xlfn.XLOOKUP(A768,'Requirement Overview'!C:C,'Requirement Overview'!I:I))</f>
        <v>Windows system adminstrator</v>
      </c>
      <c r="G768" s="58" t="str">
        <f>IF(ISBLANK(A768),"",_xlfn.XLOOKUP(A768,'Requirement Overview'!C:C,'Requirement Overview'!G:G))</f>
        <v>EMIDS</v>
      </c>
      <c r="H768" s="315" t="s">
        <v>3144</v>
      </c>
      <c r="I768" s="46" t="s">
        <v>3145</v>
      </c>
      <c r="J768" s="297" t="s">
        <v>3146</v>
      </c>
      <c r="K768" s="92">
        <v>7339133110</v>
      </c>
      <c r="L768" s="92" t="s">
        <v>421</v>
      </c>
      <c r="M768" s="92" t="s">
        <v>558</v>
      </c>
      <c r="N768" s="138" t="s">
        <v>1560</v>
      </c>
      <c r="O768" s="24" t="s">
        <v>678</v>
      </c>
      <c r="P768" s="138" t="s">
        <v>268</v>
      </c>
      <c r="Q768" s="138" t="s">
        <v>268</v>
      </c>
      <c r="R768" s="24" t="s">
        <v>374</v>
      </c>
      <c r="S768" s="19" t="s">
        <v>1380</v>
      </c>
      <c r="T768" s="19" t="s">
        <v>103</v>
      </c>
      <c r="U768" s="29">
        <v>46083</v>
      </c>
      <c r="V768" s="29">
        <v>46083</v>
      </c>
      <c r="X768" s="26">
        <v>46093</v>
      </c>
    </row>
    <row r="769" spans="1:31" ht="15" customHeight="1" thickBot="1">
      <c r="A769" s="24" t="s">
        <v>35</v>
      </c>
      <c r="B769" s="24" t="s">
        <v>520</v>
      </c>
      <c r="C769" s="84" t="str">
        <f>IF(ISBLANK(B769),"",_xlfn.XLOOKUP(B769,Recruiter!A:A,Recruiter!B:B))</f>
        <v>Narthana</v>
      </c>
      <c r="D769" s="84" t="str">
        <f>IF(ISBLANK(A769),"",_xlfn.XLOOKUP(A769,'Requirement Overview'!C:C,'Requirement Overview'!E:E))</f>
        <v>Talme</v>
      </c>
      <c r="E769" s="84" t="str">
        <f>IF(ISBLANK(A769),"",_xlfn.XLOOKUP(A769,'Requirement Overview'!C:C,'Requirement Overview'!H:H))</f>
        <v>IT</v>
      </c>
      <c r="F769" s="19" t="str">
        <f>IF(ISBLANK(A769),"",_xlfn.XLOOKUP(A769,'Requirement Overview'!C:C,'Requirement Overview'!I:I))</f>
        <v>Windows system adminstrator</v>
      </c>
      <c r="G769" s="58" t="str">
        <f>IF(ISBLANK(A769),"",_xlfn.XLOOKUP(A769,'Requirement Overview'!C:C,'Requirement Overview'!G:G))</f>
        <v>EMIDS</v>
      </c>
      <c r="H769" s="315" t="s">
        <v>3147</v>
      </c>
      <c r="I769" s="46" t="s">
        <v>1193</v>
      </c>
      <c r="J769" s="297" t="s">
        <v>3148</v>
      </c>
      <c r="K769" s="92">
        <v>7217752283</v>
      </c>
      <c r="L769" s="92" t="s">
        <v>421</v>
      </c>
      <c r="M769" s="92" t="s">
        <v>2809</v>
      </c>
      <c r="N769" s="138" t="s">
        <v>3149</v>
      </c>
      <c r="O769" s="24" t="s">
        <v>903</v>
      </c>
      <c r="P769" s="138" t="s">
        <v>806</v>
      </c>
      <c r="Q769" s="138" t="s">
        <v>806</v>
      </c>
      <c r="R769" s="24" t="s">
        <v>386</v>
      </c>
      <c r="S769" s="19" t="s">
        <v>375</v>
      </c>
      <c r="T769" s="19" t="s">
        <v>103</v>
      </c>
      <c r="U769" s="29">
        <v>46083</v>
      </c>
      <c r="V769" s="29">
        <v>46083</v>
      </c>
    </row>
    <row r="770" spans="1:31" ht="15" customHeight="1">
      <c r="A770" s="51" t="s">
        <v>35</v>
      </c>
      <c r="B770" s="51" t="s">
        <v>520</v>
      </c>
      <c r="C770" s="88" t="str">
        <f>IF(ISBLANK(B770),"",_xlfn.XLOOKUP(B770,Recruiter!A:A,Recruiter!B:B))</f>
        <v>Narthana</v>
      </c>
      <c r="D770" s="88" t="str">
        <f>IF(ISBLANK(A770),"",_xlfn.XLOOKUP(A770,'Requirement Overview'!C:C,'Requirement Overview'!E:E))</f>
        <v>Talme</v>
      </c>
      <c r="E770" s="88" t="str">
        <f>IF(ISBLANK(A770),"",_xlfn.XLOOKUP(A770,'Requirement Overview'!C:C,'Requirement Overview'!H:H))</f>
        <v>IT</v>
      </c>
      <c r="F770" s="73" t="str">
        <f>IF(ISBLANK(A770),"",_xlfn.XLOOKUP(A770,'Requirement Overview'!C:C,'Requirement Overview'!I:I))</f>
        <v>Windows system adminstrator</v>
      </c>
      <c r="G770" s="62" t="str">
        <f>IF(ISBLANK(A770),"",_xlfn.XLOOKUP(A770,'Requirement Overview'!C:C,'Requirement Overview'!G:G))</f>
        <v>EMIDS</v>
      </c>
      <c r="H770" s="560" t="s">
        <v>3150</v>
      </c>
      <c r="I770" s="108" t="s">
        <v>3151</v>
      </c>
      <c r="J770" s="561" t="s">
        <v>3152</v>
      </c>
      <c r="K770" s="528">
        <v>9538989348</v>
      </c>
      <c r="L770" s="528" t="s">
        <v>311</v>
      </c>
      <c r="M770" s="528" t="s">
        <v>390</v>
      </c>
      <c r="N770" s="339" t="s">
        <v>3153</v>
      </c>
      <c r="O770" s="51" t="s">
        <v>368</v>
      </c>
      <c r="P770" s="339" t="s">
        <v>268</v>
      </c>
      <c r="Q770" s="339" t="s">
        <v>268</v>
      </c>
      <c r="R770" s="51" t="s">
        <v>589</v>
      </c>
      <c r="S770" s="73" t="s">
        <v>601</v>
      </c>
      <c r="T770" s="73" t="s">
        <v>103</v>
      </c>
      <c r="U770" s="89">
        <v>46083</v>
      </c>
      <c r="V770" s="89">
        <v>46083</v>
      </c>
      <c r="W770" s="51"/>
      <c r="X770" s="51"/>
      <c r="Y770" s="51"/>
      <c r="Z770" s="51"/>
      <c r="AA770" s="51"/>
      <c r="AB770" s="51"/>
      <c r="AC770" s="51"/>
      <c r="AD770" s="51"/>
    </row>
    <row r="771" spans="1:31" ht="15" customHeight="1">
      <c r="A771" s="702" t="s">
        <v>68</v>
      </c>
      <c r="B771" s="702" t="s">
        <v>258</v>
      </c>
      <c r="C771" s="487" t="str">
        <f>IF(ISBLANK(B771),"",_xlfn.XLOOKUP(B771,Recruiter!A:A,Recruiter!B:B))</f>
        <v>Bhoomika</v>
      </c>
      <c r="D771" s="487" t="str">
        <f>IF(ISBLANK(A771),"",_xlfn.XLOOKUP(A771,'Requirement Overview'!C:C,'Requirement Overview'!E:E))</f>
        <v>Talme</v>
      </c>
      <c r="E771" s="487" t="str">
        <f>IF(ISBLANK(A771),"",_xlfn.XLOOKUP(A771,'Requirement Overview'!C:C,'Requirement Overview'!H:H))</f>
        <v>Non - IT</v>
      </c>
      <c r="F771" s="476" t="str">
        <f>IF(ISBLANK(A771),"",_xlfn.XLOOKUP(A771,'Requirement Overview'!C:C,'Requirement Overview'!I:I))</f>
        <v>Associate Sales</v>
      </c>
      <c r="G771" s="702" t="str">
        <f>IF(ISBLANK(A771),"",_xlfn.XLOOKUP(A771,'Requirement Overview'!C:C,'Requirement Overview'!G:G))</f>
        <v>Avinashi Ads</v>
      </c>
      <c r="H771" s="485" t="s">
        <v>3154</v>
      </c>
      <c r="I771" s="702" t="s">
        <v>262</v>
      </c>
      <c r="J771" s="478" t="s">
        <v>3155</v>
      </c>
      <c r="K771" s="702">
        <v>8660780569</v>
      </c>
      <c r="L771" s="702" t="s">
        <v>290</v>
      </c>
      <c r="M771" s="702" t="s">
        <v>566</v>
      </c>
      <c r="N771" s="702" t="s">
        <v>3156</v>
      </c>
      <c r="O771" s="702" t="s">
        <v>314</v>
      </c>
      <c r="P771" s="702" t="s">
        <v>294</v>
      </c>
      <c r="Q771" s="702" t="s">
        <v>294</v>
      </c>
      <c r="R771" s="702" t="s">
        <v>327</v>
      </c>
      <c r="S771" s="476" t="s">
        <v>601</v>
      </c>
      <c r="T771" s="476" t="s">
        <v>103</v>
      </c>
      <c r="U771" s="703">
        <v>46085</v>
      </c>
      <c r="V771" s="703">
        <v>46085</v>
      </c>
      <c r="W771" s="702"/>
      <c r="X771" s="702"/>
      <c r="Y771" s="702"/>
      <c r="Z771" s="702"/>
      <c r="AA771" s="702"/>
      <c r="AB771" s="702"/>
      <c r="AC771" s="702"/>
      <c r="AD771" s="702"/>
      <c r="AE771" s="46"/>
    </row>
    <row r="772" spans="1:31" ht="15" customHeight="1">
      <c r="A772" s="702" t="s">
        <v>68</v>
      </c>
      <c r="B772" s="702" t="s">
        <v>258</v>
      </c>
      <c r="C772" s="487" t="str">
        <f>IF(ISBLANK(B772),"",_xlfn.XLOOKUP(B772,Recruiter!A:A,Recruiter!B:B))</f>
        <v>Bhoomika</v>
      </c>
      <c r="D772" s="487" t="str">
        <f>IF(ISBLANK(A772),"",_xlfn.XLOOKUP(A772,'Requirement Overview'!C:C,'Requirement Overview'!E:E))</f>
        <v>Talme</v>
      </c>
      <c r="E772" s="487" t="str">
        <f>IF(ISBLANK(A772),"",_xlfn.XLOOKUP(A772,'Requirement Overview'!C:C,'Requirement Overview'!H:H))</f>
        <v>Non - IT</v>
      </c>
      <c r="F772" s="476" t="str">
        <f>IF(ISBLANK(A772),"",_xlfn.XLOOKUP(A772,'Requirement Overview'!C:C,'Requirement Overview'!I:I))</f>
        <v>Associate Sales</v>
      </c>
      <c r="G772" s="702" t="str">
        <f>IF(ISBLANK(A772),"",_xlfn.XLOOKUP(A772,'Requirement Overview'!C:C,'Requirement Overview'!G:G))</f>
        <v>Avinashi Ads</v>
      </c>
      <c r="H772" s="485" t="s">
        <v>3157</v>
      </c>
      <c r="I772" s="702" t="s">
        <v>316</v>
      </c>
      <c r="J772" s="478" t="s">
        <v>3158</v>
      </c>
      <c r="K772" s="702">
        <v>7975160271</v>
      </c>
      <c r="L772" s="702" t="s">
        <v>290</v>
      </c>
      <c r="M772" s="702" t="s">
        <v>3159</v>
      </c>
      <c r="N772" s="702" t="s">
        <v>3160</v>
      </c>
      <c r="O772" s="702" t="s">
        <v>314</v>
      </c>
      <c r="P772" s="702" t="s">
        <v>294</v>
      </c>
      <c r="Q772" s="702" t="s">
        <v>294</v>
      </c>
      <c r="R772" s="702" t="s">
        <v>623</v>
      </c>
      <c r="S772" s="476" t="s">
        <v>601</v>
      </c>
      <c r="T772" s="476" t="s">
        <v>103</v>
      </c>
      <c r="U772" s="703">
        <v>46085</v>
      </c>
      <c r="V772" s="703">
        <v>46085</v>
      </c>
      <c r="W772" s="702"/>
      <c r="X772" s="702"/>
      <c r="Y772" s="702"/>
      <c r="Z772" s="702"/>
      <c r="AA772" s="702"/>
      <c r="AB772" s="702"/>
      <c r="AC772" s="702"/>
      <c r="AD772" s="702"/>
      <c r="AE772" s="46"/>
    </row>
    <row r="773" spans="1:31" ht="15" customHeight="1">
      <c r="A773" s="47" t="s">
        <v>137</v>
      </c>
      <c r="B773" s="47" t="s">
        <v>236</v>
      </c>
      <c r="C773" s="129" t="str">
        <f>IF(ISBLANK(B773),"",_xlfn.XLOOKUP(B773,Recruiter!A:A,Recruiter!B:B))</f>
        <v>Pooja</v>
      </c>
      <c r="D773" s="129" t="str">
        <f>IF(ISBLANK(A773),"",_xlfn.XLOOKUP(A773,'Requirement Overview'!C:C,'Requirement Overview'!E:E))</f>
        <v>Talme</v>
      </c>
      <c r="E773" s="129" t="str">
        <f>IF(ISBLANK(A773),"",_xlfn.XLOOKUP(A773,'Requirement Overview'!C:C,'Requirement Overview'!H:H))</f>
        <v>IT</v>
      </c>
      <c r="F773" s="80" t="str">
        <f>IF(ISBLANK(A773),"",_xlfn.XLOOKUP(A773,'Requirement Overview'!C:C,'Requirement Overview'!I:I))</f>
        <v>HW Designer - Pune</v>
      </c>
      <c r="G773" s="255" t="str">
        <f>IF(ISBLANK(A773),"",_xlfn.XLOOKUP(A773,'Requirement Overview'!C:C,'Requirement Overview'!G:G))</f>
        <v>L&amp;T</v>
      </c>
      <c r="H773" s="619" t="s">
        <v>3161</v>
      </c>
      <c r="I773" s="5" t="s">
        <v>519</v>
      </c>
      <c r="J773" s="631" t="s">
        <v>3162</v>
      </c>
      <c r="K773" s="5">
        <v>9673385039</v>
      </c>
      <c r="L773" s="5" t="s">
        <v>350</v>
      </c>
      <c r="M773" s="5" t="s">
        <v>917</v>
      </c>
      <c r="N773" s="5" t="s">
        <v>3163</v>
      </c>
      <c r="O773" s="5" t="s">
        <v>600</v>
      </c>
      <c r="P773" s="5" t="s">
        <v>569</v>
      </c>
      <c r="Q773" s="5" t="s">
        <v>569</v>
      </c>
      <c r="R773" s="5" t="s">
        <v>3164</v>
      </c>
      <c r="S773" s="47" t="s">
        <v>470</v>
      </c>
      <c r="T773" s="47" t="s">
        <v>103</v>
      </c>
      <c r="U773" s="118">
        <v>46084</v>
      </c>
      <c r="V773" s="118">
        <v>46084</v>
      </c>
      <c r="W773" s="47"/>
      <c r="X773" s="47"/>
      <c r="Y773" s="47"/>
      <c r="Z773" s="47"/>
      <c r="AA773" s="47"/>
      <c r="AB773" s="47"/>
      <c r="AC773" s="47"/>
      <c r="AD773" s="47"/>
    </row>
    <row r="774" spans="1:31" ht="15" customHeight="1">
      <c r="A774" s="24" t="s">
        <v>137</v>
      </c>
      <c r="B774" s="24" t="s">
        <v>236</v>
      </c>
      <c r="C774" s="84" t="str">
        <f>IF(ISBLANK(B774),"",_xlfn.XLOOKUP(B774,Recruiter!A:A,Recruiter!B:B))</f>
        <v>Pooja</v>
      </c>
      <c r="D774" s="84" t="str">
        <f>IF(ISBLANK(A774),"",_xlfn.XLOOKUP(A774,'Requirement Overview'!C:C,'Requirement Overview'!E:E))</f>
        <v>Talme</v>
      </c>
      <c r="E774" s="84" t="str">
        <f>IF(ISBLANK(A774),"",_xlfn.XLOOKUP(A774,'Requirement Overview'!C:C,'Requirement Overview'!H:H))</f>
        <v>IT</v>
      </c>
      <c r="F774" s="19" t="str">
        <f>IF(ISBLANK(A774),"",_xlfn.XLOOKUP(A774,'Requirement Overview'!C:C,'Requirement Overview'!I:I))</f>
        <v>HW Designer - Pune</v>
      </c>
      <c r="G774" s="58" t="str">
        <f>IF(ISBLANK(A774),"",_xlfn.XLOOKUP(A774,'Requirement Overview'!C:C,'Requirement Overview'!G:G))</f>
        <v>L&amp;T</v>
      </c>
      <c r="H774" s="301" t="s">
        <v>3165</v>
      </c>
      <c r="I774" s="3" t="s">
        <v>519</v>
      </c>
      <c r="J774" s="302" t="s">
        <v>3166</v>
      </c>
      <c r="K774" s="3">
        <v>9398179188</v>
      </c>
      <c r="L774" s="3" t="s">
        <v>311</v>
      </c>
      <c r="M774" s="3" t="s">
        <v>696</v>
      </c>
      <c r="N774" s="3" t="s">
        <v>3167</v>
      </c>
      <c r="O774" s="3" t="s">
        <v>1653</v>
      </c>
      <c r="P774" s="3" t="s">
        <v>268</v>
      </c>
      <c r="Q774" s="3" t="s">
        <v>569</v>
      </c>
      <c r="R774" s="3" t="s">
        <v>1416</v>
      </c>
      <c r="S774" s="24" t="s">
        <v>470</v>
      </c>
      <c r="T774" s="24" t="s">
        <v>103</v>
      </c>
      <c r="U774" s="29">
        <v>46084</v>
      </c>
      <c r="V774" s="29">
        <v>46084</v>
      </c>
    </row>
    <row r="775" spans="1:31" ht="15" customHeight="1">
      <c r="A775" s="24" t="s">
        <v>137</v>
      </c>
      <c r="B775" s="24" t="s">
        <v>236</v>
      </c>
      <c r="C775" s="84" t="str">
        <f>IF(ISBLANK(B775),"",_xlfn.XLOOKUP(B775,Recruiter!A:A,Recruiter!B:B))</f>
        <v>Pooja</v>
      </c>
      <c r="D775" s="84" t="str">
        <f>IF(ISBLANK(A775),"",_xlfn.XLOOKUP(A775,'Requirement Overview'!C:C,'Requirement Overview'!E:E))</f>
        <v>Talme</v>
      </c>
      <c r="E775" s="84" t="str">
        <f>IF(ISBLANK(A775),"",_xlfn.XLOOKUP(A775,'Requirement Overview'!C:C,'Requirement Overview'!H:H))</f>
        <v>IT</v>
      </c>
      <c r="F775" s="19" t="str">
        <f>IF(ISBLANK(A775),"",_xlfn.XLOOKUP(A775,'Requirement Overview'!C:C,'Requirement Overview'!I:I))</f>
        <v>HW Designer - Pune</v>
      </c>
      <c r="G775" s="58" t="str">
        <f>IF(ISBLANK(A775),"",_xlfn.XLOOKUP(A775,'Requirement Overview'!C:C,'Requirement Overview'!G:G))</f>
        <v>L&amp;T</v>
      </c>
      <c r="H775" s="301" t="s">
        <v>3168</v>
      </c>
      <c r="I775" s="3" t="s">
        <v>519</v>
      </c>
      <c r="J775" s="302" t="s">
        <v>3169</v>
      </c>
      <c r="K775" s="3">
        <v>8160708822</v>
      </c>
      <c r="L775" s="3" t="s">
        <v>311</v>
      </c>
      <c r="M775" s="3" t="s">
        <v>3170</v>
      </c>
      <c r="N775" s="3" t="s">
        <v>3171</v>
      </c>
      <c r="O775" s="3" t="s">
        <v>3172</v>
      </c>
      <c r="P775" s="3" t="s">
        <v>569</v>
      </c>
      <c r="Q775" s="3" t="s">
        <v>569</v>
      </c>
      <c r="R775" s="3" t="s">
        <v>541</v>
      </c>
      <c r="S775" s="24" t="s">
        <v>470</v>
      </c>
      <c r="T775" s="24" t="s">
        <v>103</v>
      </c>
      <c r="U775" s="29">
        <v>46084</v>
      </c>
      <c r="V775" s="29">
        <v>46084</v>
      </c>
    </row>
    <row r="776" spans="1:31" ht="15" customHeight="1">
      <c r="A776" s="51" t="s">
        <v>137</v>
      </c>
      <c r="B776" s="51" t="s">
        <v>236</v>
      </c>
      <c r="C776" s="88" t="str">
        <f>IF(ISBLANK(B776),"",_xlfn.XLOOKUP(B776,Recruiter!A:A,Recruiter!B:B))</f>
        <v>Pooja</v>
      </c>
      <c r="D776" s="88" t="str">
        <f>IF(ISBLANK(A776),"",_xlfn.XLOOKUP(A776,'Requirement Overview'!C:C,'Requirement Overview'!E:E))</f>
        <v>Talme</v>
      </c>
      <c r="E776" s="88" t="str">
        <f>IF(ISBLANK(A776),"",_xlfn.XLOOKUP(A776,'Requirement Overview'!C:C,'Requirement Overview'!H:H))</f>
        <v>IT</v>
      </c>
      <c r="F776" s="73" t="str">
        <f>IF(ISBLANK(A776),"",_xlfn.XLOOKUP(A776,'Requirement Overview'!C:C,'Requirement Overview'!I:I))</f>
        <v>HW Designer - Pune</v>
      </c>
      <c r="G776" s="62" t="str">
        <f>IF(ISBLANK(A776),"",_xlfn.XLOOKUP(A776,'Requirement Overview'!C:C,'Requirement Overview'!G:G))</f>
        <v>L&amp;T</v>
      </c>
      <c r="H776" s="400" t="s">
        <v>3173</v>
      </c>
      <c r="I776" s="50" t="s">
        <v>3174</v>
      </c>
      <c r="J776" s="556" t="s">
        <v>3175</v>
      </c>
      <c r="K776" s="50">
        <v>9900768421</v>
      </c>
      <c r="L776" s="50" t="s">
        <v>311</v>
      </c>
      <c r="M776" s="50" t="s">
        <v>3176</v>
      </c>
      <c r="N776" s="50" t="s">
        <v>352</v>
      </c>
      <c r="O776" s="50" t="s">
        <v>1368</v>
      </c>
      <c r="P776" s="50" t="s">
        <v>268</v>
      </c>
      <c r="Q776" s="50" t="s">
        <v>569</v>
      </c>
      <c r="R776" s="50" t="s">
        <v>1653</v>
      </c>
      <c r="S776" s="51" t="s">
        <v>518</v>
      </c>
      <c r="T776" s="51" t="s">
        <v>103</v>
      </c>
      <c r="U776" s="89">
        <v>46084</v>
      </c>
      <c r="V776" s="89">
        <v>46084</v>
      </c>
      <c r="W776" s="51"/>
      <c r="X776" s="51"/>
      <c r="Y776" s="51"/>
      <c r="Z776" s="51"/>
      <c r="AA776" s="51"/>
      <c r="AB776" s="51"/>
      <c r="AC776" s="51"/>
      <c r="AD776" s="51"/>
    </row>
    <row r="777" spans="1:31" ht="15" customHeight="1">
      <c r="A777" s="702" t="s">
        <v>137</v>
      </c>
      <c r="B777" s="702" t="s">
        <v>258</v>
      </c>
      <c r="C777" s="487" t="str">
        <f>IF(ISBLANK(B777),"",_xlfn.XLOOKUP(B777,Recruiter!A:A,Recruiter!B:B))</f>
        <v>Bhoomika</v>
      </c>
      <c r="D777" s="487" t="str">
        <f>IF(ISBLANK(A777),"",_xlfn.XLOOKUP(A777,'Requirement Overview'!C:C,'Requirement Overview'!E:E))</f>
        <v>Talme</v>
      </c>
      <c r="E777" s="487" t="str">
        <f>IF(ISBLANK(A777),"",_xlfn.XLOOKUP(A777,'Requirement Overview'!C:C,'Requirement Overview'!H:H))</f>
        <v>IT</v>
      </c>
      <c r="F777" s="476" t="str">
        <f>IF(ISBLANK(A777),"",_xlfn.XLOOKUP(A777,'Requirement Overview'!C:C,'Requirement Overview'!I:I))</f>
        <v>HW Designer - Pune</v>
      </c>
      <c r="G777" s="702" t="str">
        <f>IF(ISBLANK(A777),"",_xlfn.XLOOKUP(A777,'Requirement Overview'!C:C,'Requirement Overview'!G:G))</f>
        <v>L&amp;T</v>
      </c>
      <c r="H777" s="485" t="s">
        <v>3177</v>
      </c>
      <c r="I777" s="470" t="s">
        <v>3178</v>
      </c>
      <c r="J777" s="480" t="s">
        <v>3179</v>
      </c>
      <c r="K777" s="470">
        <v>9021795386</v>
      </c>
      <c r="L777" s="470" t="s">
        <v>350</v>
      </c>
      <c r="M777" s="470" t="s">
        <v>3180</v>
      </c>
      <c r="N777" s="470" t="s">
        <v>3181</v>
      </c>
      <c r="O777" s="470" t="s">
        <v>3182</v>
      </c>
      <c r="P777" s="702" t="s">
        <v>569</v>
      </c>
      <c r="Q777" s="702" t="s">
        <v>569</v>
      </c>
      <c r="R777" s="486" t="s">
        <v>3183</v>
      </c>
      <c r="S777" s="702" t="s">
        <v>270</v>
      </c>
      <c r="T777" s="702" t="s">
        <v>103</v>
      </c>
      <c r="U777" s="703">
        <v>46086</v>
      </c>
      <c r="V777" s="703">
        <v>46086</v>
      </c>
      <c r="W777" s="702"/>
      <c r="X777" s="702"/>
      <c r="Y777" s="702"/>
      <c r="Z777" s="702"/>
      <c r="AA777" s="702"/>
      <c r="AB777" s="702"/>
      <c r="AC777" s="702"/>
      <c r="AD777" s="702"/>
      <c r="AE777" s="46"/>
    </row>
    <row r="778" spans="1:31" ht="15" customHeight="1">
      <c r="A778" s="702" t="s">
        <v>143</v>
      </c>
      <c r="B778" s="702" t="s">
        <v>258</v>
      </c>
      <c r="C778" s="487" t="str">
        <f>IF(ISBLANK(B778),"",_xlfn.XLOOKUP(B778,Recruiter!A:A,Recruiter!B:B))</f>
        <v>Bhoomika</v>
      </c>
      <c r="D778" s="487" t="s">
        <v>25</v>
      </c>
      <c r="E778" s="487" t="s">
        <v>27</v>
      </c>
      <c r="F778" s="702" t="s">
        <v>3184</v>
      </c>
      <c r="G778" s="702" t="s">
        <v>138</v>
      </c>
      <c r="H778" s="473" t="s">
        <v>3185</v>
      </c>
      <c r="I778" s="702" t="s">
        <v>519</v>
      </c>
      <c r="J778" s="480" t="s">
        <v>3186</v>
      </c>
      <c r="K778" s="470">
        <v>9511978579</v>
      </c>
      <c r="L778" s="470" t="s">
        <v>311</v>
      </c>
      <c r="M778" s="470" t="s">
        <v>1284</v>
      </c>
      <c r="N778" s="470" t="s">
        <v>3187</v>
      </c>
      <c r="O778" s="702" t="s">
        <v>757</v>
      </c>
      <c r="P778" s="702" t="s">
        <v>569</v>
      </c>
      <c r="Q778" s="702" t="s">
        <v>569</v>
      </c>
      <c r="R778" s="470" t="s">
        <v>715</v>
      </c>
      <c r="S778" s="702" t="s">
        <v>270</v>
      </c>
      <c r="T778" s="702" t="s">
        <v>103</v>
      </c>
      <c r="U778" s="703">
        <v>46086</v>
      </c>
      <c r="V778" s="703">
        <v>46086</v>
      </c>
      <c r="W778" s="702"/>
      <c r="X778" s="702"/>
      <c r="Y778" s="702"/>
      <c r="Z778" s="702"/>
      <c r="AA778" s="702"/>
      <c r="AB778" s="702"/>
      <c r="AC778" s="702"/>
      <c r="AD778" s="702"/>
      <c r="AE778" s="46"/>
    </row>
    <row r="779" spans="1:31" ht="15" customHeight="1" thickBot="1">
      <c r="A779" s="47" t="s">
        <v>35</v>
      </c>
      <c r="B779" s="47" t="s">
        <v>520</v>
      </c>
      <c r="C779" s="129" t="str">
        <f>IF(ISBLANK(B779),"",_xlfn.XLOOKUP(B779,Recruiter!A:A,Recruiter!B:B))</f>
        <v>Narthana</v>
      </c>
      <c r="D779" s="129" t="str">
        <f>IF(ISBLANK(A779),"",_xlfn.XLOOKUP(A779,'Requirement Overview'!C:C,'Requirement Overview'!E:E))</f>
        <v>Talme</v>
      </c>
      <c r="E779" s="129" t="str">
        <f>IF(ISBLANK(A779),"",_xlfn.XLOOKUP(A779,'Requirement Overview'!C:C,'Requirement Overview'!H:H))</f>
        <v>IT</v>
      </c>
      <c r="F779" s="80" t="str">
        <f>IF(ISBLANK(A779),"",_xlfn.XLOOKUP(A779,'Requirement Overview'!C:C,'Requirement Overview'!I:I))</f>
        <v>Windows system adminstrator</v>
      </c>
      <c r="G779" s="255" t="str">
        <f>IF(ISBLANK(A779),"",_xlfn.XLOOKUP(A779,'Requirement Overview'!C:C,'Requirement Overview'!G:G))</f>
        <v>EMIDS</v>
      </c>
      <c r="H779" s="138" t="s">
        <v>3188</v>
      </c>
      <c r="I779" s="138" t="s">
        <v>519</v>
      </c>
      <c r="J779" s="271" t="s">
        <v>3189</v>
      </c>
      <c r="K779" s="138">
        <v>9597667976</v>
      </c>
      <c r="L779" s="138" t="s">
        <v>311</v>
      </c>
      <c r="M779" s="47" t="s">
        <v>351</v>
      </c>
      <c r="N779" s="270" t="s">
        <v>3190</v>
      </c>
      <c r="O779" s="47"/>
      <c r="P779" s="138" t="s">
        <v>268</v>
      </c>
      <c r="Q779" s="138" t="s">
        <v>268</v>
      </c>
      <c r="R779" s="47"/>
      <c r="S779" s="47" t="s">
        <v>270</v>
      </c>
      <c r="T779" s="80" t="s">
        <v>103</v>
      </c>
      <c r="U779" s="118">
        <v>46085</v>
      </c>
      <c r="V779" s="118">
        <v>46085</v>
      </c>
      <c r="W779" s="47"/>
      <c r="X779" s="47"/>
      <c r="Y779" s="47"/>
      <c r="Z779" s="47"/>
      <c r="AA779" s="47"/>
      <c r="AB779" s="47"/>
      <c r="AC779" s="47"/>
      <c r="AD779" s="47"/>
    </row>
    <row r="780" spans="1:31" ht="15" customHeight="1" thickBot="1">
      <c r="A780" s="24" t="s">
        <v>35</v>
      </c>
      <c r="B780" s="24" t="s">
        <v>520</v>
      </c>
      <c r="C780" s="84" t="str">
        <f>IF(ISBLANK(B780),"",_xlfn.XLOOKUP(B780,Recruiter!A:A,Recruiter!B:B))</f>
        <v>Narthana</v>
      </c>
      <c r="D780" s="84" t="str">
        <f>IF(ISBLANK(A780),"",_xlfn.XLOOKUP(A780,'Requirement Overview'!C:C,'Requirement Overview'!E:E))</f>
        <v>Talme</v>
      </c>
      <c r="E780" s="84" t="str">
        <f>IF(ISBLANK(A780),"",_xlfn.XLOOKUP(A780,'Requirement Overview'!C:C,'Requirement Overview'!H:H))</f>
        <v>IT</v>
      </c>
      <c r="F780" s="19" t="str">
        <f>IF(ISBLANK(A780),"",_xlfn.XLOOKUP(A780,'Requirement Overview'!C:C,'Requirement Overview'!I:I))</f>
        <v>Windows system adminstrator</v>
      </c>
      <c r="G780" s="58" t="str">
        <f>IF(ISBLANK(A780),"",_xlfn.XLOOKUP(A780,'Requirement Overview'!C:C,'Requirement Overview'!G:G))</f>
        <v>EMIDS</v>
      </c>
      <c r="H780" s="270" t="s">
        <v>3191</v>
      </c>
      <c r="I780" s="270" t="s">
        <v>2658</v>
      </c>
      <c r="J780" s="271" t="s">
        <v>3192</v>
      </c>
      <c r="K780" s="346">
        <v>9160320317</v>
      </c>
      <c r="L780" s="270" t="s">
        <v>3193</v>
      </c>
      <c r="M780" s="24" t="s">
        <v>437</v>
      </c>
      <c r="N780" s="270" t="s">
        <v>3194</v>
      </c>
      <c r="P780" s="270" t="s">
        <v>268</v>
      </c>
      <c r="Q780" s="270" t="s">
        <v>268</v>
      </c>
      <c r="S780" s="24" t="s">
        <v>612</v>
      </c>
      <c r="T780" s="19" t="s">
        <v>103</v>
      </c>
      <c r="U780" s="29">
        <v>46085</v>
      </c>
      <c r="V780" s="29">
        <v>46085</v>
      </c>
    </row>
    <row r="781" spans="1:31" ht="15" customHeight="1" thickBot="1">
      <c r="A781" s="24" t="s">
        <v>137</v>
      </c>
      <c r="B781" s="24" t="s">
        <v>520</v>
      </c>
      <c r="C781" s="84" t="str">
        <f>IF(ISBLANK(B781),"",_xlfn.XLOOKUP(B781,Recruiter!A:A,Recruiter!B:B))</f>
        <v>Narthana</v>
      </c>
      <c r="D781" s="84" t="str">
        <f>IF(ISBLANK(A781),"",_xlfn.XLOOKUP(A781,'Requirement Overview'!C:C,'Requirement Overview'!E:E))</f>
        <v>Talme</v>
      </c>
      <c r="E781" s="84" t="str">
        <f>IF(ISBLANK(A781),"",_xlfn.XLOOKUP(A781,'Requirement Overview'!C:C,'Requirement Overview'!H:H))</f>
        <v>IT</v>
      </c>
      <c r="F781" s="19" t="str">
        <f>IF(ISBLANK(A781),"",_xlfn.XLOOKUP(A781,'Requirement Overview'!C:C,'Requirement Overview'!I:I))</f>
        <v>HW Designer - Pune</v>
      </c>
      <c r="G781" s="58" t="str">
        <f>IF(ISBLANK(A781),"",_xlfn.XLOOKUP(A781,'Requirement Overview'!C:C,'Requirement Overview'!G:G))</f>
        <v>L&amp;T</v>
      </c>
      <c r="H781" s="136" t="s">
        <v>3195</v>
      </c>
      <c r="I781" s="136" t="s">
        <v>3196</v>
      </c>
      <c r="J781" s="249" t="s">
        <v>3197</v>
      </c>
      <c r="K781" s="136">
        <v>8019180719</v>
      </c>
      <c r="L781" s="136" t="s">
        <v>3193</v>
      </c>
      <c r="M781" s="136" t="s">
        <v>279</v>
      </c>
      <c r="N781" s="136" t="s">
        <v>3198</v>
      </c>
      <c r="O781" s="136" t="s">
        <v>367</v>
      </c>
      <c r="P781" s="136" t="s">
        <v>3199</v>
      </c>
      <c r="Q781" s="136" t="s">
        <v>569</v>
      </c>
      <c r="R781" s="136" t="s">
        <v>373</v>
      </c>
      <c r="S781" s="24" t="s">
        <v>518</v>
      </c>
      <c r="T781" s="19" t="s">
        <v>103</v>
      </c>
      <c r="U781" s="29">
        <v>46085</v>
      </c>
      <c r="V781" s="29">
        <v>46085</v>
      </c>
    </row>
    <row r="782" spans="1:31" ht="15" customHeight="1" thickBot="1">
      <c r="A782" s="24" t="s">
        <v>137</v>
      </c>
      <c r="B782" s="24" t="s">
        <v>520</v>
      </c>
      <c r="C782" s="84" t="str">
        <f>IF(ISBLANK(B782),"",_xlfn.XLOOKUP(B782,Recruiter!A:A,Recruiter!B:B))</f>
        <v>Narthana</v>
      </c>
      <c r="D782" s="84" t="str">
        <f>IF(ISBLANK(A782),"",_xlfn.XLOOKUP(A782,'Requirement Overview'!C:C,'Requirement Overview'!E:E))</f>
        <v>Talme</v>
      </c>
      <c r="E782" s="84" t="str">
        <f>IF(ISBLANK(A782),"",_xlfn.XLOOKUP(A782,'Requirement Overview'!C:C,'Requirement Overview'!H:H))</f>
        <v>IT</v>
      </c>
      <c r="F782" s="19" t="str">
        <f>IF(ISBLANK(A782),"",_xlfn.XLOOKUP(A782,'Requirement Overview'!C:C,'Requirement Overview'!I:I))</f>
        <v>HW Designer - Pune</v>
      </c>
      <c r="G782" s="58" t="str">
        <f>IF(ISBLANK(A782),"",_xlfn.XLOOKUP(A782,'Requirement Overview'!C:C,'Requirement Overview'!G:G))</f>
        <v>L&amp;T</v>
      </c>
      <c r="H782" s="136" t="s">
        <v>3200</v>
      </c>
      <c r="I782" s="136" t="s">
        <v>537</v>
      </c>
      <c r="J782" s="249" t="s">
        <v>3201</v>
      </c>
      <c r="K782" s="136">
        <v>9834140377</v>
      </c>
      <c r="L782" s="136" t="s">
        <v>794</v>
      </c>
      <c r="M782" s="136" t="s">
        <v>1181</v>
      </c>
      <c r="N782" s="136" t="s">
        <v>653</v>
      </c>
      <c r="O782" s="136" t="s">
        <v>890</v>
      </c>
      <c r="P782" s="136" t="s">
        <v>569</v>
      </c>
      <c r="Q782" s="136" t="s">
        <v>569</v>
      </c>
      <c r="R782" s="136" t="s">
        <v>1144</v>
      </c>
      <c r="S782" s="24" t="s">
        <v>518</v>
      </c>
      <c r="T782" s="19" t="s">
        <v>103</v>
      </c>
      <c r="U782" s="29">
        <v>46085</v>
      </c>
      <c r="V782" s="29">
        <v>46085</v>
      </c>
    </row>
    <row r="783" spans="1:31" ht="15" customHeight="1" thickBot="1">
      <c r="A783" s="24" t="s">
        <v>35</v>
      </c>
      <c r="B783" s="24" t="s">
        <v>520</v>
      </c>
      <c r="C783" s="84" t="str">
        <f>IF(ISBLANK(B783),"",_xlfn.XLOOKUP(B783,Recruiter!A:A,Recruiter!B:B))</f>
        <v>Narthana</v>
      </c>
      <c r="D783" s="84" t="str">
        <f>IF(ISBLANK(A783),"",_xlfn.XLOOKUP(A783,'Requirement Overview'!C:C,'Requirement Overview'!E:E))</f>
        <v>Talme</v>
      </c>
      <c r="E783" s="84" t="str">
        <f>IF(ISBLANK(A783),"",_xlfn.XLOOKUP(A783,'Requirement Overview'!C:C,'Requirement Overview'!H:H))</f>
        <v>IT</v>
      </c>
      <c r="F783" s="19" t="str">
        <f>IF(ISBLANK(A783),"",_xlfn.XLOOKUP(A783,'Requirement Overview'!C:C,'Requirement Overview'!I:I))</f>
        <v>Windows system adminstrator</v>
      </c>
      <c r="G783" s="58" t="str">
        <f>IF(ISBLANK(A783),"",_xlfn.XLOOKUP(A783,'Requirement Overview'!C:C,'Requirement Overview'!G:G))</f>
        <v>EMIDS</v>
      </c>
      <c r="H783" s="138" t="s">
        <v>3202</v>
      </c>
      <c r="I783" s="138" t="s">
        <v>519</v>
      </c>
      <c r="J783" s="271" t="s">
        <v>3203</v>
      </c>
      <c r="K783" s="138">
        <v>9908740703</v>
      </c>
      <c r="L783" s="138" t="s">
        <v>290</v>
      </c>
      <c r="M783" s="138" t="s">
        <v>3204</v>
      </c>
      <c r="N783" s="138" t="s">
        <v>3205</v>
      </c>
      <c r="P783" s="138" t="s">
        <v>879</v>
      </c>
      <c r="Q783" s="138" t="s">
        <v>879</v>
      </c>
      <c r="S783" s="24" t="s">
        <v>601</v>
      </c>
      <c r="T783" s="19" t="s">
        <v>103</v>
      </c>
      <c r="U783" s="29">
        <v>46086</v>
      </c>
      <c r="V783" s="29">
        <v>46086</v>
      </c>
    </row>
    <row r="784" spans="1:31" ht="15" customHeight="1" thickBot="1">
      <c r="A784" s="24" t="s">
        <v>35</v>
      </c>
      <c r="B784" s="24" t="s">
        <v>520</v>
      </c>
      <c r="C784" s="84" t="str">
        <f>IF(ISBLANK(B784),"",_xlfn.XLOOKUP(B784,Recruiter!A:A,Recruiter!B:B))</f>
        <v>Narthana</v>
      </c>
      <c r="D784" s="84" t="str">
        <f>IF(ISBLANK(A784),"",_xlfn.XLOOKUP(A784,'Requirement Overview'!C:C,'Requirement Overview'!E:E))</f>
        <v>Talme</v>
      </c>
      <c r="E784" s="84" t="str">
        <f>IF(ISBLANK(A784),"",_xlfn.XLOOKUP(A784,'Requirement Overview'!C:C,'Requirement Overview'!H:H))</f>
        <v>IT</v>
      </c>
      <c r="F784" s="19" t="str">
        <f>IF(ISBLANK(A784),"",_xlfn.XLOOKUP(A784,'Requirement Overview'!C:C,'Requirement Overview'!I:I))</f>
        <v>Windows system adminstrator</v>
      </c>
      <c r="G784" s="58" t="str">
        <f>IF(ISBLANK(A784),"",_xlfn.XLOOKUP(A784,'Requirement Overview'!C:C,'Requirement Overview'!G:G))</f>
        <v>EMIDS</v>
      </c>
      <c r="H784" s="138" t="s">
        <v>3206</v>
      </c>
      <c r="I784" s="138" t="s">
        <v>3207</v>
      </c>
      <c r="J784" s="271" t="s">
        <v>3208</v>
      </c>
      <c r="K784" s="138">
        <v>9470532319</v>
      </c>
      <c r="L784" s="138" t="s">
        <v>305</v>
      </c>
      <c r="M784" s="138" t="s">
        <v>1486</v>
      </c>
      <c r="N784" s="138" t="s">
        <v>3209</v>
      </c>
      <c r="P784" s="138" t="s">
        <v>1055</v>
      </c>
      <c r="Q784" s="138" t="s">
        <v>806</v>
      </c>
      <c r="S784" s="24" t="s">
        <v>601</v>
      </c>
      <c r="T784" s="19" t="s">
        <v>103</v>
      </c>
      <c r="U784" s="29">
        <v>46086</v>
      </c>
      <c r="V784" s="29">
        <v>46086</v>
      </c>
    </row>
    <row r="785" spans="1:45" ht="15" customHeight="1" thickBot="1">
      <c r="A785" s="24" t="s">
        <v>35</v>
      </c>
      <c r="B785" s="24" t="s">
        <v>520</v>
      </c>
      <c r="C785" s="84" t="str">
        <f>IF(ISBLANK(B785),"",_xlfn.XLOOKUP(B785,Recruiter!A:A,Recruiter!B:B))</f>
        <v>Narthana</v>
      </c>
      <c r="D785" s="84" t="str">
        <f>IF(ISBLANK(A785),"",_xlfn.XLOOKUP(A785,'Requirement Overview'!C:C,'Requirement Overview'!E:E))</f>
        <v>Talme</v>
      </c>
      <c r="E785" s="84" t="str">
        <f>IF(ISBLANK(A785),"",_xlfn.XLOOKUP(A785,'Requirement Overview'!C:C,'Requirement Overview'!H:H))</f>
        <v>IT</v>
      </c>
      <c r="F785" s="19" t="str">
        <f>IF(ISBLANK(A785),"",_xlfn.XLOOKUP(A785,'Requirement Overview'!C:C,'Requirement Overview'!I:I))</f>
        <v>Windows system adminstrator</v>
      </c>
      <c r="G785" s="58" t="str">
        <f>IF(ISBLANK(A785),"",_xlfn.XLOOKUP(A785,'Requirement Overview'!C:C,'Requirement Overview'!G:G))</f>
        <v>EMIDS</v>
      </c>
      <c r="H785" s="92" t="s">
        <v>3210</v>
      </c>
      <c r="I785" s="138" t="s">
        <v>3211</v>
      </c>
      <c r="J785" s="359" t="s">
        <v>3212</v>
      </c>
      <c r="K785" s="92">
        <v>8464866646</v>
      </c>
      <c r="L785" s="138" t="s">
        <v>305</v>
      </c>
      <c r="M785" s="92" t="s">
        <v>371</v>
      </c>
      <c r="N785" s="92" t="s">
        <v>3213</v>
      </c>
      <c r="O785" s="24" t="s">
        <v>381</v>
      </c>
      <c r="P785" s="24" t="s">
        <v>879</v>
      </c>
      <c r="Q785" s="24" t="s">
        <v>879</v>
      </c>
      <c r="R785" s="24" t="s">
        <v>382</v>
      </c>
      <c r="S785" s="24" t="s">
        <v>601</v>
      </c>
      <c r="T785" s="19" t="s">
        <v>103</v>
      </c>
      <c r="U785" s="29">
        <v>46087</v>
      </c>
      <c r="V785" s="29">
        <v>46087</v>
      </c>
    </row>
    <row r="786" spans="1:45" ht="15" customHeight="1">
      <c r="A786" s="51" t="s">
        <v>35</v>
      </c>
      <c r="B786" s="51" t="s">
        <v>520</v>
      </c>
      <c r="C786" s="88" t="str">
        <f>IF(ISBLANK(B786),"",_xlfn.XLOOKUP(B786,Recruiter!A:A,Recruiter!B:B))</f>
        <v>Narthana</v>
      </c>
      <c r="D786" s="88" t="str">
        <f>IF(ISBLANK(A786),"",_xlfn.XLOOKUP(A786,'Requirement Overview'!C:C,'Requirement Overview'!E:E))</f>
        <v>Talme</v>
      </c>
      <c r="E786" s="88" t="str">
        <f>IF(ISBLANK(A786),"",_xlfn.XLOOKUP(A786,'Requirement Overview'!C:C,'Requirement Overview'!H:H))</f>
        <v>IT</v>
      </c>
      <c r="F786" s="73" t="str">
        <f>IF(ISBLANK(A786),"",_xlfn.XLOOKUP(A786,'Requirement Overview'!C:C,'Requirement Overview'!I:I))</f>
        <v>Windows system adminstrator</v>
      </c>
      <c r="G786" s="62" t="str">
        <f>IF(ISBLANK(A786),"",_xlfn.XLOOKUP(A786,'Requirement Overview'!C:C,'Requirement Overview'!G:G))</f>
        <v>EMIDS</v>
      </c>
      <c r="H786" s="528" t="s">
        <v>3214</v>
      </c>
      <c r="I786" s="108" t="s">
        <v>3099</v>
      </c>
      <c r="J786" s="122" t="s">
        <v>3215</v>
      </c>
      <c r="K786" s="562">
        <v>9985089761</v>
      </c>
      <c r="L786" s="108" t="s">
        <v>421</v>
      </c>
      <c r="M786" s="51" t="s">
        <v>390</v>
      </c>
      <c r="N786" s="365" t="s">
        <v>3216</v>
      </c>
      <c r="O786" s="51" t="s">
        <v>381</v>
      </c>
      <c r="P786" s="51" t="s">
        <v>268</v>
      </c>
      <c r="Q786" s="51" t="s">
        <v>268</v>
      </c>
      <c r="R786" s="51" t="s">
        <v>540</v>
      </c>
      <c r="S786" s="51" t="s">
        <v>601</v>
      </c>
      <c r="T786" s="73" t="s">
        <v>103</v>
      </c>
      <c r="U786" s="89">
        <v>46087</v>
      </c>
      <c r="V786" s="89">
        <v>46087</v>
      </c>
      <c r="W786" s="51" t="s">
        <v>3217</v>
      </c>
      <c r="X786" s="51"/>
      <c r="Y786" s="51"/>
      <c r="Z786" s="51"/>
      <c r="AA786" s="51"/>
      <c r="AB786" s="51"/>
      <c r="AC786" s="51"/>
      <c r="AD786" s="51"/>
    </row>
    <row r="787" spans="1:45" ht="15" customHeight="1">
      <c r="A787" s="702" t="s">
        <v>143</v>
      </c>
      <c r="B787" s="702" t="s">
        <v>258</v>
      </c>
      <c r="C787" s="487" t="str">
        <f>IF(ISBLANK(B787),"",_xlfn.XLOOKUP(B787,Recruiter!A:A,Recruiter!B:B))</f>
        <v>Bhoomika</v>
      </c>
      <c r="D787" s="487" t="str">
        <f>IF(ISBLANK(A787),"",_xlfn.XLOOKUP(A787,'Requirement Overview'!C:C,'Requirement Overview'!E:E))</f>
        <v>Talme</v>
      </c>
      <c r="E787" s="487" t="str">
        <f>IF(ISBLANK(A787),"",_xlfn.XLOOKUP(A787,'Requirement Overview'!C:C,'Requirement Overview'!H:H))</f>
        <v>Non - IT</v>
      </c>
      <c r="F787" s="476" t="str">
        <f>IF(ISBLANK(A787),"",_xlfn.XLOOKUP(A787,'Requirement Overview'!C:C,'Requirement Overview'!I:I))</f>
        <v>Manufacturing ITI</v>
      </c>
      <c r="G787" s="702" t="str">
        <f>IF(ISBLANK(A787),"",_xlfn.XLOOKUP(A787,'Requirement Overview'!C:C,'Requirement Overview'!G:G))</f>
        <v>Micron</v>
      </c>
      <c r="H787" s="702" t="s">
        <v>3218</v>
      </c>
      <c r="I787" s="702" t="s">
        <v>519</v>
      </c>
      <c r="J787" s="478" t="s">
        <v>3219</v>
      </c>
      <c r="K787" s="702">
        <v>7909229833</v>
      </c>
      <c r="L787" s="702" t="s">
        <v>3220</v>
      </c>
      <c r="M787" s="702" t="s">
        <v>566</v>
      </c>
      <c r="N787" s="702" t="s">
        <v>3221</v>
      </c>
      <c r="O787" s="702" t="s">
        <v>3222</v>
      </c>
      <c r="P787" s="702" t="s">
        <v>268</v>
      </c>
      <c r="Q787" s="702" t="s">
        <v>3223</v>
      </c>
      <c r="R787" s="702" t="s">
        <v>3132</v>
      </c>
      <c r="S787" s="476" t="s">
        <v>270</v>
      </c>
      <c r="T787" s="702" t="s">
        <v>1012</v>
      </c>
      <c r="U787" s="703">
        <v>46086</v>
      </c>
      <c r="V787" s="703">
        <v>46086</v>
      </c>
      <c r="W787" s="702"/>
      <c r="X787" s="702"/>
      <c r="Y787" s="702"/>
      <c r="Z787" s="702"/>
      <c r="AA787" s="702"/>
      <c r="AB787" s="702"/>
      <c r="AC787" s="702"/>
      <c r="AD787" s="702"/>
      <c r="AE787" s="46"/>
    </row>
    <row r="788" spans="1:45" s="51" customFormat="1" ht="15" customHeight="1">
      <c r="A788" s="702" t="s">
        <v>143</v>
      </c>
      <c r="B788" s="702" t="s">
        <v>258</v>
      </c>
      <c r="C788" s="487" t="str">
        <f>IF(ISBLANK(B788),"",_xlfn.XLOOKUP(B788,Recruiter!A:A,Recruiter!B:B))</f>
        <v>Bhoomika</v>
      </c>
      <c r="D788" s="487" t="str">
        <f>IF(ISBLANK(A788),"",_xlfn.XLOOKUP(A788,'Requirement Overview'!C:C,'Requirement Overview'!E:E))</f>
        <v>Talme</v>
      </c>
      <c r="E788" s="487" t="str">
        <f>IF(ISBLANK(A788),"",_xlfn.XLOOKUP(A788,'Requirement Overview'!C:C,'Requirement Overview'!H:H))</f>
        <v>Non - IT</v>
      </c>
      <c r="F788" s="476" t="str">
        <f>IF(ISBLANK(A788),"",_xlfn.XLOOKUP(A788,'Requirement Overview'!C:C,'Requirement Overview'!I:I))</f>
        <v>Manufacturing ITI</v>
      </c>
      <c r="G788" s="702" t="str">
        <f>IF(ISBLANK(A788),"",_xlfn.XLOOKUP(A788,'Requirement Overview'!C:C,'Requirement Overview'!G:G))</f>
        <v>Micron</v>
      </c>
      <c r="H788" s="702" t="s">
        <v>3224</v>
      </c>
      <c r="I788" s="702" t="s">
        <v>519</v>
      </c>
      <c r="J788" s="478" t="s">
        <v>3225</v>
      </c>
      <c r="K788" s="702">
        <v>8113091108</v>
      </c>
      <c r="L788" s="702" t="s">
        <v>3220</v>
      </c>
      <c r="M788" s="702" t="s">
        <v>312</v>
      </c>
      <c r="N788" s="702" t="s">
        <v>3226</v>
      </c>
      <c r="O788" s="702" t="s">
        <v>3227</v>
      </c>
      <c r="P788" s="702" t="s">
        <v>1163</v>
      </c>
      <c r="Q788" s="702" t="s">
        <v>3223</v>
      </c>
      <c r="R788" s="702" t="s">
        <v>3132</v>
      </c>
      <c r="S788" s="476" t="s">
        <v>3228</v>
      </c>
      <c r="T788" s="702" t="s">
        <v>1012</v>
      </c>
      <c r="U788" s="703">
        <v>46086</v>
      </c>
      <c r="V788" s="703">
        <v>46086</v>
      </c>
      <c r="W788" s="702"/>
      <c r="X788" s="702"/>
      <c r="Y788" s="702"/>
      <c r="Z788" s="702"/>
      <c r="AA788" s="702"/>
      <c r="AB788" s="702"/>
      <c r="AC788" s="702"/>
      <c r="AD788" s="702"/>
      <c r="AE788" s="108"/>
      <c r="AL788" s="73"/>
      <c r="AM788" s="73"/>
      <c r="AS788" s="73"/>
    </row>
    <row r="789" spans="1:45" ht="15" customHeight="1">
      <c r="A789" s="47" t="s">
        <v>140</v>
      </c>
      <c r="B789" s="47" t="s">
        <v>520</v>
      </c>
      <c r="C789" s="129" t="str">
        <f>IF(ISBLANK(B789),"",_xlfn.XLOOKUP(B789,Recruiter!A:A,Recruiter!B:B))</f>
        <v>Narthana</v>
      </c>
      <c r="D789" s="129" t="str">
        <f>IF(ISBLANK(A789),"",_xlfn.XLOOKUP(A789,'Requirement Overview'!C:C,'Requirement Overview'!E:E))</f>
        <v>Talme</v>
      </c>
      <c r="E789" s="129" t="str">
        <f>IF(ISBLANK(A789),"",_xlfn.XLOOKUP(A789,'Requirement Overview'!C:C,'Requirement Overview'!H:H))</f>
        <v>Non - IT</v>
      </c>
      <c r="F789" s="80" t="str">
        <f>IF(ISBLANK(A789),"",_xlfn.XLOOKUP(A789,'Requirement Overview'!C:C,'Requirement Overview'!I:I))</f>
        <v>Production Operator</v>
      </c>
      <c r="G789" s="47" t="str">
        <f>IF(ISBLANK(A789),"",_xlfn.XLOOKUP(A789,'Requirement Overview'!C:C,'Requirement Overview'!G:G))</f>
        <v>Micron</v>
      </c>
      <c r="H789" s="47" t="s">
        <v>3229</v>
      </c>
      <c r="I789" s="47" t="s">
        <v>497</v>
      </c>
      <c r="J789" s="632" t="s">
        <v>3230</v>
      </c>
      <c r="K789" s="47">
        <v>9714284572</v>
      </c>
      <c r="L789" s="47" t="s">
        <v>733</v>
      </c>
      <c r="M789" s="47" t="s">
        <v>3231</v>
      </c>
      <c r="N789" s="47" t="s">
        <v>3232</v>
      </c>
      <c r="O789" s="47" t="s">
        <v>3233</v>
      </c>
      <c r="P789" s="47"/>
      <c r="Q789" s="47" t="s">
        <v>3234</v>
      </c>
      <c r="R789" s="47" t="s">
        <v>1177</v>
      </c>
      <c r="S789" s="80" t="s">
        <v>601</v>
      </c>
      <c r="T789" s="47" t="s">
        <v>103</v>
      </c>
      <c r="U789" s="118">
        <v>46090</v>
      </c>
      <c r="V789" s="118">
        <v>46090</v>
      </c>
      <c r="W789" s="47"/>
      <c r="X789" s="47"/>
      <c r="Y789" s="47"/>
      <c r="Z789" s="47"/>
      <c r="AA789" s="47"/>
      <c r="AB789" s="47"/>
      <c r="AC789" s="47"/>
      <c r="AD789" s="47"/>
    </row>
    <row r="790" spans="1:45" ht="15" customHeight="1">
      <c r="A790" s="24" t="s">
        <v>134</v>
      </c>
      <c r="B790" s="24" t="s">
        <v>520</v>
      </c>
      <c r="C790" s="84" t="str">
        <f>IF(ISBLANK(B790),"",_xlfn.XLOOKUP(B790,Recruiter!A:A,Recruiter!B:B))</f>
        <v>Narthana</v>
      </c>
      <c r="D790" s="84" t="str">
        <f>IF(ISBLANK(A790),"",_xlfn.XLOOKUP(A790,'Requirement Overview'!C:C,'Requirement Overview'!E:E))</f>
        <v>Talme</v>
      </c>
      <c r="E790" s="84" t="str">
        <f>IF(ISBLANK(A790),"",_xlfn.XLOOKUP(A790,'Requirement Overview'!C:C,'Requirement Overview'!H:H))</f>
        <v>Non - IT</v>
      </c>
      <c r="F790" s="19" t="str">
        <f>IF(ISBLANK(A790),"",_xlfn.XLOOKUP(A790,'Requirement Overview'!C:C,'Requirement Overview'!I:I))</f>
        <v>Sales officer</v>
      </c>
      <c r="G790" s="24" t="str">
        <f>IF(ISBLANK(A790),"",_xlfn.XLOOKUP(A790,'Requirement Overview'!C:C,'Requirement Overview'!G:G))</f>
        <v>Megha foods pvt ltd</v>
      </c>
      <c r="H790" s="113" t="s">
        <v>3235</v>
      </c>
      <c r="I790" s="24" t="s">
        <v>519</v>
      </c>
      <c r="J790" s="244" t="s">
        <v>3236</v>
      </c>
      <c r="K790" s="113">
        <v>7305669782</v>
      </c>
      <c r="L790" s="24" t="s">
        <v>404</v>
      </c>
      <c r="M790" s="113" t="s">
        <v>1284</v>
      </c>
      <c r="N790" s="376" t="s">
        <v>3237</v>
      </c>
      <c r="O790" s="24" t="s">
        <v>3227</v>
      </c>
      <c r="P790" s="24" t="s">
        <v>1286</v>
      </c>
      <c r="Q790" s="24" t="s">
        <v>1286</v>
      </c>
      <c r="R790" s="24" t="s">
        <v>568</v>
      </c>
      <c r="S790" s="19" t="s">
        <v>3127</v>
      </c>
      <c r="T790" s="24" t="s">
        <v>1012</v>
      </c>
      <c r="U790" s="29">
        <v>46090</v>
      </c>
      <c r="V790" s="29">
        <v>46090</v>
      </c>
      <c r="W790" s="24" t="s">
        <v>3128</v>
      </c>
      <c r="AJ790" s="29">
        <v>46098</v>
      </c>
      <c r="AK790" s="29">
        <v>46098</v>
      </c>
      <c r="AM790" s="29">
        <v>46098</v>
      </c>
      <c r="AN790" s="24" t="s">
        <v>3129</v>
      </c>
      <c r="AO790" s="29">
        <v>46098</v>
      </c>
      <c r="AP790" s="24" t="s">
        <v>2762</v>
      </c>
      <c r="AQ790" s="29">
        <v>46099</v>
      </c>
      <c r="AR790" s="24" t="s">
        <v>3127</v>
      </c>
      <c r="AS790" s="19" t="s">
        <v>1255</v>
      </c>
    </row>
    <row r="791" spans="1:45" ht="15" customHeight="1">
      <c r="A791" s="24" t="s">
        <v>134</v>
      </c>
      <c r="B791" s="24" t="s">
        <v>520</v>
      </c>
      <c r="C791" s="84" t="str">
        <f>IF(ISBLANK(B791),"",_xlfn.XLOOKUP(B791,Recruiter!A:A,Recruiter!B:B))</f>
        <v>Narthana</v>
      </c>
      <c r="D791" s="84" t="str">
        <f>IF(ISBLANK(A791),"",_xlfn.XLOOKUP(A791,'Requirement Overview'!C:C,'Requirement Overview'!E:E))</f>
        <v>Talme</v>
      </c>
      <c r="E791" s="84" t="str">
        <f>IF(ISBLANK(A791),"",_xlfn.XLOOKUP(A791,'Requirement Overview'!C:C,'Requirement Overview'!H:H))</f>
        <v>Non - IT</v>
      </c>
      <c r="F791" s="19" t="str">
        <f>IF(ISBLANK(A791),"",_xlfn.XLOOKUP(A791,'Requirement Overview'!C:C,'Requirement Overview'!I:I))</f>
        <v>Sales officer</v>
      </c>
      <c r="G791" s="24" t="str">
        <f>IF(ISBLANK(A791),"",_xlfn.XLOOKUP(A791,'Requirement Overview'!C:C,'Requirement Overview'!G:G))</f>
        <v>Megha foods pvt ltd</v>
      </c>
      <c r="H791" s="113" t="s">
        <v>3238</v>
      </c>
      <c r="I791" s="24" t="s">
        <v>519</v>
      </c>
      <c r="J791" s="244" t="s">
        <v>3239</v>
      </c>
      <c r="K791" s="113">
        <v>9080794274</v>
      </c>
      <c r="L791" s="24" t="s">
        <v>404</v>
      </c>
      <c r="M791" s="113" t="s">
        <v>1284</v>
      </c>
      <c r="N791" s="376" t="s">
        <v>3237</v>
      </c>
      <c r="O791" s="24" t="s">
        <v>3233</v>
      </c>
      <c r="P791" s="24" t="s">
        <v>1286</v>
      </c>
      <c r="Q791" s="24" t="s">
        <v>1286</v>
      </c>
      <c r="R791" s="24" t="s">
        <v>568</v>
      </c>
      <c r="S791" s="19" t="s">
        <v>3127</v>
      </c>
      <c r="T791" s="24" t="s">
        <v>1012</v>
      </c>
      <c r="U791" s="29">
        <v>46090</v>
      </c>
      <c r="V791" s="29">
        <v>46090</v>
      </c>
      <c r="W791" s="24" t="s">
        <v>3128</v>
      </c>
      <c r="AJ791" s="29">
        <v>46098</v>
      </c>
      <c r="AK791" s="29">
        <v>46098</v>
      </c>
      <c r="AM791" s="29">
        <v>46098</v>
      </c>
      <c r="AN791" s="24" t="s">
        <v>3129</v>
      </c>
      <c r="AO791" s="29">
        <v>46098</v>
      </c>
      <c r="AP791" s="24" t="s">
        <v>2762</v>
      </c>
      <c r="AQ791" s="29">
        <v>46099</v>
      </c>
      <c r="AR791" s="24" t="s">
        <v>3127</v>
      </c>
      <c r="AS791" s="19" t="s">
        <v>1255</v>
      </c>
    </row>
    <row r="792" spans="1:45" s="47" customFormat="1" ht="15" customHeight="1">
      <c r="A792" s="47" t="s">
        <v>134</v>
      </c>
      <c r="B792" s="47" t="s">
        <v>1417</v>
      </c>
      <c r="C792" s="129" t="str">
        <f>IF(ISBLANK(B792),"",_xlfn.XLOOKUP(B792,Recruiter!A:A,Recruiter!B:B))</f>
        <v>Harish</v>
      </c>
      <c r="D792" s="129" t="str">
        <f>IF(ISBLANK(A792),"",_xlfn.XLOOKUP(A792,'Requirement Overview'!C:C,'Requirement Overview'!E:E))</f>
        <v>Talme</v>
      </c>
      <c r="E792" s="129" t="str">
        <f>IF(ISBLANK(A792),"",_xlfn.XLOOKUP(A792,'Requirement Overview'!C:C,'Requirement Overview'!H:H))</f>
        <v>Non - IT</v>
      </c>
      <c r="F792" s="80" t="str">
        <f>IF(ISBLANK(A792),"",_xlfn.XLOOKUP(A792,'Requirement Overview'!C:C,'Requirement Overview'!I:I))</f>
        <v>Sales officer</v>
      </c>
      <c r="G792" s="255" t="str">
        <f>IF(ISBLANK(A792),"",_xlfn.XLOOKUP(A792,'Requirement Overview'!C:C,'Requirement Overview'!G:G))</f>
        <v>Megha foods pvt ltd</v>
      </c>
      <c r="H792" s="366" t="s">
        <v>3240</v>
      </c>
      <c r="I792" s="184" t="s">
        <v>3241</v>
      </c>
      <c r="J792" s="375"/>
      <c r="K792" s="366">
        <v>6381121861</v>
      </c>
      <c r="L792" s="184"/>
      <c r="M792" s="47" t="s">
        <v>3242</v>
      </c>
      <c r="O792" s="47" t="s">
        <v>3243</v>
      </c>
      <c r="P792" s="47" t="s">
        <v>1286</v>
      </c>
      <c r="Q792" s="47" t="s">
        <v>1286</v>
      </c>
      <c r="R792" s="47" t="s">
        <v>3244</v>
      </c>
      <c r="S792" s="47" t="s">
        <v>375</v>
      </c>
      <c r="T792" s="47" t="s">
        <v>3245</v>
      </c>
      <c r="U792" s="118">
        <v>46090</v>
      </c>
      <c r="V792" s="118">
        <v>46090</v>
      </c>
      <c r="X792" s="118">
        <v>46090</v>
      </c>
      <c r="Y792" s="47" t="s">
        <v>784</v>
      </c>
      <c r="Z792" s="47" t="s">
        <v>784</v>
      </c>
      <c r="AA792" s="47" t="s">
        <v>3246</v>
      </c>
      <c r="AJ792" s="118">
        <v>46090</v>
      </c>
      <c r="AL792" s="314">
        <v>46090</v>
      </c>
      <c r="AM792" s="314">
        <v>46090</v>
      </c>
      <c r="AN792" s="47" t="s">
        <v>2761</v>
      </c>
      <c r="AO792" s="118">
        <v>46090</v>
      </c>
      <c r="AP792" s="47" t="s">
        <v>2762</v>
      </c>
      <c r="AQ792" s="118">
        <v>46098</v>
      </c>
      <c r="AS792" s="80">
        <v>235140</v>
      </c>
    </row>
    <row r="793" spans="1:45" ht="15" customHeight="1">
      <c r="A793" s="24" t="s">
        <v>134</v>
      </c>
      <c r="B793" s="24" t="s">
        <v>1417</v>
      </c>
      <c r="C793" s="84" t="str">
        <f>IF(ISBLANK(B793),"",_xlfn.XLOOKUP(B793,Recruiter!A:A,Recruiter!B:B))</f>
        <v>Harish</v>
      </c>
      <c r="D793" s="84" t="str">
        <f>IF(ISBLANK(A793),"",_xlfn.XLOOKUP(A793,'Requirement Overview'!C:C,'Requirement Overview'!E:E))</f>
        <v>Talme</v>
      </c>
      <c r="E793" s="84" t="str">
        <f>IF(ISBLANK(A793),"",_xlfn.XLOOKUP(A793,'Requirement Overview'!C:C,'Requirement Overview'!H:H))</f>
        <v>Non - IT</v>
      </c>
      <c r="F793" s="19" t="str">
        <f>IF(ISBLANK(A793),"",_xlfn.XLOOKUP(A793,'Requirement Overview'!C:C,'Requirement Overview'!I:I))</f>
        <v>Sales officer</v>
      </c>
      <c r="G793" s="58" t="str">
        <f>IF(ISBLANK(A793),"",_xlfn.XLOOKUP(A793,'Requirement Overview'!C:C,'Requirement Overview'!G:G))</f>
        <v>Megha foods pvt ltd</v>
      </c>
      <c r="H793" s="366" t="s">
        <v>3247</v>
      </c>
      <c r="I793" s="46" t="s">
        <v>3241</v>
      </c>
      <c r="J793" s="59"/>
      <c r="K793" s="366">
        <v>9360269142</v>
      </c>
      <c r="L793" s="46"/>
      <c r="M793" s="24" t="s">
        <v>3242</v>
      </c>
      <c r="O793" s="24" t="s">
        <v>3243</v>
      </c>
      <c r="P793" s="24" t="s">
        <v>1286</v>
      </c>
      <c r="Q793" s="24" t="s">
        <v>1286</v>
      </c>
      <c r="R793" s="24" t="s">
        <v>3244</v>
      </c>
      <c r="S793" s="24" t="s">
        <v>375</v>
      </c>
      <c r="T793" s="24" t="s">
        <v>3245</v>
      </c>
      <c r="U793" s="29">
        <v>46090</v>
      </c>
      <c r="V793" s="29">
        <v>46090</v>
      </c>
      <c r="X793" s="29">
        <v>46090</v>
      </c>
      <c r="Y793" s="24" t="s">
        <v>784</v>
      </c>
      <c r="Z793" s="24" t="s">
        <v>784</v>
      </c>
      <c r="AA793" s="24" t="s">
        <v>3246</v>
      </c>
      <c r="AJ793" s="29">
        <v>46090</v>
      </c>
      <c r="AL793" s="31">
        <v>46090</v>
      </c>
      <c r="AM793" s="31">
        <v>46090</v>
      </c>
      <c r="AN793" s="24" t="s">
        <v>2761</v>
      </c>
      <c r="AO793" s="29">
        <v>46090</v>
      </c>
      <c r="AP793" s="24" t="s">
        <v>2762</v>
      </c>
      <c r="AQ793" s="29">
        <v>46098</v>
      </c>
      <c r="AS793" s="19">
        <v>235140</v>
      </c>
    </row>
    <row r="794" spans="1:45" ht="15" customHeight="1">
      <c r="A794" s="24" t="s">
        <v>134</v>
      </c>
      <c r="B794" s="24" t="s">
        <v>1417</v>
      </c>
      <c r="C794" s="84" t="str">
        <f>IF(ISBLANK(B794),"",_xlfn.XLOOKUP(B794,Recruiter!A:A,Recruiter!B:B))</f>
        <v>Harish</v>
      </c>
      <c r="D794" s="84" t="str">
        <f>IF(ISBLANK(A794),"",_xlfn.XLOOKUP(A794,'Requirement Overview'!C:C,'Requirement Overview'!E:E))</f>
        <v>Talme</v>
      </c>
      <c r="E794" s="84" t="str">
        <f>IF(ISBLANK(A794),"",_xlfn.XLOOKUP(A794,'Requirement Overview'!C:C,'Requirement Overview'!H:H))</f>
        <v>Non - IT</v>
      </c>
      <c r="F794" s="19" t="str">
        <f>IF(ISBLANK(A794),"",_xlfn.XLOOKUP(A794,'Requirement Overview'!C:C,'Requirement Overview'!I:I))</f>
        <v>Sales officer</v>
      </c>
      <c r="G794" s="58" t="str">
        <f>IF(ISBLANK(A794),"",_xlfn.XLOOKUP(A794,'Requirement Overview'!C:C,'Requirement Overview'!G:G))</f>
        <v>Megha foods pvt ltd</v>
      </c>
      <c r="H794" s="366" t="s">
        <v>3248</v>
      </c>
      <c r="I794" s="46" t="s">
        <v>3241</v>
      </c>
      <c r="J794" s="59"/>
      <c r="K794" s="366">
        <v>6384738036</v>
      </c>
      <c r="L794" s="46"/>
      <c r="M794" s="24" t="s">
        <v>3242</v>
      </c>
      <c r="O794" s="24" t="s">
        <v>3243</v>
      </c>
      <c r="P794" s="24" t="s">
        <v>1286</v>
      </c>
      <c r="Q794" s="24" t="s">
        <v>1286</v>
      </c>
      <c r="R794" s="24" t="s">
        <v>3244</v>
      </c>
      <c r="S794" s="24" t="s">
        <v>375</v>
      </c>
      <c r="T794" s="24" t="s">
        <v>3245</v>
      </c>
      <c r="U794" s="29">
        <v>46090</v>
      </c>
      <c r="V794" s="29">
        <v>46090</v>
      </c>
      <c r="X794" s="29">
        <v>46090</v>
      </c>
      <c r="Y794" s="24" t="s">
        <v>784</v>
      </c>
      <c r="Z794" s="24" t="s">
        <v>784</v>
      </c>
      <c r="AA794" s="24" t="s">
        <v>3246</v>
      </c>
      <c r="AJ794" s="29">
        <v>46090</v>
      </c>
      <c r="AL794" s="31">
        <v>46090</v>
      </c>
      <c r="AM794" s="31">
        <v>46090</v>
      </c>
      <c r="AN794" s="24" t="s">
        <v>2761</v>
      </c>
      <c r="AO794" s="29">
        <v>46090</v>
      </c>
      <c r="AP794" s="24" t="s">
        <v>2762</v>
      </c>
      <c r="AQ794" s="29">
        <v>46098</v>
      </c>
      <c r="AS794" s="19">
        <v>235140</v>
      </c>
    </row>
    <row r="795" spans="1:45" ht="15" customHeight="1">
      <c r="A795" s="24" t="s">
        <v>134</v>
      </c>
      <c r="B795" s="24" t="s">
        <v>1417</v>
      </c>
      <c r="C795" s="84" t="str">
        <f>IF(ISBLANK(B795),"",_xlfn.XLOOKUP(B795,Recruiter!A:A,Recruiter!B:B))</f>
        <v>Harish</v>
      </c>
      <c r="D795" s="84" t="str">
        <f>IF(ISBLANK(A795),"",_xlfn.XLOOKUP(A795,'Requirement Overview'!C:C,'Requirement Overview'!E:E))</f>
        <v>Talme</v>
      </c>
      <c r="E795" s="84" t="str">
        <f>IF(ISBLANK(A795),"",_xlfn.XLOOKUP(A795,'Requirement Overview'!C:C,'Requirement Overview'!H:H))</f>
        <v>Non - IT</v>
      </c>
      <c r="F795" s="19" t="str">
        <f>IF(ISBLANK(A795),"",_xlfn.XLOOKUP(A795,'Requirement Overview'!C:C,'Requirement Overview'!I:I))</f>
        <v>Sales officer</v>
      </c>
      <c r="G795" s="58" t="str">
        <f>IF(ISBLANK(A795),"",_xlfn.XLOOKUP(A795,'Requirement Overview'!C:C,'Requirement Overview'!G:G))</f>
        <v>Megha foods pvt ltd</v>
      </c>
      <c r="H795" s="366" t="s">
        <v>3249</v>
      </c>
      <c r="I795" s="46" t="s">
        <v>3241</v>
      </c>
      <c r="J795" s="59"/>
      <c r="K795" s="366">
        <v>9944406265</v>
      </c>
      <c r="L795" s="46"/>
      <c r="M795" s="24" t="s">
        <v>3242</v>
      </c>
      <c r="O795" s="24" t="s">
        <v>3243</v>
      </c>
      <c r="P795" s="24" t="s">
        <v>1286</v>
      </c>
      <c r="Q795" s="24" t="s">
        <v>1286</v>
      </c>
      <c r="R795" s="24" t="s">
        <v>3244</v>
      </c>
      <c r="S795" s="24" t="s">
        <v>375</v>
      </c>
      <c r="T795" s="24" t="s">
        <v>3245</v>
      </c>
      <c r="U795" s="29">
        <v>46090</v>
      </c>
      <c r="V795" s="29">
        <v>46090</v>
      </c>
      <c r="X795" s="29">
        <v>46090</v>
      </c>
      <c r="Y795" s="24" t="s">
        <v>784</v>
      </c>
      <c r="Z795" s="24" t="s">
        <v>784</v>
      </c>
      <c r="AA795" s="24" t="s">
        <v>3246</v>
      </c>
      <c r="AJ795" s="29">
        <v>46090</v>
      </c>
      <c r="AL795" s="31">
        <v>46090</v>
      </c>
      <c r="AM795" s="31">
        <v>46090</v>
      </c>
      <c r="AN795" s="24" t="s">
        <v>2761</v>
      </c>
      <c r="AO795" s="29">
        <v>46090</v>
      </c>
      <c r="AP795" s="24" t="s">
        <v>2762</v>
      </c>
      <c r="AQ795" s="29">
        <v>46098</v>
      </c>
      <c r="AS795" s="19">
        <v>235140</v>
      </c>
    </row>
    <row r="796" spans="1:45" ht="15" customHeight="1">
      <c r="A796" s="24" t="s">
        <v>134</v>
      </c>
      <c r="B796" s="24" t="s">
        <v>1417</v>
      </c>
      <c r="C796" s="84" t="str">
        <f>IF(ISBLANK(B796),"",_xlfn.XLOOKUP(B796,Recruiter!A:A,Recruiter!B:B))</f>
        <v>Harish</v>
      </c>
      <c r="D796" s="84" t="str">
        <f>IF(ISBLANK(A796),"",_xlfn.XLOOKUP(A796,'Requirement Overview'!C:C,'Requirement Overview'!E:E))</f>
        <v>Talme</v>
      </c>
      <c r="E796" s="84" t="str">
        <f>IF(ISBLANK(A796),"",_xlfn.XLOOKUP(A796,'Requirement Overview'!C:C,'Requirement Overview'!H:H))</f>
        <v>Non - IT</v>
      </c>
      <c r="F796" s="19" t="str">
        <f>IF(ISBLANK(A796),"",_xlfn.XLOOKUP(A796,'Requirement Overview'!C:C,'Requirement Overview'!I:I))</f>
        <v>Sales officer</v>
      </c>
      <c r="G796" s="58" t="str">
        <f>IF(ISBLANK(A796),"",_xlfn.XLOOKUP(A796,'Requirement Overview'!C:C,'Requirement Overview'!G:G))</f>
        <v>Megha foods pvt ltd</v>
      </c>
      <c r="H796" s="366" t="s">
        <v>3250</v>
      </c>
      <c r="I796" s="46" t="s">
        <v>3241</v>
      </c>
      <c r="J796" s="59"/>
      <c r="K796" s="366">
        <v>9626702896</v>
      </c>
      <c r="L796" s="46"/>
      <c r="M796" s="24" t="s">
        <v>3242</v>
      </c>
      <c r="O796" s="24" t="s">
        <v>3243</v>
      </c>
      <c r="P796" s="24" t="s">
        <v>1286</v>
      </c>
      <c r="Q796" s="24" t="s">
        <v>1286</v>
      </c>
      <c r="R796" s="24" t="s">
        <v>3244</v>
      </c>
      <c r="S796" s="24" t="s">
        <v>375</v>
      </c>
      <c r="T796" s="24" t="s">
        <v>3245</v>
      </c>
      <c r="U796" s="29">
        <v>46090</v>
      </c>
      <c r="V796" s="29">
        <v>46090</v>
      </c>
      <c r="X796" s="29">
        <v>46090</v>
      </c>
      <c r="Y796" s="24" t="s">
        <v>784</v>
      </c>
      <c r="Z796" s="24" t="s">
        <v>784</v>
      </c>
      <c r="AA796" s="24" t="s">
        <v>3246</v>
      </c>
      <c r="AJ796" s="29">
        <v>46090</v>
      </c>
      <c r="AL796" s="31">
        <v>46090</v>
      </c>
      <c r="AM796" s="31">
        <v>46090</v>
      </c>
      <c r="AN796" s="24" t="s">
        <v>2761</v>
      </c>
      <c r="AO796" s="29">
        <v>46090</v>
      </c>
      <c r="AP796" s="24" t="s">
        <v>2762</v>
      </c>
      <c r="AQ796" s="29">
        <v>46098</v>
      </c>
      <c r="AS796" s="19">
        <v>235140</v>
      </c>
    </row>
    <row r="797" spans="1:45" ht="15" customHeight="1">
      <c r="A797" s="24" t="s">
        <v>134</v>
      </c>
      <c r="B797" s="24" t="s">
        <v>1417</v>
      </c>
      <c r="C797" s="84" t="str">
        <f>IF(ISBLANK(B797),"",_xlfn.XLOOKUP(B797,Recruiter!A:A,Recruiter!B:B))</f>
        <v>Harish</v>
      </c>
      <c r="D797" s="84" t="str">
        <f>IF(ISBLANK(A797),"",_xlfn.XLOOKUP(A797,'Requirement Overview'!C:C,'Requirement Overview'!E:E))</f>
        <v>Talme</v>
      </c>
      <c r="E797" s="84" t="str">
        <f>IF(ISBLANK(A797),"",_xlfn.XLOOKUP(A797,'Requirement Overview'!C:C,'Requirement Overview'!H:H))</f>
        <v>Non - IT</v>
      </c>
      <c r="F797" s="19" t="str">
        <f>IF(ISBLANK(A797),"",_xlfn.XLOOKUP(A797,'Requirement Overview'!C:C,'Requirement Overview'!I:I))</f>
        <v>Sales officer</v>
      </c>
      <c r="G797" s="58" t="str">
        <f>IF(ISBLANK(A797),"",_xlfn.XLOOKUP(A797,'Requirement Overview'!C:C,'Requirement Overview'!G:G))</f>
        <v>Megha foods pvt ltd</v>
      </c>
      <c r="H797" s="366" t="s">
        <v>3251</v>
      </c>
      <c r="I797" s="46" t="s">
        <v>3241</v>
      </c>
      <c r="J797" s="59"/>
      <c r="K797" s="366">
        <v>9789163043</v>
      </c>
      <c r="L797" s="46"/>
      <c r="M797" s="24" t="s">
        <v>3242</v>
      </c>
      <c r="O797" s="24" t="s">
        <v>3243</v>
      </c>
      <c r="P797" s="24" t="s">
        <v>1286</v>
      </c>
      <c r="Q797" s="24" t="s">
        <v>1286</v>
      </c>
      <c r="R797" s="24" t="s">
        <v>3244</v>
      </c>
      <c r="S797" s="24" t="s">
        <v>375</v>
      </c>
      <c r="T797" s="24" t="s">
        <v>3245</v>
      </c>
      <c r="U797" s="29">
        <v>46090</v>
      </c>
      <c r="V797" s="29">
        <v>46090</v>
      </c>
      <c r="X797" s="29">
        <v>46090</v>
      </c>
      <c r="Y797" s="24" t="s">
        <v>784</v>
      </c>
      <c r="Z797" s="24" t="s">
        <v>784</v>
      </c>
      <c r="AA797" s="24" t="s">
        <v>3246</v>
      </c>
      <c r="AJ797" s="29">
        <v>46090</v>
      </c>
      <c r="AL797" s="31">
        <v>46090</v>
      </c>
      <c r="AM797" s="31">
        <v>46090</v>
      </c>
      <c r="AN797" s="24" t="s">
        <v>2761</v>
      </c>
      <c r="AO797" s="29">
        <v>46090</v>
      </c>
      <c r="AP797" s="24" t="s">
        <v>2762</v>
      </c>
      <c r="AQ797" s="29">
        <v>46098</v>
      </c>
      <c r="AS797" s="19">
        <v>235140</v>
      </c>
    </row>
    <row r="798" spans="1:45" ht="15" customHeight="1">
      <c r="A798" s="24" t="s">
        <v>134</v>
      </c>
      <c r="B798" s="24" t="s">
        <v>1417</v>
      </c>
      <c r="C798" s="84" t="str">
        <f>IF(ISBLANK(B798),"",_xlfn.XLOOKUP(B798,Recruiter!A:A,Recruiter!B:B))</f>
        <v>Harish</v>
      </c>
      <c r="D798" s="84" t="str">
        <f>IF(ISBLANK(A798),"",_xlfn.XLOOKUP(A798,'Requirement Overview'!C:C,'Requirement Overview'!E:E))</f>
        <v>Talme</v>
      </c>
      <c r="E798" s="84" t="str">
        <f>IF(ISBLANK(A798),"",_xlfn.XLOOKUP(A798,'Requirement Overview'!C:C,'Requirement Overview'!H:H))</f>
        <v>Non - IT</v>
      </c>
      <c r="F798" s="19" t="str">
        <f>IF(ISBLANK(A798),"",_xlfn.XLOOKUP(A798,'Requirement Overview'!C:C,'Requirement Overview'!I:I))</f>
        <v>Sales officer</v>
      </c>
      <c r="G798" s="58" t="str">
        <f>IF(ISBLANK(A798),"",_xlfn.XLOOKUP(A798,'Requirement Overview'!C:C,'Requirement Overview'!G:G))</f>
        <v>Megha foods pvt ltd</v>
      </c>
      <c r="H798" s="366" t="s">
        <v>3252</v>
      </c>
      <c r="I798" s="46" t="s">
        <v>3241</v>
      </c>
      <c r="J798" s="59"/>
      <c r="K798" s="366">
        <v>8778233249</v>
      </c>
      <c r="L798" s="46"/>
      <c r="M798" s="24" t="s">
        <v>3242</v>
      </c>
      <c r="O798" s="24" t="s">
        <v>3243</v>
      </c>
      <c r="P798" s="24" t="s">
        <v>1286</v>
      </c>
      <c r="Q798" s="24" t="s">
        <v>1286</v>
      </c>
      <c r="R798" s="24" t="s">
        <v>3244</v>
      </c>
      <c r="S798" s="24" t="s">
        <v>375</v>
      </c>
      <c r="T798" s="24" t="s">
        <v>3245</v>
      </c>
      <c r="U798" s="29">
        <v>46090</v>
      </c>
      <c r="V798" s="29">
        <v>46090</v>
      </c>
      <c r="X798" s="29">
        <v>46090</v>
      </c>
      <c r="Y798" s="24" t="s">
        <v>784</v>
      </c>
      <c r="Z798" s="24" t="s">
        <v>784</v>
      </c>
      <c r="AA798" s="24" t="s">
        <v>3246</v>
      </c>
      <c r="AJ798" s="29">
        <v>46090</v>
      </c>
      <c r="AL798" s="31">
        <v>46090</v>
      </c>
      <c r="AM798" s="31">
        <v>46090</v>
      </c>
      <c r="AN798" s="24" t="s">
        <v>2761</v>
      </c>
      <c r="AO798" s="29">
        <v>46090</v>
      </c>
      <c r="AP798" s="24" t="s">
        <v>2762</v>
      </c>
      <c r="AQ798" s="29">
        <v>46098</v>
      </c>
      <c r="AS798" s="19">
        <v>235140</v>
      </c>
    </row>
    <row r="799" spans="1:45" ht="15" customHeight="1">
      <c r="A799" s="24" t="s">
        <v>134</v>
      </c>
      <c r="B799" s="24" t="s">
        <v>1417</v>
      </c>
      <c r="C799" s="84" t="str">
        <f>IF(ISBLANK(B799),"",_xlfn.XLOOKUP(B799,Recruiter!A:A,Recruiter!B:B))</f>
        <v>Harish</v>
      </c>
      <c r="D799" s="84" t="str">
        <f>IF(ISBLANK(A799),"",_xlfn.XLOOKUP(A799,'Requirement Overview'!C:C,'Requirement Overview'!E:E))</f>
        <v>Talme</v>
      </c>
      <c r="E799" s="84" t="str">
        <f>IF(ISBLANK(A799),"",_xlfn.XLOOKUP(A799,'Requirement Overview'!C:C,'Requirement Overview'!H:H))</f>
        <v>Non - IT</v>
      </c>
      <c r="F799" s="19" t="str">
        <f>IF(ISBLANK(A799),"",_xlfn.XLOOKUP(A799,'Requirement Overview'!C:C,'Requirement Overview'!I:I))</f>
        <v>Sales officer</v>
      </c>
      <c r="G799" s="58" t="str">
        <f>IF(ISBLANK(A799),"",_xlfn.XLOOKUP(A799,'Requirement Overview'!C:C,'Requirement Overview'!G:G))</f>
        <v>Megha foods pvt ltd</v>
      </c>
      <c r="H799" s="366" t="s">
        <v>3253</v>
      </c>
      <c r="I799" s="46" t="s">
        <v>3241</v>
      </c>
      <c r="J799" s="59"/>
      <c r="K799" s="366">
        <v>9790204249</v>
      </c>
      <c r="L799" s="46"/>
      <c r="M799" s="24" t="s">
        <v>3242</v>
      </c>
      <c r="O799" s="24" t="s">
        <v>3243</v>
      </c>
      <c r="P799" s="24" t="s">
        <v>1286</v>
      </c>
      <c r="Q799" s="24" t="s">
        <v>1286</v>
      </c>
      <c r="R799" s="24" t="s">
        <v>3244</v>
      </c>
      <c r="S799" s="24" t="s">
        <v>375</v>
      </c>
      <c r="T799" s="24" t="s">
        <v>3245</v>
      </c>
      <c r="U799" s="29">
        <v>46090</v>
      </c>
      <c r="V799" s="29">
        <v>46090</v>
      </c>
      <c r="X799" s="29">
        <v>46090</v>
      </c>
      <c r="Y799" s="24" t="s">
        <v>784</v>
      </c>
      <c r="Z799" s="24" t="s">
        <v>784</v>
      </c>
      <c r="AA799" s="24" t="s">
        <v>3246</v>
      </c>
      <c r="AJ799" s="29">
        <v>46090</v>
      </c>
      <c r="AL799" s="31">
        <v>46090</v>
      </c>
      <c r="AM799" s="31">
        <v>46090</v>
      </c>
      <c r="AN799" s="24" t="s">
        <v>2761</v>
      </c>
      <c r="AO799" s="29">
        <v>46090</v>
      </c>
      <c r="AP799" s="24" t="s">
        <v>2762</v>
      </c>
      <c r="AQ799" s="29">
        <v>46098</v>
      </c>
      <c r="AS799" s="19">
        <v>235140</v>
      </c>
    </row>
    <row r="800" spans="1:45" ht="15" customHeight="1">
      <c r="A800" s="24" t="s">
        <v>134</v>
      </c>
      <c r="B800" s="24" t="s">
        <v>1417</v>
      </c>
      <c r="C800" s="84" t="str">
        <f>IF(ISBLANK(B800),"",_xlfn.XLOOKUP(B800,Recruiter!A:A,Recruiter!B:B))</f>
        <v>Harish</v>
      </c>
      <c r="D800" s="84" t="str">
        <f>IF(ISBLANK(A800),"",_xlfn.XLOOKUP(A800,'Requirement Overview'!C:C,'Requirement Overview'!E:E))</f>
        <v>Talme</v>
      </c>
      <c r="E800" s="84" t="str">
        <f>IF(ISBLANK(A800),"",_xlfn.XLOOKUP(A800,'Requirement Overview'!C:C,'Requirement Overview'!H:H))</f>
        <v>Non - IT</v>
      </c>
      <c r="F800" s="19" t="str">
        <f>IF(ISBLANK(A800),"",_xlfn.XLOOKUP(A800,'Requirement Overview'!C:C,'Requirement Overview'!I:I))</f>
        <v>Sales officer</v>
      </c>
      <c r="G800" s="58" t="str">
        <f>IF(ISBLANK(A800),"",_xlfn.XLOOKUP(A800,'Requirement Overview'!C:C,'Requirement Overview'!G:G))</f>
        <v>Megha foods pvt ltd</v>
      </c>
      <c r="H800" s="366" t="s">
        <v>3254</v>
      </c>
      <c r="I800" s="46" t="s">
        <v>3241</v>
      </c>
      <c r="J800" s="59"/>
      <c r="K800" s="366">
        <v>9626302836</v>
      </c>
      <c r="L800" s="46"/>
      <c r="M800" s="24" t="s">
        <v>3242</v>
      </c>
      <c r="O800" s="24" t="s">
        <v>3243</v>
      </c>
      <c r="P800" s="24" t="s">
        <v>1286</v>
      </c>
      <c r="Q800" s="24" t="s">
        <v>1286</v>
      </c>
      <c r="R800" s="24" t="s">
        <v>3244</v>
      </c>
      <c r="S800" s="24" t="s">
        <v>375</v>
      </c>
      <c r="T800" s="24" t="s">
        <v>3245</v>
      </c>
      <c r="U800" s="29">
        <v>46090</v>
      </c>
      <c r="V800" s="29">
        <v>46090</v>
      </c>
      <c r="X800" s="29">
        <v>46090</v>
      </c>
      <c r="Y800" s="24" t="s">
        <v>784</v>
      </c>
      <c r="Z800" s="24" t="s">
        <v>784</v>
      </c>
      <c r="AA800" s="24" t="s">
        <v>3246</v>
      </c>
      <c r="AJ800" s="29">
        <v>46090</v>
      </c>
      <c r="AL800" s="31">
        <v>46090</v>
      </c>
      <c r="AM800" s="31">
        <v>46090</v>
      </c>
      <c r="AN800" s="24" t="s">
        <v>2761</v>
      </c>
      <c r="AO800" s="29">
        <v>46090</v>
      </c>
      <c r="AP800" s="24" t="s">
        <v>2762</v>
      </c>
      <c r="AQ800" s="29">
        <v>46098</v>
      </c>
      <c r="AS800" s="19">
        <v>235140</v>
      </c>
    </row>
    <row r="801" spans="1:45" ht="15" customHeight="1">
      <c r="A801" s="24" t="s">
        <v>134</v>
      </c>
      <c r="B801" s="24" t="s">
        <v>1417</v>
      </c>
      <c r="C801" s="84" t="str">
        <f>IF(ISBLANK(B801),"",_xlfn.XLOOKUP(B801,Recruiter!A:A,Recruiter!B:B))</f>
        <v>Harish</v>
      </c>
      <c r="D801" s="84" t="str">
        <f>IF(ISBLANK(A801),"",_xlfn.XLOOKUP(A801,'Requirement Overview'!C:C,'Requirement Overview'!E:E))</f>
        <v>Talme</v>
      </c>
      <c r="E801" s="84" t="str">
        <f>IF(ISBLANK(A801),"",_xlfn.XLOOKUP(A801,'Requirement Overview'!C:C,'Requirement Overview'!H:H))</f>
        <v>Non - IT</v>
      </c>
      <c r="F801" s="19" t="str">
        <f>IF(ISBLANK(A801),"",_xlfn.XLOOKUP(A801,'Requirement Overview'!C:C,'Requirement Overview'!I:I))</f>
        <v>Sales officer</v>
      </c>
      <c r="G801" s="58" t="str">
        <f>IF(ISBLANK(A801),"",_xlfn.XLOOKUP(A801,'Requirement Overview'!C:C,'Requirement Overview'!G:G))</f>
        <v>Megha foods pvt ltd</v>
      </c>
      <c r="H801" s="366" t="s">
        <v>3255</v>
      </c>
      <c r="I801" s="46" t="s">
        <v>3241</v>
      </c>
      <c r="J801" s="59"/>
      <c r="K801" s="366">
        <v>6380355241</v>
      </c>
      <c r="L801" s="46"/>
      <c r="M801" s="24" t="s">
        <v>3242</v>
      </c>
      <c r="O801" s="24" t="s">
        <v>3243</v>
      </c>
      <c r="P801" s="24" t="s">
        <v>1286</v>
      </c>
      <c r="Q801" s="24" t="s">
        <v>1286</v>
      </c>
      <c r="R801" s="24" t="s">
        <v>3244</v>
      </c>
      <c r="S801" s="24" t="s">
        <v>375</v>
      </c>
      <c r="T801" s="24" t="s">
        <v>3245</v>
      </c>
      <c r="U801" s="29">
        <v>46090</v>
      </c>
      <c r="V801" s="29">
        <v>46090</v>
      </c>
      <c r="X801" s="29">
        <v>46090</v>
      </c>
      <c r="Y801" s="24" t="s">
        <v>784</v>
      </c>
      <c r="Z801" s="24" t="s">
        <v>784</v>
      </c>
      <c r="AA801" s="24" t="s">
        <v>3246</v>
      </c>
      <c r="AJ801" s="29">
        <v>46090</v>
      </c>
      <c r="AL801" s="31">
        <v>46090</v>
      </c>
      <c r="AM801" s="31">
        <v>46090</v>
      </c>
      <c r="AN801" s="24" t="s">
        <v>2761</v>
      </c>
      <c r="AO801" s="29">
        <v>46090</v>
      </c>
      <c r="AP801" s="24" t="s">
        <v>2762</v>
      </c>
      <c r="AQ801" s="29">
        <v>46098</v>
      </c>
      <c r="AS801" s="19">
        <v>235140</v>
      </c>
    </row>
    <row r="802" spans="1:45" ht="15" customHeight="1">
      <c r="A802" s="24" t="s">
        <v>134</v>
      </c>
      <c r="B802" s="24" t="s">
        <v>1417</v>
      </c>
      <c r="C802" s="84" t="str">
        <f>IF(ISBLANK(B802),"",_xlfn.XLOOKUP(B802,Recruiter!A:A,Recruiter!B:B))</f>
        <v>Harish</v>
      </c>
      <c r="D802" s="84" t="str">
        <f>IF(ISBLANK(A802),"",_xlfn.XLOOKUP(A802,'Requirement Overview'!C:C,'Requirement Overview'!E:E))</f>
        <v>Talme</v>
      </c>
      <c r="E802" s="84" t="str">
        <f>IF(ISBLANK(A802),"",_xlfn.XLOOKUP(A802,'Requirement Overview'!C:C,'Requirement Overview'!H:H))</f>
        <v>Non - IT</v>
      </c>
      <c r="F802" s="19" t="str">
        <f>IF(ISBLANK(A802),"",_xlfn.XLOOKUP(A802,'Requirement Overview'!C:C,'Requirement Overview'!I:I))</f>
        <v>Sales officer</v>
      </c>
      <c r="G802" s="58" t="str">
        <f>IF(ISBLANK(A802),"",_xlfn.XLOOKUP(A802,'Requirement Overview'!C:C,'Requirement Overview'!G:G))</f>
        <v>Megha foods pvt ltd</v>
      </c>
      <c r="H802" s="366" t="s">
        <v>3256</v>
      </c>
      <c r="I802" s="46" t="s">
        <v>3241</v>
      </c>
      <c r="J802" s="59"/>
      <c r="K802" s="366">
        <v>8526707441</v>
      </c>
      <c r="L802" s="46"/>
      <c r="M802" s="24" t="s">
        <v>3242</v>
      </c>
      <c r="O802" s="24" t="s">
        <v>3243</v>
      </c>
      <c r="P802" s="24" t="s">
        <v>1286</v>
      </c>
      <c r="Q802" s="24" t="s">
        <v>1286</v>
      </c>
      <c r="R802" s="24" t="s">
        <v>3244</v>
      </c>
      <c r="S802" s="24" t="s">
        <v>375</v>
      </c>
      <c r="T802" s="24" t="s">
        <v>3245</v>
      </c>
      <c r="U802" s="29">
        <v>46090</v>
      </c>
      <c r="V802" s="29">
        <v>46090</v>
      </c>
      <c r="X802" s="29">
        <v>46090</v>
      </c>
      <c r="Y802" s="24" t="s">
        <v>784</v>
      </c>
      <c r="Z802" s="24" t="s">
        <v>784</v>
      </c>
      <c r="AA802" s="24" t="s">
        <v>3246</v>
      </c>
      <c r="AJ802" s="29">
        <v>46090</v>
      </c>
      <c r="AL802" s="31">
        <v>46090</v>
      </c>
      <c r="AM802" s="31">
        <v>46090</v>
      </c>
      <c r="AN802" s="24" t="s">
        <v>2761</v>
      </c>
      <c r="AO802" s="29">
        <v>46090</v>
      </c>
      <c r="AP802" s="24" t="s">
        <v>2762</v>
      </c>
      <c r="AQ802" s="29">
        <v>46098</v>
      </c>
      <c r="AS802" s="19">
        <v>235140</v>
      </c>
    </row>
    <row r="803" spans="1:45" ht="15" customHeight="1">
      <c r="A803" s="24" t="s">
        <v>134</v>
      </c>
      <c r="B803" s="24" t="s">
        <v>1417</v>
      </c>
      <c r="C803" s="84" t="str">
        <f>IF(ISBLANK(B803),"",_xlfn.XLOOKUP(B803,Recruiter!A:A,Recruiter!B:B))</f>
        <v>Harish</v>
      </c>
      <c r="D803" s="84" t="str">
        <f>IF(ISBLANK(A803),"",_xlfn.XLOOKUP(A803,'Requirement Overview'!C:C,'Requirement Overview'!E:E))</f>
        <v>Talme</v>
      </c>
      <c r="E803" s="84" t="str">
        <f>IF(ISBLANK(A803),"",_xlfn.XLOOKUP(A803,'Requirement Overview'!C:C,'Requirement Overview'!H:H))</f>
        <v>Non - IT</v>
      </c>
      <c r="F803" s="19" t="str">
        <f>IF(ISBLANK(A803),"",_xlfn.XLOOKUP(A803,'Requirement Overview'!C:C,'Requirement Overview'!I:I))</f>
        <v>Sales officer</v>
      </c>
      <c r="G803" s="58" t="str">
        <f>IF(ISBLANK(A803),"",_xlfn.XLOOKUP(A803,'Requirement Overview'!C:C,'Requirement Overview'!G:G))</f>
        <v>Megha foods pvt ltd</v>
      </c>
      <c r="H803" s="366" t="s">
        <v>3257</v>
      </c>
      <c r="I803" s="46" t="s">
        <v>3241</v>
      </c>
      <c r="J803" s="59"/>
      <c r="K803" s="366">
        <v>7825019029</v>
      </c>
      <c r="L803" s="46"/>
      <c r="M803" s="24" t="s">
        <v>3242</v>
      </c>
      <c r="O803" s="24" t="s">
        <v>3243</v>
      </c>
      <c r="P803" s="24" t="s">
        <v>1286</v>
      </c>
      <c r="Q803" s="24" t="s">
        <v>1286</v>
      </c>
      <c r="R803" s="24" t="s">
        <v>3244</v>
      </c>
      <c r="S803" s="24" t="s">
        <v>375</v>
      </c>
      <c r="T803" s="24" t="s">
        <v>3245</v>
      </c>
      <c r="U803" s="29">
        <v>46090</v>
      </c>
      <c r="V803" s="29">
        <v>46090</v>
      </c>
      <c r="X803" s="29">
        <v>46090</v>
      </c>
      <c r="Y803" s="24" t="s">
        <v>784</v>
      </c>
      <c r="Z803" s="24" t="s">
        <v>784</v>
      </c>
      <c r="AA803" s="24" t="s">
        <v>3246</v>
      </c>
      <c r="AJ803" s="29">
        <v>46090</v>
      </c>
      <c r="AL803" s="31">
        <v>46090</v>
      </c>
      <c r="AM803" s="31">
        <v>46090</v>
      </c>
      <c r="AN803" s="24" t="s">
        <v>2761</v>
      </c>
      <c r="AO803" s="29">
        <v>46090</v>
      </c>
      <c r="AP803" s="24" t="s">
        <v>2762</v>
      </c>
      <c r="AQ803" s="29">
        <v>46098</v>
      </c>
      <c r="AS803" s="19">
        <v>235140</v>
      </c>
    </row>
    <row r="804" spans="1:45" ht="15" customHeight="1">
      <c r="A804" s="24" t="s">
        <v>134</v>
      </c>
      <c r="B804" s="24" t="s">
        <v>1417</v>
      </c>
      <c r="C804" s="84" t="str">
        <f>IF(ISBLANK(B804),"",_xlfn.XLOOKUP(B804,Recruiter!A:A,Recruiter!B:B))</f>
        <v>Harish</v>
      </c>
      <c r="D804" s="84" t="str">
        <f>IF(ISBLANK(A804),"",_xlfn.XLOOKUP(A804,'Requirement Overview'!C:C,'Requirement Overview'!E:E))</f>
        <v>Talme</v>
      </c>
      <c r="E804" s="84" t="str">
        <f>IF(ISBLANK(A804),"",_xlfn.XLOOKUP(A804,'Requirement Overview'!C:C,'Requirement Overview'!H:H))</f>
        <v>Non - IT</v>
      </c>
      <c r="F804" s="19" t="str">
        <f>IF(ISBLANK(A804),"",_xlfn.XLOOKUP(A804,'Requirement Overview'!C:C,'Requirement Overview'!I:I))</f>
        <v>Sales officer</v>
      </c>
      <c r="G804" s="58" t="str">
        <f>IF(ISBLANK(A804),"",_xlfn.XLOOKUP(A804,'Requirement Overview'!C:C,'Requirement Overview'!G:G))</f>
        <v>Megha foods pvt ltd</v>
      </c>
      <c r="H804" s="366" t="s">
        <v>3258</v>
      </c>
      <c r="I804" s="46" t="s">
        <v>3241</v>
      </c>
      <c r="J804" s="59"/>
      <c r="K804" s="366">
        <v>8189968352</v>
      </c>
      <c r="L804" s="46"/>
      <c r="M804" s="24" t="s">
        <v>3242</v>
      </c>
      <c r="O804" s="24" t="s">
        <v>3243</v>
      </c>
      <c r="P804" s="24" t="s">
        <v>1286</v>
      </c>
      <c r="Q804" s="24" t="s">
        <v>1286</v>
      </c>
      <c r="R804" s="24" t="s">
        <v>3244</v>
      </c>
      <c r="S804" s="24" t="s">
        <v>375</v>
      </c>
      <c r="T804" s="24" t="s">
        <v>3245</v>
      </c>
      <c r="U804" s="29">
        <v>46090</v>
      </c>
      <c r="V804" s="29">
        <v>46090</v>
      </c>
      <c r="X804" s="29">
        <v>46090</v>
      </c>
      <c r="Y804" s="24" t="s">
        <v>784</v>
      </c>
      <c r="Z804" s="24" t="s">
        <v>784</v>
      </c>
      <c r="AA804" s="24" t="s">
        <v>3246</v>
      </c>
      <c r="AJ804" s="29">
        <v>46090</v>
      </c>
      <c r="AL804" s="31">
        <v>46090</v>
      </c>
      <c r="AM804" s="31">
        <v>46090</v>
      </c>
      <c r="AN804" s="24" t="s">
        <v>2761</v>
      </c>
      <c r="AO804" s="29">
        <v>46090</v>
      </c>
      <c r="AP804" s="24" t="s">
        <v>2762</v>
      </c>
      <c r="AQ804" s="29">
        <v>46098</v>
      </c>
      <c r="AS804" s="19">
        <v>235140</v>
      </c>
    </row>
    <row r="805" spans="1:45" ht="15" customHeight="1">
      <c r="A805" s="24" t="s">
        <v>134</v>
      </c>
      <c r="B805" s="24" t="s">
        <v>1417</v>
      </c>
      <c r="C805" s="84" t="str">
        <f>IF(ISBLANK(B805),"",_xlfn.XLOOKUP(B805,Recruiter!A:A,Recruiter!B:B))</f>
        <v>Harish</v>
      </c>
      <c r="D805" s="84" t="str">
        <f>IF(ISBLANK(A805),"",_xlfn.XLOOKUP(A805,'Requirement Overview'!C:C,'Requirement Overview'!E:E))</f>
        <v>Talme</v>
      </c>
      <c r="E805" s="84" t="str">
        <f>IF(ISBLANK(A805),"",_xlfn.XLOOKUP(A805,'Requirement Overview'!C:C,'Requirement Overview'!H:H))</f>
        <v>Non - IT</v>
      </c>
      <c r="F805" s="19" t="str">
        <f>IF(ISBLANK(A805),"",_xlfn.XLOOKUP(A805,'Requirement Overview'!C:C,'Requirement Overview'!I:I))</f>
        <v>Sales officer</v>
      </c>
      <c r="G805" s="58" t="str">
        <f>IF(ISBLANK(A805),"",_xlfn.XLOOKUP(A805,'Requirement Overview'!C:C,'Requirement Overview'!G:G))</f>
        <v>Megha foods pvt ltd</v>
      </c>
      <c r="I805" s="46" t="s">
        <v>3241</v>
      </c>
      <c r="J805" s="59"/>
      <c r="L805" s="46"/>
      <c r="M805" s="24" t="s">
        <v>3242</v>
      </c>
      <c r="O805" s="24" t="s">
        <v>3243</v>
      </c>
      <c r="P805" s="24" t="s">
        <v>1286</v>
      </c>
      <c r="Q805" s="24" t="s">
        <v>1286</v>
      </c>
      <c r="R805" s="24" t="s">
        <v>3244</v>
      </c>
      <c r="S805" s="24" t="s">
        <v>375</v>
      </c>
      <c r="T805" s="24" t="s">
        <v>3245</v>
      </c>
      <c r="U805" s="29">
        <v>46090</v>
      </c>
      <c r="X805" s="29">
        <v>46090</v>
      </c>
      <c r="Y805" s="24" t="s">
        <v>784</v>
      </c>
      <c r="Z805" s="24" t="s">
        <v>784</v>
      </c>
      <c r="AA805" s="24" t="s">
        <v>3246</v>
      </c>
      <c r="AJ805" s="29">
        <v>46090</v>
      </c>
      <c r="AL805" s="31">
        <v>46090</v>
      </c>
      <c r="AM805" s="31">
        <v>46090</v>
      </c>
      <c r="AN805" s="24" t="s">
        <v>2761</v>
      </c>
      <c r="AO805" s="29">
        <v>46090</v>
      </c>
      <c r="AP805" s="24" t="s">
        <v>2762</v>
      </c>
      <c r="AQ805" s="29">
        <v>46098</v>
      </c>
      <c r="AS805" s="19">
        <v>235140</v>
      </c>
    </row>
    <row r="806" spans="1:45" ht="15" customHeight="1">
      <c r="A806" s="24" t="s">
        <v>137</v>
      </c>
      <c r="B806" s="24" t="s">
        <v>340</v>
      </c>
      <c r="C806" s="84" t="str">
        <f>IF(ISBLANK(B806),"",_xlfn.XLOOKUP(B806,Recruiter!A:A,Recruiter!B:B))</f>
        <v>Harshitha</v>
      </c>
      <c r="D806" s="84" t="str">
        <f>IF(ISBLANK(A806),"",_xlfn.XLOOKUP(A806,'Requirement Overview'!C:C,'Requirement Overview'!E:E))</f>
        <v>Talme</v>
      </c>
      <c r="E806" s="84" t="str">
        <f>IF(ISBLANK(A806),"",_xlfn.XLOOKUP(A806,'Requirement Overview'!C:C,'Requirement Overview'!H:H))</f>
        <v>IT</v>
      </c>
      <c r="F806" s="19" t="str">
        <f>IF(ISBLANK(A806),"",_xlfn.XLOOKUP(A806,'Requirement Overview'!C:C,'Requirement Overview'!I:I))</f>
        <v>HW Designer - Pune</v>
      </c>
      <c r="G806" s="58" t="str">
        <f>IF(ISBLANK(A806),"",_xlfn.XLOOKUP(A806,'Requirement Overview'!C:C,'Requirement Overview'!G:G))</f>
        <v>L&amp;T</v>
      </c>
      <c r="H806" s="444" t="s">
        <v>3259</v>
      </c>
      <c r="I806" s="46" t="s">
        <v>1198</v>
      </c>
      <c r="J806" s="396" t="s">
        <v>3260</v>
      </c>
      <c r="K806" s="397" t="s">
        <v>3261</v>
      </c>
      <c r="L806" s="46" t="s">
        <v>305</v>
      </c>
      <c r="M806" s="24" t="s">
        <v>390</v>
      </c>
      <c r="O806" s="24" t="s">
        <v>1844</v>
      </c>
      <c r="P806" s="24" t="s">
        <v>569</v>
      </c>
      <c r="Q806" s="24" t="s">
        <v>569</v>
      </c>
      <c r="R806" s="24" t="s">
        <v>1653</v>
      </c>
      <c r="S806" s="24" t="s">
        <v>270</v>
      </c>
      <c r="T806" s="24" t="s">
        <v>103</v>
      </c>
      <c r="U806" s="29">
        <v>46083</v>
      </c>
      <c r="V806" s="29">
        <v>46083</v>
      </c>
    </row>
    <row r="807" spans="1:45" ht="15" customHeight="1">
      <c r="A807" s="24" t="s">
        <v>137</v>
      </c>
      <c r="B807" s="24" t="s">
        <v>340</v>
      </c>
      <c r="C807" s="84" t="str">
        <f>IF(ISBLANK(B807),"",_xlfn.XLOOKUP(B807,Recruiter!A:A,Recruiter!B:B))</f>
        <v>Harshitha</v>
      </c>
      <c r="D807" s="84" t="str">
        <f>IF(ISBLANK(A807),"",_xlfn.XLOOKUP(A807,'Requirement Overview'!C:C,'Requirement Overview'!E:E))</f>
        <v>Talme</v>
      </c>
      <c r="E807" s="84" t="str">
        <f>IF(ISBLANK(A807),"",_xlfn.XLOOKUP(A807,'Requirement Overview'!C:C,'Requirement Overview'!H:H))</f>
        <v>IT</v>
      </c>
      <c r="F807" s="19" t="str">
        <f>IF(ISBLANK(A807),"",_xlfn.XLOOKUP(A807,'Requirement Overview'!C:C,'Requirement Overview'!I:I))</f>
        <v>HW Designer - Pune</v>
      </c>
      <c r="G807" s="58" t="str">
        <f>IF(ISBLANK(A807),"",_xlfn.XLOOKUP(A807,'Requirement Overview'!C:C,'Requirement Overview'!G:G))</f>
        <v>L&amp;T</v>
      </c>
      <c r="H807" s="444" t="s">
        <v>3262</v>
      </c>
      <c r="I807" s="46" t="s">
        <v>3263</v>
      </c>
      <c r="J807" s="396" t="s">
        <v>3264</v>
      </c>
      <c r="K807" s="397">
        <v>8368970096</v>
      </c>
      <c r="L807" s="46" t="s">
        <v>305</v>
      </c>
      <c r="M807" s="24" t="s">
        <v>685</v>
      </c>
      <c r="O807" s="24" t="s">
        <v>560</v>
      </c>
      <c r="P807" s="24" t="s">
        <v>569</v>
      </c>
      <c r="Q807" s="24" t="s">
        <v>569</v>
      </c>
      <c r="R807" s="24" t="s">
        <v>548</v>
      </c>
      <c r="S807" s="24" t="s">
        <v>270</v>
      </c>
      <c r="T807" s="24" t="s">
        <v>103</v>
      </c>
      <c r="U807" s="29">
        <v>46083</v>
      </c>
      <c r="V807" s="29">
        <v>46083</v>
      </c>
    </row>
    <row r="808" spans="1:45" ht="15" customHeight="1">
      <c r="A808" s="24" t="s">
        <v>35</v>
      </c>
      <c r="B808" s="24" t="s">
        <v>340</v>
      </c>
      <c r="C808" s="84" t="str">
        <f>IF(ISBLANK(B808),"",_xlfn.XLOOKUP(B808,Recruiter!A:A,Recruiter!B:B))</f>
        <v>Harshitha</v>
      </c>
      <c r="D808" s="84" t="str">
        <f>IF(ISBLANK(A808),"",_xlfn.XLOOKUP(A808,'Requirement Overview'!C:C,'Requirement Overview'!E:E))</f>
        <v>Talme</v>
      </c>
      <c r="E808" s="84" t="str">
        <f>IF(ISBLANK(A808),"",_xlfn.XLOOKUP(A808,'Requirement Overview'!C:C,'Requirement Overview'!H:H))</f>
        <v>IT</v>
      </c>
      <c r="F808" s="19" t="str">
        <f>IF(ISBLANK(A808),"",_xlfn.XLOOKUP(A808,'Requirement Overview'!C:C,'Requirement Overview'!I:I))</f>
        <v>Windows system adminstrator</v>
      </c>
      <c r="G808" s="58" t="str">
        <f>IF(ISBLANK(A808),"",_xlfn.XLOOKUP(A808,'Requirement Overview'!C:C,'Requirement Overview'!G:G))</f>
        <v>EMIDS</v>
      </c>
      <c r="H808" s="444" t="s">
        <v>1979</v>
      </c>
      <c r="I808" s="46" t="s">
        <v>519</v>
      </c>
      <c r="J808" s="396" t="s">
        <v>1980</v>
      </c>
      <c r="K808" s="397">
        <v>7669251821</v>
      </c>
      <c r="L808" s="46"/>
      <c r="M808" s="24" t="s">
        <v>279</v>
      </c>
      <c r="O808" s="24" t="s">
        <v>429</v>
      </c>
      <c r="P808" s="24" t="s">
        <v>806</v>
      </c>
      <c r="Q808" s="24" t="s">
        <v>806</v>
      </c>
      <c r="R808" s="24" t="s">
        <v>368</v>
      </c>
      <c r="S808" s="24" t="s">
        <v>542</v>
      </c>
      <c r="T808" s="24" t="s">
        <v>103</v>
      </c>
      <c r="U808" s="29">
        <v>46085</v>
      </c>
      <c r="V808" s="29"/>
    </row>
    <row r="809" spans="1:45" ht="15" customHeight="1">
      <c r="A809" s="24" t="s">
        <v>143</v>
      </c>
      <c r="B809" s="24" t="s">
        <v>340</v>
      </c>
      <c r="C809" s="84" t="str">
        <f>IF(ISBLANK(B809),"",_xlfn.XLOOKUP(B809,Recruiter!A:A,Recruiter!B:B))</f>
        <v>Harshitha</v>
      </c>
      <c r="D809" s="84" t="str">
        <f>IF(ISBLANK(A809),"",_xlfn.XLOOKUP(A809,'Requirement Overview'!C:C,'Requirement Overview'!E:E))</f>
        <v>Talme</v>
      </c>
      <c r="E809" s="84" t="str">
        <f>IF(ISBLANK(A809),"",_xlfn.XLOOKUP(A809,'Requirement Overview'!C:C,'Requirement Overview'!H:H))</f>
        <v>Non - IT</v>
      </c>
      <c r="F809" s="19" t="str">
        <f>IF(ISBLANK(A809),"",_xlfn.XLOOKUP(A809,'Requirement Overview'!C:C,'Requirement Overview'!I:I))</f>
        <v>Manufacturing ITI</v>
      </c>
      <c r="G809" s="58" t="str">
        <f>IF(ISBLANK(A809),"",_xlfn.XLOOKUP(A809,'Requirement Overview'!C:C,'Requirement Overview'!G:G))</f>
        <v>Micron</v>
      </c>
      <c r="H809" s="367" t="s">
        <v>3265</v>
      </c>
      <c r="I809" s="46" t="s">
        <v>519</v>
      </c>
      <c r="J809" s="59"/>
      <c r="K809" s="369">
        <v>7043283725</v>
      </c>
      <c r="L809" s="3" t="s">
        <v>3266</v>
      </c>
      <c r="M809" s="3" t="s">
        <v>3267</v>
      </c>
      <c r="O809" s="370">
        <v>22000</v>
      </c>
      <c r="P809" s="24" t="s">
        <v>3268</v>
      </c>
      <c r="Q809" s="24" t="s">
        <v>3268</v>
      </c>
      <c r="R809" s="370">
        <v>30000</v>
      </c>
      <c r="S809" s="24" t="s">
        <v>270</v>
      </c>
      <c r="T809" s="24" t="s">
        <v>271</v>
      </c>
      <c r="U809" s="29">
        <v>46086</v>
      </c>
      <c r="V809" s="29">
        <v>46086</v>
      </c>
    </row>
    <row r="810" spans="1:45" ht="15" customHeight="1">
      <c r="A810" s="24" t="s">
        <v>143</v>
      </c>
      <c r="B810" s="24" t="s">
        <v>340</v>
      </c>
      <c r="C810" s="84" t="str">
        <f>IF(ISBLANK(B810),"",_xlfn.XLOOKUP(B810,Recruiter!A:A,Recruiter!B:B))</f>
        <v>Harshitha</v>
      </c>
      <c r="D810" s="84" t="str">
        <f>IF(ISBLANK(A810),"",_xlfn.XLOOKUP(A810,'Requirement Overview'!C:C,'Requirement Overview'!E:E))</f>
        <v>Talme</v>
      </c>
      <c r="E810" s="84" t="str">
        <f>IF(ISBLANK(A810),"",_xlfn.XLOOKUP(A810,'Requirement Overview'!C:C,'Requirement Overview'!H:H))</f>
        <v>Non - IT</v>
      </c>
      <c r="F810" s="19" t="str">
        <f>IF(ISBLANK(A810),"",_xlfn.XLOOKUP(A810,'Requirement Overview'!C:C,'Requirement Overview'!I:I))</f>
        <v>Manufacturing ITI</v>
      </c>
      <c r="G810" s="58" t="str">
        <f>IF(ISBLANK(A810),"",_xlfn.XLOOKUP(A810,'Requirement Overview'!C:C,'Requirement Overview'!G:G))</f>
        <v>Micron</v>
      </c>
      <c r="H810" s="368" t="s">
        <v>3269</v>
      </c>
      <c r="I810" s="46" t="s">
        <v>3270</v>
      </c>
      <c r="J810" s="59"/>
      <c r="K810" s="369">
        <v>7600760402</v>
      </c>
      <c r="L810" s="3" t="s">
        <v>3266</v>
      </c>
      <c r="M810" s="3" t="s">
        <v>1284</v>
      </c>
      <c r="O810" s="24">
        <v>18000</v>
      </c>
      <c r="P810" s="24" t="s">
        <v>2487</v>
      </c>
      <c r="Q810" s="24" t="s">
        <v>3268</v>
      </c>
      <c r="R810" s="24">
        <v>25000</v>
      </c>
      <c r="S810" s="24" t="s">
        <v>270</v>
      </c>
      <c r="T810" s="24" t="s">
        <v>271</v>
      </c>
      <c r="U810" s="29">
        <v>46086</v>
      </c>
      <c r="V810" s="29">
        <v>46086</v>
      </c>
    </row>
    <row r="811" spans="1:45" ht="15" customHeight="1">
      <c r="A811" s="24" t="s">
        <v>140</v>
      </c>
      <c r="B811" s="24" t="s">
        <v>340</v>
      </c>
      <c r="C811" s="84" t="str">
        <f>IF(ISBLANK(B811),"",_xlfn.XLOOKUP(B811,Recruiter!A:A,Recruiter!B:B))</f>
        <v>Harshitha</v>
      </c>
      <c r="D811" s="84" t="str">
        <f>IF(ISBLANK(A811),"",_xlfn.XLOOKUP(A811,'Requirement Overview'!C:C,'Requirement Overview'!E:E))</f>
        <v>Talme</v>
      </c>
      <c r="E811" s="84" t="str">
        <f>IF(ISBLANK(A811),"",_xlfn.XLOOKUP(A811,'Requirement Overview'!C:C,'Requirement Overview'!H:H))</f>
        <v>Non - IT</v>
      </c>
      <c r="F811" s="19" t="str">
        <f>IF(ISBLANK(A811),"",_xlfn.XLOOKUP(A811,'Requirement Overview'!C:C,'Requirement Overview'!I:I))</f>
        <v>Production Operator</v>
      </c>
      <c r="G811" s="58" t="str">
        <f>IF(ISBLANK(A811),"",_xlfn.XLOOKUP(A811,'Requirement Overview'!C:C,'Requirement Overview'!G:G))</f>
        <v>Micron</v>
      </c>
      <c r="H811" s="259" t="s">
        <v>3271</v>
      </c>
      <c r="I811" s="294" t="s">
        <v>3270</v>
      </c>
      <c r="J811" s="59"/>
      <c r="K811">
        <v>9893619383</v>
      </c>
      <c r="L811" s="294" t="s">
        <v>733</v>
      </c>
      <c r="M811" s="294" t="s">
        <v>566</v>
      </c>
      <c r="O811" s="24" t="s">
        <v>3272</v>
      </c>
      <c r="P811" s="294" t="s">
        <v>1702</v>
      </c>
      <c r="Q811" s="24" t="s">
        <v>3268</v>
      </c>
      <c r="R811" s="24" t="s">
        <v>327</v>
      </c>
      <c r="S811" s="24" t="s">
        <v>375</v>
      </c>
      <c r="T811" s="24" t="s">
        <v>103</v>
      </c>
      <c r="U811" s="29">
        <v>46087</v>
      </c>
      <c r="V811" s="29">
        <v>46087</v>
      </c>
    </row>
    <row r="812" spans="1:45" ht="15" customHeight="1">
      <c r="A812" s="24" t="s">
        <v>143</v>
      </c>
      <c r="B812" s="24" t="s">
        <v>340</v>
      </c>
      <c r="C812" s="84" t="str">
        <f>IF(ISBLANK(B812),"",_xlfn.XLOOKUP(B812,Recruiter!A:A,Recruiter!B:B))</f>
        <v>Harshitha</v>
      </c>
      <c r="D812" s="84" t="str">
        <f>IF(ISBLANK(A812),"",_xlfn.XLOOKUP(A812,'Requirement Overview'!C:C,'Requirement Overview'!E:E))</f>
        <v>Talme</v>
      </c>
      <c r="E812" s="84" t="str">
        <f>IF(ISBLANK(A812),"",_xlfn.XLOOKUP(A812,'Requirement Overview'!C:C,'Requirement Overview'!H:H))</f>
        <v>Non - IT</v>
      </c>
      <c r="F812" s="19" t="str">
        <f>IF(ISBLANK(A812),"",_xlfn.XLOOKUP(A812,'Requirement Overview'!C:C,'Requirement Overview'!I:I))</f>
        <v>Manufacturing ITI</v>
      </c>
      <c r="G812" s="58" t="str">
        <f>IF(ISBLANK(A812),"",_xlfn.XLOOKUP(A812,'Requirement Overview'!C:C,'Requirement Overview'!G:G))</f>
        <v>Micron</v>
      </c>
      <c r="H812" s="259" t="s">
        <v>3273</v>
      </c>
      <c r="I812" s="294" t="s">
        <v>1198</v>
      </c>
      <c r="J812" s="59"/>
      <c r="K812" s="372">
        <v>7433910693</v>
      </c>
      <c r="L812" s="294" t="s">
        <v>3220</v>
      </c>
      <c r="M812" s="371" t="s">
        <v>390</v>
      </c>
      <c r="O812" s="24">
        <v>40000</v>
      </c>
      <c r="P812" s="294" t="s">
        <v>3234</v>
      </c>
      <c r="Q812" s="24" t="s">
        <v>3268</v>
      </c>
      <c r="R812" s="24">
        <v>45000</v>
      </c>
      <c r="S812" s="24" t="s">
        <v>270</v>
      </c>
      <c r="T812" s="24" t="s">
        <v>103</v>
      </c>
      <c r="U812" s="29">
        <v>46087</v>
      </c>
      <c r="V812" s="29">
        <v>46087</v>
      </c>
    </row>
    <row r="813" spans="1:45" ht="15" customHeight="1">
      <c r="A813" s="24" t="s">
        <v>143</v>
      </c>
      <c r="B813" s="24" t="s">
        <v>340</v>
      </c>
      <c r="C813" s="84" t="str">
        <f>IF(ISBLANK(B813),"",_xlfn.XLOOKUP(B813,Recruiter!A:A,Recruiter!B:B))</f>
        <v>Harshitha</v>
      </c>
      <c r="D813" s="84" t="str">
        <f>IF(ISBLANK(A813),"",_xlfn.XLOOKUP(A813,'Requirement Overview'!C:C,'Requirement Overview'!E:E))</f>
        <v>Talme</v>
      </c>
      <c r="E813" s="84" t="str">
        <f>IF(ISBLANK(A813),"",_xlfn.XLOOKUP(A813,'Requirement Overview'!C:C,'Requirement Overview'!H:H))</f>
        <v>Non - IT</v>
      </c>
      <c r="F813" s="19" t="str">
        <f>IF(ISBLANK(A813),"",_xlfn.XLOOKUP(A813,'Requirement Overview'!C:C,'Requirement Overview'!I:I))</f>
        <v>Manufacturing ITI</v>
      </c>
      <c r="G813" s="58" t="str">
        <f>IF(ISBLANK(A813),"",_xlfn.XLOOKUP(A813,'Requirement Overview'!C:C,'Requirement Overview'!G:G))</f>
        <v>Micron</v>
      </c>
      <c r="H813" s="259" t="s">
        <v>3274</v>
      </c>
      <c r="I813" s="294" t="s">
        <v>1198</v>
      </c>
      <c r="J813" s="59"/>
      <c r="K813" s="373">
        <v>9898648594</v>
      </c>
      <c r="L813" s="294" t="s">
        <v>3220</v>
      </c>
      <c r="M813" s="371" t="s">
        <v>379</v>
      </c>
      <c r="O813" s="24">
        <v>30000</v>
      </c>
      <c r="P813" s="294" t="s">
        <v>2487</v>
      </c>
      <c r="Q813" s="24" t="s">
        <v>3268</v>
      </c>
      <c r="R813" s="24">
        <v>34000</v>
      </c>
      <c r="S813" s="24" t="s">
        <v>270</v>
      </c>
      <c r="T813" s="24" t="s">
        <v>103</v>
      </c>
      <c r="U813" s="29">
        <v>46087</v>
      </c>
      <c r="V813" s="29">
        <v>46087</v>
      </c>
    </row>
    <row r="814" spans="1:45" ht="15" customHeight="1">
      <c r="A814" s="24" t="s">
        <v>140</v>
      </c>
      <c r="B814" s="24" t="s">
        <v>340</v>
      </c>
      <c r="C814" s="84" t="str">
        <f>IF(ISBLANK(B814),"",_xlfn.XLOOKUP(B814,Recruiter!A:A,Recruiter!B:B))</f>
        <v>Harshitha</v>
      </c>
      <c r="D814" s="84" t="str">
        <f>IF(ISBLANK(A814),"",_xlfn.XLOOKUP(A814,'Requirement Overview'!C:C,'Requirement Overview'!E:E))</f>
        <v>Talme</v>
      </c>
      <c r="E814" s="84" t="str">
        <f>IF(ISBLANK(A814),"",_xlfn.XLOOKUP(A814,'Requirement Overview'!C:C,'Requirement Overview'!H:H))</f>
        <v>Non - IT</v>
      </c>
      <c r="F814" s="19" t="str">
        <f>IF(ISBLANK(A814),"",_xlfn.XLOOKUP(A814,'Requirement Overview'!C:C,'Requirement Overview'!I:I))</f>
        <v>Production Operator</v>
      </c>
      <c r="G814" s="58" t="str">
        <f>IF(ISBLANK(A814),"",_xlfn.XLOOKUP(A814,'Requirement Overview'!C:C,'Requirement Overview'!G:G))</f>
        <v>Micron</v>
      </c>
      <c r="H814" s="259" t="s">
        <v>3275</v>
      </c>
      <c r="I814" s="294" t="s">
        <v>3270</v>
      </c>
      <c r="J814" s="59"/>
      <c r="K814" s="397">
        <v>6372977133</v>
      </c>
      <c r="L814" s="294" t="s">
        <v>733</v>
      </c>
      <c r="M814" s="294" t="s">
        <v>395</v>
      </c>
      <c r="O814" s="24">
        <v>20000</v>
      </c>
      <c r="P814" s="294" t="s">
        <v>1676</v>
      </c>
      <c r="Q814" s="24" t="s">
        <v>3268</v>
      </c>
      <c r="R814" s="24">
        <v>28000</v>
      </c>
      <c r="S814" s="24" t="s">
        <v>375</v>
      </c>
      <c r="T814" s="24" t="s">
        <v>103</v>
      </c>
      <c r="U814" s="29">
        <v>46087</v>
      </c>
      <c r="V814" s="29">
        <v>46087</v>
      </c>
    </row>
    <row r="815" spans="1:45" ht="15" customHeight="1">
      <c r="A815" s="24" t="s">
        <v>143</v>
      </c>
      <c r="B815" s="24" t="s">
        <v>340</v>
      </c>
      <c r="C815" s="84" t="str">
        <f>IF(ISBLANK(B815),"",_xlfn.XLOOKUP(B815,Recruiter!A:A,Recruiter!B:B))</f>
        <v>Harshitha</v>
      </c>
      <c r="D815" s="84" t="str">
        <f>IF(ISBLANK(A815),"",_xlfn.XLOOKUP(A815,'Requirement Overview'!C:C,'Requirement Overview'!E:E))</f>
        <v>Talme</v>
      </c>
      <c r="E815" s="84" t="str">
        <f>IF(ISBLANK(A815),"",_xlfn.XLOOKUP(A815,'Requirement Overview'!C:C,'Requirement Overview'!H:H))</f>
        <v>Non - IT</v>
      </c>
      <c r="F815" s="19" t="str">
        <f>IF(ISBLANK(A815),"",_xlfn.XLOOKUP(A815,'Requirement Overview'!C:C,'Requirement Overview'!I:I))</f>
        <v>Manufacturing ITI</v>
      </c>
      <c r="G815" s="58" t="str">
        <f>IF(ISBLANK(A815),"",_xlfn.XLOOKUP(A815,'Requirement Overview'!C:C,'Requirement Overview'!G:G))</f>
        <v>Micron</v>
      </c>
      <c r="H815" s="259" t="s">
        <v>3276</v>
      </c>
      <c r="I815" s="294" t="s">
        <v>3270</v>
      </c>
      <c r="J815" s="59"/>
      <c r="K815" s="397">
        <v>9609927846</v>
      </c>
      <c r="L815" s="294" t="s">
        <v>3220</v>
      </c>
      <c r="M815" s="294" t="s">
        <v>1275</v>
      </c>
      <c r="O815" s="24">
        <v>25000</v>
      </c>
      <c r="P815" s="294" t="s">
        <v>3268</v>
      </c>
      <c r="Q815" s="24" t="s">
        <v>3268</v>
      </c>
      <c r="R815" s="24">
        <v>30000</v>
      </c>
      <c r="S815" s="24" t="s">
        <v>3228</v>
      </c>
      <c r="T815" s="24" t="s">
        <v>103</v>
      </c>
      <c r="U815" s="29">
        <v>46087</v>
      </c>
      <c r="V815" s="29">
        <v>46087</v>
      </c>
      <c r="X815" s="29">
        <v>46091</v>
      </c>
      <c r="Y815" s="24" t="s">
        <v>784</v>
      </c>
    </row>
    <row r="816" spans="1:45" ht="15" customHeight="1">
      <c r="A816" s="24" t="s">
        <v>140</v>
      </c>
      <c r="B816" s="24" t="s">
        <v>340</v>
      </c>
      <c r="C816" s="84" t="str">
        <f>IF(ISBLANK(B816),"",_xlfn.XLOOKUP(B816,Recruiter!A:A,Recruiter!B:B))</f>
        <v>Harshitha</v>
      </c>
      <c r="D816" s="84" t="str">
        <f>IF(ISBLANK(A816),"",_xlfn.XLOOKUP(A816,'Requirement Overview'!C:C,'Requirement Overview'!E:E))</f>
        <v>Talme</v>
      </c>
      <c r="E816" s="84" t="str">
        <f>IF(ISBLANK(A816),"",_xlfn.XLOOKUP(A816,'Requirement Overview'!C:C,'Requirement Overview'!H:H))</f>
        <v>Non - IT</v>
      </c>
      <c r="F816" s="19" t="str">
        <f>IF(ISBLANK(A816),"",_xlfn.XLOOKUP(A816,'Requirement Overview'!C:C,'Requirement Overview'!I:I))</f>
        <v>Production Operator</v>
      </c>
      <c r="G816" s="58" t="str">
        <f>IF(ISBLANK(A816),"",_xlfn.XLOOKUP(A816,'Requirement Overview'!C:C,'Requirement Overview'!G:G))</f>
        <v>Micron</v>
      </c>
      <c r="H816" s="259" t="s">
        <v>3277</v>
      </c>
      <c r="I816" s="294" t="s">
        <v>3270</v>
      </c>
      <c r="J816" s="59"/>
      <c r="K816" s="397">
        <v>9360293582</v>
      </c>
      <c r="L816" s="294" t="s">
        <v>733</v>
      </c>
      <c r="M816" s="294" t="s">
        <v>279</v>
      </c>
      <c r="O816" s="24">
        <v>25000</v>
      </c>
      <c r="P816" s="294" t="s">
        <v>1128</v>
      </c>
      <c r="Q816" s="24" t="s">
        <v>3268</v>
      </c>
      <c r="R816" s="24">
        <v>32000</v>
      </c>
      <c r="S816" s="24" t="s">
        <v>375</v>
      </c>
      <c r="T816" s="24" t="s">
        <v>103</v>
      </c>
      <c r="U816" s="29">
        <v>46087</v>
      </c>
      <c r="V816" s="29">
        <v>46087</v>
      </c>
    </row>
    <row r="817" spans="1:45" ht="15" customHeight="1">
      <c r="A817" s="24" t="s">
        <v>140</v>
      </c>
      <c r="B817" s="24" t="s">
        <v>340</v>
      </c>
      <c r="C817" s="84" t="str">
        <f>IF(ISBLANK(B817),"",_xlfn.XLOOKUP(B817,Recruiter!A:A,Recruiter!B:B))</f>
        <v>Harshitha</v>
      </c>
      <c r="D817" s="84" t="str">
        <f>IF(ISBLANK(A817),"",_xlfn.XLOOKUP(A817,'Requirement Overview'!C:C,'Requirement Overview'!E:E))</f>
        <v>Talme</v>
      </c>
      <c r="E817" s="84" t="str">
        <f>IF(ISBLANK(A817),"",_xlfn.XLOOKUP(A817,'Requirement Overview'!C:C,'Requirement Overview'!H:H))</f>
        <v>Non - IT</v>
      </c>
      <c r="F817" s="19" t="str">
        <f>IF(ISBLANK(A817),"",_xlfn.XLOOKUP(A817,'Requirement Overview'!C:C,'Requirement Overview'!I:I))</f>
        <v>Production Operator</v>
      </c>
      <c r="G817" s="58" t="str">
        <f>IF(ISBLANK(A817),"",_xlfn.XLOOKUP(A817,'Requirement Overview'!C:C,'Requirement Overview'!G:G))</f>
        <v>Micron</v>
      </c>
      <c r="H817" s="259" t="s">
        <v>3278</v>
      </c>
      <c r="I817" s="294" t="s">
        <v>1198</v>
      </c>
      <c r="J817" s="59"/>
      <c r="K817" s="397">
        <v>7872911329</v>
      </c>
      <c r="L817" s="294" t="s">
        <v>733</v>
      </c>
      <c r="M817" s="294" t="s">
        <v>1284</v>
      </c>
      <c r="O817" s="24">
        <v>21000</v>
      </c>
      <c r="P817" s="294" t="s">
        <v>3279</v>
      </c>
      <c r="Q817" s="24" t="s">
        <v>3268</v>
      </c>
      <c r="R817" s="24">
        <v>30000</v>
      </c>
      <c r="S817" s="24" t="s">
        <v>375</v>
      </c>
      <c r="T817" s="24" t="s">
        <v>103</v>
      </c>
      <c r="U817" s="29">
        <v>46087</v>
      </c>
      <c r="V817" s="29">
        <v>46087</v>
      </c>
    </row>
    <row r="818" spans="1:45" ht="15" customHeight="1">
      <c r="A818" s="24" t="s">
        <v>140</v>
      </c>
      <c r="B818" s="24" t="s">
        <v>340</v>
      </c>
      <c r="C818" s="84" t="str">
        <f>IF(ISBLANK(B818),"",_xlfn.XLOOKUP(B818,Recruiter!A:A,Recruiter!B:B))</f>
        <v>Harshitha</v>
      </c>
      <c r="D818" s="84" t="str">
        <f>IF(ISBLANK(A818),"",_xlfn.XLOOKUP(A818,'Requirement Overview'!C:C,'Requirement Overview'!E:E))</f>
        <v>Talme</v>
      </c>
      <c r="E818" s="84" t="str">
        <f>IF(ISBLANK(A818),"",_xlfn.XLOOKUP(A818,'Requirement Overview'!C:C,'Requirement Overview'!H:H))</f>
        <v>Non - IT</v>
      </c>
      <c r="F818" s="19" t="str">
        <f>IF(ISBLANK(A818),"",_xlfn.XLOOKUP(A818,'Requirement Overview'!C:C,'Requirement Overview'!I:I))</f>
        <v>Production Operator</v>
      </c>
      <c r="G818" s="58" t="str">
        <f>IF(ISBLANK(A818),"",_xlfn.XLOOKUP(A818,'Requirement Overview'!C:C,'Requirement Overview'!G:G))</f>
        <v>Micron</v>
      </c>
      <c r="H818" s="259" t="s">
        <v>3280</v>
      </c>
      <c r="I818" s="294" t="s">
        <v>519</v>
      </c>
      <c r="J818" s="59"/>
      <c r="K818" s="397">
        <v>9936581607</v>
      </c>
      <c r="L818" s="294" t="s">
        <v>733</v>
      </c>
      <c r="M818" s="294" t="s">
        <v>1284</v>
      </c>
      <c r="O818" s="24">
        <v>23000</v>
      </c>
      <c r="P818" s="294" t="s">
        <v>3281</v>
      </c>
      <c r="Q818" s="24" t="s">
        <v>3268</v>
      </c>
      <c r="R818" s="24">
        <v>28000</v>
      </c>
      <c r="S818" s="24" t="s">
        <v>375</v>
      </c>
      <c r="T818" s="24" t="s">
        <v>103</v>
      </c>
      <c r="U818" s="29">
        <v>46087</v>
      </c>
      <c r="V818" s="29">
        <v>46087</v>
      </c>
    </row>
    <row r="819" spans="1:45" ht="15" customHeight="1">
      <c r="A819" s="24" t="s">
        <v>140</v>
      </c>
      <c r="B819" s="24" t="s">
        <v>340</v>
      </c>
      <c r="C819" s="84" t="str">
        <f>IF(ISBLANK(B819),"",_xlfn.XLOOKUP(B819,Recruiter!A:A,Recruiter!B:B))</f>
        <v>Harshitha</v>
      </c>
      <c r="D819" s="84" t="str">
        <f>IF(ISBLANK(A819),"",_xlfn.XLOOKUP(A819,'Requirement Overview'!C:C,'Requirement Overview'!E:E))</f>
        <v>Talme</v>
      </c>
      <c r="E819" s="84" t="str">
        <f>IF(ISBLANK(A819),"",_xlfn.XLOOKUP(A819,'Requirement Overview'!C:C,'Requirement Overview'!H:H))</f>
        <v>Non - IT</v>
      </c>
      <c r="F819" s="19" t="str">
        <f>IF(ISBLANK(A819),"",_xlfn.XLOOKUP(A819,'Requirement Overview'!C:C,'Requirement Overview'!I:I))</f>
        <v>Production Operator</v>
      </c>
      <c r="G819" s="58" t="str">
        <f>IF(ISBLANK(A819),"",_xlfn.XLOOKUP(A819,'Requirement Overview'!C:C,'Requirement Overview'!G:G))</f>
        <v>Micron</v>
      </c>
      <c r="H819" s="259" t="s">
        <v>3282</v>
      </c>
      <c r="I819" s="294" t="s">
        <v>3270</v>
      </c>
      <c r="J819" s="59"/>
      <c r="K819">
        <v>9528606491</v>
      </c>
      <c r="L819" s="294" t="s">
        <v>733</v>
      </c>
      <c r="M819" s="294" t="s">
        <v>1284</v>
      </c>
      <c r="O819" s="24">
        <v>23000</v>
      </c>
      <c r="P819" s="294" t="s">
        <v>3281</v>
      </c>
      <c r="Q819" s="24" t="s">
        <v>3268</v>
      </c>
      <c r="R819" s="24">
        <v>33000</v>
      </c>
      <c r="S819" s="24" t="s">
        <v>375</v>
      </c>
      <c r="T819" s="24" t="s">
        <v>103</v>
      </c>
      <c r="U819" s="29">
        <v>46087</v>
      </c>
      <c r="V819" s="29">
        <v>46087</v>
      </c>
    </row>
    <row r="820" spans="1:45" ht="15" customHeight="1">
      <c r="A820" s="24" t="s">
        <v>156</v>
      </c>
      <c r="B820" s="24" t="s">
        <v>340</v>
      </c>
      <c r="C820" s="84" t="str">
        <f>IF(ISBLANK(B820),"",_xlfn.XLOOKUP(B820,Recruiter!A:A,Recruiter!B:B))</f>
        <v>Harshitha</v>
      </c>
      <c r="D820" s="84" t="str">
        <f>IF(ISBLANK(A820),"",_xlfn.XLOOKUP(A820,'Requirement Overview'!C:C,'Requirement Overview'!E:E))</f>
        <v>Talme</v>
      </c>
      <c r="E820" s="84" t="str">
        <f>IF(ISBLANK(A820),"",_xlfn.XLOOKUP(A820,'Requirement Overview'!C:C,'Requirement Overview'!H:H))</f>
        <v>IT</v>
      </c>
      <c r="F820" s="19" t="str">
        <f>IF(ISBLANK(A820),"",_xlfn.XLOOKUP(A820,'Requirement Overview'!C:C,'Requirement Overview'!I:I))</f>
        <v>AI/ML Engineer</v>
      </c>
      <c r="G820" s="58" t="str">
        <f>IF(ISBLANK(A820),"",_xlfn.XLOOKUP(A820,'Requirement Overview'!C:C,'Requirement Overview'!G:G))</f>
        <v>LTTS</v>
      </c>
      <c r="H820" s="276" t="s">
        <v>3283</v>
      </c>
      <c r="I820" s="3" t="s">
        <v>3284</v>
      </c>
      <c r="J820" s="257" t="s">
        <v>3285</v>
      </c>
      <c r="K820" s="277">
        <v>9791161036</v>
      </c>
      <c r="L820" s="3" t="s">
        <v>305</v>
      </c>
      <c r="M820" s="3" t="s">
        <v>279</v>
      </c>
      <c r="N820" s="126" t="s">
        <v>3286</v>
      </c>
      <c r="O820" s="3" t="s">
        <v>1525</v>
      </c>
      <c r="P820" s="3" t="s">
        <v>268</v>
      </c>
      <c r="Q820" s="3" t="s">
        <v>268</v>
      </c>
      <c r="R820" s="3" t="s">
        <v>541</v>
      </c>
      <c r="S820" s="24" t="s">
        <v>375</v>
      </c>
      <c r="T820" s="24" t="s">
        <v>103</v>
      </c>
      <c r="U820" s="29">
        <v>46092</v>
      </c>
      <c r="V820" s="29">
        <v>46092</v>
      </c>
    </row>
    <row r="821" spans="1:45" ht="15" customHeight="1">
      <c r="A821" s="24" t="s">
        <v>156</v>
      </c>
      <c r="B821" s="24" t="s">
        <v>340</v>
      </c>
      <c r="C821" s="84" t="str">
        <f>IF(ISBLANK(B821),"",_xlfn.XLOOKUP(B821,Recruiter!A:A,Recruiter!B:B))</f>
        <v>Harshitha</v>
      </c>
      <c r="D821" s="84" t="str">
        <f>IF(ISBLANK(A821),"",_xlfn.XLOOKUP(A821,'Requirement Overview'!C:C,'Requirement Overview'!E:E))</f>
        <v>Talme</v>
      </c>
      <c r="E821" s="84" t="str">
        <f>IF(ISBLANK(A821),"",_xlfn.XLOOKUP(A821,'Requirement Overview'!C:C,'Requirement Overview'!H:H))</f>
        <v>IT</v>
      </c>
      <c r="F821" s="19" t="str">
        <f>IF(ISBLANK(A821),"",_xlfn.XLOOKUP(A821,'Requirement Overview'!C:C,'Requirement Overview'!I:I))</f>
        <v>AI/ML Engineer</v>
      </c>
      <c r="G821" s="58" t="str">
        <f>IF(ISBLANK(A821),"",_xlfn.XLOOKUP(A821,'Requirement Overview'!C:C,'Requirement Overview'!G:G))</f>
        <v>LTTS</v>
      </c>
      <c r="H821" s="276" t="s">
        <v>3287</v>
      </c>
      <c r="I821" s="3" t="s">
        <v>3288</v>
      </c>
      <c r="J821" s="257" t="s">
        <v>3289</v>
      </c>
      <c r="K821" s="277">
        <v>9392750966</v>
      </c>
      <c r="L821" s="3" t="s">
        <v>305</v>
      </c>
      <c r="M821" s="3" t="s">
        <v>1490</v>
      </c>
      <c r="N821" s="126" t="s">
        <v>2507</v>
      </c>
      <c r="O821" s="3" t="s">
        <v>2076</v>
      </c>
      <c r="P821" s="3" t="s">
        <v>268</v>
      </c>
      <c r="Q821" s="3" t="s">
        <v>268</v>
      </c>
      <c r="R821" s="3" t="s">
        <v>3290</v>
      </c>
      <c r="S821" s="24" t="s">
        <v>270</v>
      </c>
      <c r="T821" s="24" t="s">
        <v>103</v>
      </c>
      <c r="U821" s="29">
        <v>46092</v>
      </c>
      <c r="V821" s="29">
        <v>46092</v>
      </c>
    </row>
    <row r="822" spans="1:45" ht="15" customHeight="1">
      <c r="A822" s="19" t="s">
        <v>134</v>
      </c>
      <c r="B822" s="24" t="s">
        <v>1417</v>
      </c>
      <c r="C822" s="84" t="str">
        <f>IF(ISBLANK(B822),"",_xlfn.XLOOKUP(B822,Recruiter!A:A,Recruiter!B:B))</f>
        <v>Harish</v>
      </c>
      <c r="D822" s="84" t="str">
        <f>IF(ISBLANK(A822),"",_xlfn.XLOOKUP(A822,'Requirement Overview'!C:C,'Requirement Overview'!E:E))</f>
        <v>Talme</v>
      </c>
      <c r="E822" s="84" t="str">
        <f>IF(ISBLANK(A822),"",_xlfn.XLOOKUP(A822,'Requirement Overview'!C:C,'Requirement Overview'!H:H))</f>
        <v>Non - IT</v>
      </c>
      <c r="F822" s="19" t="str">
        <f>IF(ISBLANK(A822),"",_xlfn.XLOOKUP(A822,'Requirement Overview'!C:C,'Requirement Overview'!I:I))</f>
        <v>Sales officer</v>
      </c>
      <c r="G822" s="58" t="str">
        <f>IF(ISBLANK(A822),"",_xlfn.XLOOKUP(A822,'Requirement Overview'!C:C,'Requirement Overview'!G:G))</f>
        <v>Megha foods pvt ltd</v>
      </c>
      <c r="H822" s="3" t="s">
        <v>3291</v>
      </c>
      <c r="I822" s="3" t="s">
        <v>262</v>
      </c>
      <c r="J822" s="243" t="s">
        <v>3292</v>
      </c>
      <c r="K822" s="398">
        <v>8438071057</v>
      </c>
      <c r="L822" s="46" t="s">
        <v>1034</v>
      </c>
      <c r="M822" s="24" t="s">
        <v>573</v>
      </c>
      <c r="P822" s="24" t="s">
        <v>1286</v>
      </c>
      <c r="Q822" s="24" t="s">
        <v>1128</v>
      </c>
      <c r="R822" s="24" t="s">
        <v>314</v>
      </c>
      <c r="S822" s="24" t="s">
        <v>375</v>
      </c>
      <c r="T822" s="24" t="s">
        <v>271</v>
      </c>
      <c r="U822" s="29">
        <v>46094</v>
      </c>
      <c r="V822" s="29">
        <v>46094</v>
      </c>
      <c r="X822" s="29">
        <v>46095</v>
      </c>
    </row>
    <row r="823" spans="1:45" ht="15" customHeight="1">
      <c r="A823" s="19" t="s">
        <v>134</v>
      </c>
      <c r="B823" s="24" t="s">
        <v>1417</v>
      </c>
      <c r="C823" s="84" t="str">
        <f>IF(ISBLANK(B823),"",_xlfn.XLOOKUP(B823,Recruiter!A:A,Recruiter!B:B))</f>
        <v>Harish</v>
      </c>
      <c r="D823" s="84" t="str">
        <f>IF(ISBLANK(A823),"",_xlfn.XLOOKUP(A823,'Requirement Overview'!C:C,'Requirement Overview'!E:E))</f>
        <v>Talme</v>
      </c>
      <c r="E823" s="84" t="str">
        <f>IF(ISBLANK(A823),"",_xlfn.XLOOKUP(A823,'Requirement Overview'!C:C,'Requirement Overview'!H:H))</f>
        <v>Non - IT</v>
      </c>
      <c r="F823" s="19" t="str">
        <f>IF(ISBLANK(A823),"",_xlfn.XLOOKUP(A823,'Requirement Overview'!C:C,'Requirement Overview'!I:I))</f>
        <v>Sales officer</v>
      </c>
      <c r="G823" s="58" t="str">
        <f>IF(ISBLANK(A823),"",_xlfn.XLOOKUP(A823,'Requirement Overview'!C:C,'Requirement Overview'!G:G))</f>
        <v>Megha foods pvt ltd</v>
      </c>
      <c r="H823" s="3" t="s">
        <v>3293</v>
      </c>
      <c r="I823" s="3" t="s">
        <v>262</v>
      </c>
      <c r="J823" s="243" t="s">
        <v>3294</v>
      </c>
      <c r="K823" s="398">
        <v>7200683324</v>
      </c>
      <c r="L823" s="46" t="s">
        <v>1034</v>
      </c>
      <c r="M823" s="24" t="s">
        <v>573</v>
      </c>
      <c r="P823" s="24" t="s">
        <v>1286</v>
      </c>
      <c r="Q823" s="24" t="s">
        <v>1128</v>
      </c>
      <c r="R823" s="24" t="s">
        <v>314</v>
      </c>
      <c r="S823" s="24" t="s">
        <v>375</v>
      </c>
      <c r="T823" s="24" t="s">
        <v>271</v>
      </c>
      <c r="U823" s="29">
        <v>46094</v>
      </c>
      <c r="V823" s="29">
        <v>46094</v>
      </c>
      <c r="X823" s="29">
        <v>46095</v>
      </c>
    </row>
    <row r="824" spans="1:45" ht="15" customHeight="1">
      <c r="A824" s="19" t="s">
        <v>134</v>
      </c>
      <c r="B824" s="24" t="s">
        <v>1417</v>
      </c>
      <c r="C824" s="84" t="str">
        <f>IF(ISBLANK(B824),"",_xlfn.XLOOKUP(B824,Recruiter!A:A,Recruiter!B:B))</f>
        <v>Harish</v>
      </c>
      <c r="D824" s="84" t="str">
        <f>IF(ISBLANK(A824),"",_xlfn.XLOOKUP(A824,'Requirement Overview'!C:C,'Requirement Overview'!E:E))</f>
        <v>Talme</v>
      </c>
      <c r="E824" s="84" t="str">
        <f>IF(ISBLANK(A824),"",_xlfn.XLOOKUP(A824,'Requirement Overview'!C:C,'Requirement Overview'!H:H))</f>
        <v>Non - IT</v>
      </c>
      <c r="F824" s="19" t="str">
        <f>IF(ISBLANK(A824),"",_xlfn.XLOOKUP(A824,'Requirement Overview'!C:C,'Requirement Overview'!I:I))</f>
        <v>Sales officer</v>
      </c>
      <c r="G824" s="58" t="s">
        <v>138</v>
      </c>
      <c r="H824" s="398" t="s">
        <v>3295</v>
      </c>
      <c r="I824" s="3" t="s">
        <v>262</v>
      </c>
      <c r="J824" s="243" t="s">
        <v>3296</v>
      </c>
      <c r="K824" s="398">
        <v>9385782073</v>
      </c>
      <c r="L824" s="46" t="s">
        <v>1034</v>
      </c>
      <c r="M824" s="24" t="s">
        <v>573</v>
      </c>
      <c r="P824" s="24" t="s">
        <v>1286</v>
      </c>
      <c r="Q824" s="24" t="s">
        <v>1128</v>
      </c>
      <c r="R824" s="24" t="s">
        <v>314</v>
      </c>
      <c r="S824" s="24" t="s">
        <v>375</v>
      </c>
      <c r="T824" s="24" t="s">
        <v>271</v>
      </c>
      <c r="U824" s="29">
        <v>46094</v>
      </c>
      <c r="V824" s="29">
        <v>46094</v>
      </c>
      <c r="X824" s="29">
        <v>46095</v>
      </c>
    </row>
    <row r="825" spans="1:45" ht="15" customHeight="1">
      <c r="A825" s="19" t="s">
        <v>134</v>
      </c>
      <c r="B825" s="24" t="s">
        <v>1417</v>
      </c>
      <c r="C825" s="84" t="str">
        <f>IF(ISBLANK(B825),"",_xlfn.XLOOKUP(B825,Recruiter!A:A,Recruiter!B:B))</f>
        <v>Harish</v>
      </c>
      <c r="D825" s="84" t="str">
        <f>IF(ISBLANK(A825),"",_xlfn.XLOOKUP(A825,'Requirement Overview'!C:C,'Requirement Overview'!E:E))</f>
        <v>Talme</v>
      </c>
      <c r="E825" s="84" t="str">
        <f>IF(ISBLANK(A825),"",_xlfn.XLOOKUP(A825,'Requirement Overview'!C:C,'Requirement Overview'!H:H))</f>
        <v>Non - IT</v>
      </c>
      <c r="F825" s="19" t="str">
        <f>IF(ISBLANK(A825),"",_xlfn.XLOOKUP(A825,'Requirement Overview'!C:C,'Requirement Overview'!I:I))</f>
        <v>Sales officer</v>
      </c>
      <c r="G825" s="58" t="str">
        <f>IF(ISBLANK(A825),"",_xlfn.XLOOKUP(A825,'Requirement Overview'!C:C,'Requirement Overview'!G:G))</f>
        <v>Megha foods pvt ltd</v>
      </c>
      <c r="H825" s="398" t="s">
        <v>3297</v>
      </c>
      <c r="I825" s="3" t="s">
        <v>497</v>
      </c>
      <c r="J825" s="243" t="s">
        <v>3298</v>
      </c>
      <c r="K825" s="398">
        <v>9842896423</v>
      </c>
      <c r="L825" s="46" t="s">
        <v>1034</v>
      </c>
      <c r="M825" s="24" t="s">
        <v>573</v>
      </c>
      <c r="P825" s="24" t="s">
        <v>1286</v>
      </c>
      <c r="Q825" s="24" t="s">
        <v>1128</v>
      </c>
      <c r="R825" s="24" t="s">
        <v>314</v>
      </c>
      <c r="S825" s="24" t="s">
        <v>375</v>
      </c>
      <c r="T825" s="24" t="s">
        <v>271</v>
      </c>
      <c r="U825" s="29">
        <v>46094</v>
      </c>
      <c r="V825" s="29">
        <v>46094</v>
      </c>
      <c r="X825" s="29">
        <v>46095</v>
      </c>
    </row>
    <row r="826" spans="1:45" ht="15" customHeight="1">
      <c r="A826" s="19" t="s">
        <v>134</v>
      </c>
      <c r="B826" s="24" t="s">
        <v>1417</v>
      </c>
      <c r="C826" s="84" t="str">
        <f>IF(ISBLANK(B826),"",_xlfn.XLOOKUP(B826,Recruiter!A:A,Recruiter!B:B))</f>
        <v>Harish</v>
      </c>
      <c r="D826" s="84" t="str">
        <f>IF(ISBLANK(A826),"",_xlfn.XLOOKUP(A826,'Requirement Overview'!C:C,'Requirement Overview'!E:E))</f>
        <v>Talme</v>
      </c>
      <c r="E826" s="84" t="str">
        <f>IF(ISBLANK(A826),"",_xlfn.XLOOKUP(A826,'Requirement Overview'!C:C,'Requirement Overview'!H:H))</f>
        <v>Non - IT</v>
      </c>
      <c r="F826" s="19" t="str">
        <f>IF(ISBLANK(A826),"",_xlfn.XLOOKUP(A826,'Requirement Overview'!C:C,'Requirement Overview'!I:I))</f>
        <v>Sales officer</v>
      </c>
      <c r="G826" s="58" t="str">
        <f>IF(ISBLANK(A826),"",_xlfn.XLOOKUP(A826,'Requirement Overview'!C:C,'Requirement Overview'!G:G))</f>
        <v>Megha foods pvt ltd</v>
      </c>
      <c r="H826" s="398" t="s">
        <v>3299</v>
      </c>
      <c r="I826" s="3" t="s">
        <v>497</v>
      </c>
      <c r="J826" s="243" t="s">
        <v>3300</v>
      </c>
      <c r="K826" s="398">
        <v>9345908784</v>
      </c>
      <c r="L826" s="46" t="s">
        <v>1034</v>
      </c>
      <c r="M826" s="24" t="s">
        <v>573</v>
      </c>
      <c r="P826" s="24" t="s">
        <v>1286</v>
      </c>
      <c r="Q826" s="24" t="s">
        <v>1128</v>
      </c>
      <c r="R826" s="24" t="s">
        <v>314</v>
      </c>
      <c r="S826" s="24" t="s">
        <v>375</v>
      </c>
      <c r="T826" s="24" t="s">
        <v>271</v>
      </c>
      <c r="U826" s="29">
        <v>46094</v>
      </c>
      <c r="V826" s="29">
        <v>46094</v>
      </c>
      <c r="X826" s="29">
        <v>46095</v>
      </c>
    </row>
    <row r="827" spans="1:45" s="51" customFormat="1" ht="15" customHeight="1">
      <c r="A827" s="73" t="s">
        <v>134</v>
      </c>
      <c r="B827" s="51" t="s">
        <v>1417</v>
      </c>
      <c r="C827" s="88" t="str">
        <f>IF(ISBLANK(B827),"",_xlfn.XLOOKUP(B827,Recruiter!A:A,Recruiter!B:B))</f>
        <v>Harish</v>
      </c>
      <c r="D827" s="88" t="str">
        <f>IF(ISBLANK(A827),"",_xlfn.XLOOKUP(A827,'Requirement Overview'!C:C,'Requirement Overview'!E:E))</f>
        <v>Talme</v>
      </c>
      <c r="E827" s="88" t="str">
        <f>IF(ISBLANK(A827),"",_xlfn.XLOOKUP(A827,'Requirement Overview'!C:C,'Requirement Overview'!H:H))</f>
        <v>Non - IT</v>
      </c>
      <c r="F827" s="73" t="str">
        <f>IF(ISBLANK(A827),"",_xlfn.XLOOKUP(A827,'Requirement Overview'!C:C,'Requirement Overview'!I:I))</f>
        <v>Sales officer</v>
      </c>
      <c r="G827" s="58" t="str">
        <f>IF(ISBLANK(A827),"",_xlfn.XLOOKUP(A827,'Requirement Overview'!C:C,'Requirement Overview'!G:G))</f>
        <v>Megha foods pvt ltd</v>
      </c>
      <c r="H827" s="51" t="s">
        <v>3301</v>
      </c>
      <c r="I827" s="50" t="s">
        <v>497</v>
      </c>
      <c r="J827" s="374" t="s">
        <v>3302</v>
      </c>
      <c r="K827" s="51">
        <v>7708725241</v>
      </c>
      <c r="L827" s="108" t="s">
        <v>318</v>
      </c>
      <c r="M827" s="51" t="s">
        <v>279</v>
      </c>
      <c r="N827" s="51" t="s">
        <v>3303</v>
      </c>
      <c r="P827" s="51" t="s">
        <v>1286</v>
      </c>
      <c r="Q827" s="51" t="s">
        <v>1286</v>
      </c>
      <c r="R827" s="51" t="s">
        <v>623</v>
      </c>
      <c r="S827" s="51" t="s">
        <v>375</v>
      </c>
      <c r="AL827" s="73"/>
      <c r="AM827" s="73"/>
      <c r="AS827" s="73"/>
    </row>
    <row r="828" spans="1:45" ht="15" customHeight="1">
      <c r="A828" s="24" t="s">
        <v>140</v>
      </c>
      <c r="B828" s="24" t="s">
        <v>520</v>
      </c>
      <c r="C828" s="84" t="str">
        <f>IF(ISBLANK(B828),"",_xlfn.XLOOKUP(B828,Recruiter!A:A,Recruiter!B:B))</f>
        <v>Narthana</v>
      </c>
      <c r="D828" s="84" t="str">
        <f>IF(ISBLANK(A828),"",_xlfn.XLOOKUP(A828,'Requirement Overview'!C:C,'Requirement Overview'!E:E))</f>
        <v>Talme</v>
      </c>
      <c r="E828" s="84" t="str">
        <f>IF(ISBLANK(A828),"",_xlfn.XLOOKUP(A828,'Requirement Overview'!C:C,'Requirement Overview'!H:H))</f>
        <v>Non - IT</v>
      </c>
      <c r="F828" s="19" t="str">
        <f>IF(ISBLANK(A828),"",_xlfn.XLOOKUP(A828,'Requirement Overview'!C:C,'Requirement Overview'!I:I))</f>
        <v>Production Operator</v>
      </c>
      <c r="G828" s="58" t="str">
        <f>IF(ISBLANK(A828),"",_xlfn.XLOOKUP(A828,'Requirement Overview'!C:C,'Requirement Overview'!G:G))</f>
        <v>Micron</v>
      </c>
      <c r="H828" s="377" t="s">
        <v>3304</v>
      </c>
      <c r="I828" s="24" t="s">
        <v>519</v>
      </c>
      <c r="J828" s="19" t="s">
        <v>3305</v>
      </c>
      <c r="K828" s="24">
        <v>9330196601</v>
      </c>
      <c r="L828" s="24" t="s">
        <v>733</v>
      </c>
      <c r="M828" s="377" t="s">
        <v>3306</v>
      </c>
      <c r="P828" s="377" t="s">
        <v>3307</v>
      </c>
      <c r="Q828" s="24" t="s">
        <v>3268</v>
      </c>
      <c r="S828" s="24" t="s">
        <v>601</v>
      </c>
      <c r="T828" s="24" t="s">
        <v>103</v>
      </c>
      <c r="U828" s="29">
        <v>46091</v>
      </c>
      <c r="V828" s="29">
        <v>46091</v>
      </c>
    </row>
    <row r="829" spans="1:45" ht="15" customHeight="1">
      <c r="A829" s="24" t="s">
        <v>140</v>
      </c>
      <c r="B829" s="24" t="s">
        <v>520</v>
      </c>
      <c r="C829" s="84" t="str">
        <f>IF(ISBLANK(B829),"",_xlfn.XLOOKUP(B829,Recruiter!A:A,Recruiter!B:B))</f>
        <v>Narthana</v>
      </c>
      <c r="D829" s="84" t="str">
        <f>IF(ISBLANK(A829),"",_xlfn.XLOOKUP(A829,'Requirement Overview'!C:C,'Requirement Overview'!E:E))</f>
        <v>Talme</v>
      </c>
      <c r="E829" s="84" t="str">
        <f>IF(ISBLANK(A829),"",_xlfn.XLOOKUP(A829,'Requirement Overview'!C:C,'Requirement Overview'!H:H))</f>
        <v>Non - IT</v>
      </c>
      <c r="F829" s="19" t="str">
        <f>IF(ISBLANK(A829),"",_xlfn.XLOOKUP(A829,'Requirement Overview'!C:C,'Requirement Overview'!I:I))</f>
        <v>Production Operator</v>
      </c>
      <c r="G829" s="58" t="str">
        <f>IF(ISBLANK(A829),"",_xlfn.XLOOKUP(A829,'Requirement Overview'!C:C,'Requirement Overview'!G:G))</f>
        <v>Micron</v>
      </c>
      <c r="H829" s="21" t="s">
        <v>3308</v>
      </c>
      <c r="I829" s="24" t="s">
        <v>519</v>
      </c>
      <c r="J829" s="19" t="s">
        <v>3309</v>
      </c>
      <c r="K829" s="24">
        <v>8252725121</v>
      </c>
      <c r="L829" s="24" t="s">
        <v>733</v>
      </c>
      <c r="M829" s="24" t="s">
        <v>1284</v>
      </c>
      <c r="P829" s="21" t="s">
        <v>3310</v>
      </c>
      <c r="Q829" s="24" t="s">
        <v>3268</v>
      </c>
      <c r="S829" s="24" t="s">
        <v>601</v>
      </c>
      <c r="T829" s="24" t="s">
        <v>103</v>
      </c>
      <c r="U829" s="29">
        <v>46093</v>
      </c>
      <c r="V829" s="29">
        <v>46093</v>
      </c>
    </row>
    <row r="830" spans="1:45" ht="15" customHeight="1">
      <c r="A830" s="19" t="s">
        <v>143</v>
      </c>
      <c r="B830" s="24" t="s">
        <v>520</v>
      </c>
      <c r="C830" s="84" t="str">
        <f>IF(ISBLANK(B830),"",_xlfn.XLOOKUP(B830,Recruiter!A:A,Recruiter!B:B))</f>
        <v>Narthana</v>
      </c>
      <c r="D830" s="84" t="str">
        <f>IF(ISBLANK(A830),"",_xlfn.XLOOKUP(A830,'Requirement Overview'!C:C,'Requirement Overview'!E:E))</f>
        <v>Talme</v>
      </c>
      <c r="E830" s="84" t="str">
        <f>IF(ISBLANK(A830),"",_xlfn.XLOOKUP(A830,'Requirement Overview'!C:C,'Requirement Overview'!H:H))</f>
        <v>Non - IT</v>
      </c>
      <c r="F830" s="19" t="str">
        <f>IF(ISBLANK(A830),"",_xlfn.XLOOKUP(A830,'Requirement Overview'!C:C,'Requirement Overview'!I:I))</f>
        <v>Manufacturing ITI</v>
      </c>
      <c r="G830" s="58" t="str">
        <f>IF(ISBLANK(A830),"",_xlfn.XLOOKUP(A830,'Requirement Overview'!C:C,'Requirement Overview'!G:G))</f>
        <v>Micron</v>
      </c>
      <c r="H830" s="21" t="s">
        <v>3311</v>
      </c>
      <c r="I830" s="24" t="s">
        <v>262</v>
      </c>
      <c r="J830" s="19" t="s">
        <v>3312</v>
      </c>
      <c r="K830" s="24">
        <v>9574546160</v>
      </c>
      <c r="L830" s="24" t="s">
        <v>3220</v>
      </c>
      <c r="M830" s="24" t="s">
        <v>1284</v>
      </c>
      <c r="P830" s="21" t="s">
        <v>3234</v>
      </c>
      <c r="Q830" s="24" t="s">
        <v>3268</v>
      </c>
      <c r="S830" s="24" t="s">
        <v>601</v>
      </c>
      <c r="T830" s="24" t="s">
        <v>103</v>
      </c>
      <c r="U830" s="29">
        <v>46093</v>
      </c>
      <c r="V830" s="29">
        <v>46093</v>
      </c>
    </row>
    <row r="831" spans="1:45" ht="15" customHeight="1">
      <c r="A831" s="19" t="s">
        <v>143</v>
      </c>
      <c r="B831" s="24" t="s">
        <v>520</v>
      </c>
      <c r="C831" s="84" t="str">
        <f>IF(ISBLANK(B831),"",_xlfn.XLOOKUP(B831,Recruiter!A:A,Recruiter!B:B))</f>
        <v>Narthana</v>
      </c>
      <c r="D831" s="84" t="str">
        <f>IF(ISBLANK(A831),"",_xlfn.XLOOKUP(A831,'Requirement Overview'!C:C,'Requirement Overview'!E:E))</f>
        <v>Talme</v>
      </c>
      <c r="E831" s="84" t="str">
        <f>IF(ISBLANK(A831),"",_xlfn.XLOOKUP(A831,'Requirement Overview'!C:C,'Requirement Overview'!H:H))</f>
        <v>Non - IT</v>
      </c>
      <c r="F831" s="19" t="str">
        <f>IF(ISBLANK(A831),"",_xlfn.XLOOKUP(A831,'Requirement Overview'!C:C,'Requirement Overview'!I:I))</f>
        <v>Manufacturing ITI</v>
      </c>
      <c r="G831" s="58" t="str">
        <f>IF(ISBLANK(A831),"",_xlfn.XLOOKUP(A831,'Requirement Overview'!C:C,'Requirement Overview'!G:G))</f>
        <v>Micron</v>
      </c>
      <c r="H831" s="377" t="s">
        <v>3313</v>
      </c>
      <c r="I831" s="24" t="s">
        <v>497</v>
      </c>
      <c r="J831" s="19" t="s">
        <v>3314</v>
      </c>
      <c r="K831" s="377">
        <v>9327488363</v>
      </c>
      <c r="L831" s="24" t="s">
        <v>3220</v>
      </c>
      <c r="M831" s="24" t="s">
        <v>265</v>
      </c>
      <c r="P831" s="377" t="s">
        <v>2487</v>
      </c>
      <c r="Q831" s="24" t="s">
        <v>3268</v>
      </c>
      <c r="S831" s="24" t="s">
        <v>601</v>
      </c>
      <c r="T831" s="24" t="s">
        <v>103</v>
      </c>
      <c r="U831" s="29">
        <v>46094</v>
      </c>
      <c r="V831" s="29">
        <v>46094</v>
      </c>
    </row>
    <row r="832" spans="1:45" s="47" customFormat="1" ht="15" customHeight="1">
      <c r="A832" s="3" t="s">
        <v>140</v>
      </c>
      <c r="B832" s="3" t="s">
        <v>236</v>
      </c>
      <c r="C832" s="103" t="str">
        <f>IF(ISBLANK(B832),"",_xlfn.XLOOKUP(B832,Recruiter!A:A,Recruiter!B:B))</f>
        <v>Pooja</v>
      </c>
      <c r="D832" s="103" t="str">
        <f>IF(ISBLANK(A832),"",_xlfn.XLOOKUP(A832,'Requirement Overview'!C:C,'Requirement Overview'!E:E))</f>
        <v>Talme</v>
      </c>
      <c r="E832" s="103" t="str">
        <f>IF(ISBLANK(A832),"",_xlfn.XLOOKUP(A832,'Requirement Overview'!C:C,'Requirement Overview'!H:H))</f>
        <v>Non - IT</v>
      </c>
      <c r="F832" s="77" t="str">
        <f>IF(ISBLANK(A832),"",_xlfn.XLOOKUP(A832,'Requirement Overview'!C:C,'Requirement Overview'!I:I))</f>
        <v>Production Operator</v>
      </c>
      <c r="G832" s="58" t="str">
        <f>IF(ISBLANK(A832),"",_xlfn.XLOOKUP(A832,'Requirement Overview'!C:C,'Requirement Overview'!G:G))</f>
        <v>Micron</v>
      </c>
      <c r="H832" s="299" t="s">
        <v>3315</v>
      </c>
      <c r="I832" s="3" t="s">
        <v>519</v>
      </c>
      <c r="J832" s="77"/>
      <c r="K832" s="3"/>
      <c r="L832" s="3" t="s">
        <v>733</v>
      </c>
      <c r="M832" s="3" t="s">
        <v>306</v>
      </c>
      <c r="N832" s="3"/>
      <c r="O832" s="3"/>
      <c r="P832" s="3" t="s">
        <v>3316</v>
      </c>
      <c r="Q832" s="3" t="s">
        <v>3268</v>
      </c>
      <c r="R832" s="3"/>
      <c r="S832" s="3" t="s">
        <v>375</v>
      </c>
      <c r="T832" s="3" t="s">
        <v>103</v>
      </c>
      <c r="U832" s="55">
        <v>46090</v>
      </c>
      <c r="V832" s="55">
        <v>46090</v>
      </c>
      <c r="W832" s="3"/>
      <c r="X832" s="379">
        <v>46097</v>
      </c>
      <c r="Y832" s="378"/>
      <c r="AL832" s="80"/>
      <c r="AM832" s="80"/>
      <c r="AS832" s="80"/>
    </row>
    <row r="833" spans="1:25" ht="15" customHeight="1">
      <c r="A833" s="3" t="s">
        <v>140</v>
      </c>
      <c r="B833" s="3" t="s">
        <v>236</v>
      </c>
      <c r="C833" s="103" t="str">
        <f>IF(ISBLANK(B833),"",_xlfn.XLOOKUP(B833,Recruiter!A:A,Recruiter!B:B))</f>
        <v>Pooja</v>
      </c>
      <c r="D833" s="103" t="str">
        <f>IF(ISBLANK(A833),"",_xlfn.XLOOKUP(A833,'Requirement Overview'!C:C,'Requirement Overview'!E:E))</f>
        <v>Talme</v>
      </c>
      <c r="E833" s="103" t="str">
        <f>IF(ISBLANK(A833),"",_xlfn.XLOOKUP(A833,'Requirement Overview'!C:C,'Requirement Overview'!H:H))</f>
        <v>Non - IT</v>
      </c>
      <c r="F833" s="77" t="str">
        <f>IF(ISBLANK(A833),"",_xlfn.XLOOKUP(A833,'Requirement Overview'!C:C,'Requirement Overview'!I:I))</f>
        <v>Production Operator</v>
      </c>
      <c r="G833" s="58" t="str">
        <f>IF(ISBLANK(A833),"",_xlfn.XLOOKUP(A833,'Requirement Overview'!C:C,'Requirement Overview'!G:G))</f>
        <v>Micron</v>
      </c>
      <c r="H833" s="299" t="s">
        <v>3317</v>
      </c>
      <c r="I833" s="3" t="s">
        <v>519</v>
      </c>
      <c r="J833" s="77"/>
      <c r="K833" s="3"/>
      <c r="L833" s="3" t="s">
        <v>733</v>
      </c>
      <c r="M833" s="3" t="s">
        <v>1275</v>
      </c>
      <c r="N833" s="3"/>
      <c r="O833" s="3"/>
      <c r="P833" s="3" t="s">
        <v>3268</v>
      </c>
      <c r="Q833" s="3" t="s">
        <v>3268</v>
      </c>
      <c r="R833" s="3"/>
      <c r="S833" s="3" t="s">
        <v>375</v>
      </c>
      <c r="T833" s="3" t="s">
        <v>103</v>
      </c>
      <c r="U833" s="55">
        <v>46090</v>
      </c>
      <c r="V833" s="55">
        <v>46090</v>
      </c>
      <c r="W833" s="3"/>
      <c r="X833" s="381">
        <v>46097</v>
      </c>
      <c r="Y833" s="380"/>
    </row>
    <row r="834" spans="1:25" ht="15" customHeight="1">
      <c r="A834" s="3" t="s">
        <v>140</v>
      </c>
      <c r="B834" s="3" t="s">
        <v>236</v>
      </c>
      <c r="C834" s="103" t="str">
        <f>IF(ISBLANK(B834),"",_xlfn.XLOOKUP(B834,Recruiter!A:A,Recruiter!B:B))</f>
        <v>Pooja</v>
      </c>
      <c r="D834" s="103" t="str">
        <f>IF(ISBLANK(A834),"",_xlfn.XLOOKUP(A834,'Requirement Overview'!C:C,'Requirement Overview'!E:E))</f>
        <v>Talme</v>
      </c>
      <c r="E834" s="103" t="str">
        <f>IF(ISBLANK(A834),"",_xlfn.XLOOKUP(A834,'Requirement Overview'!C:C,'Requirement Overview'!H:H))</f>
        <v>Non - IT</v>
      </c>
      <c r="F834" s="77" t="str">
        <f>IF(ISBLANK(A834),"",_xlfn.XLOOKUP(A834,'Requirement Overview'!C:C,'Requirement Overview'!I:I))</f>
        <v>Production Operator</v>
      </c>
      <c r="G834" s="62" t="str">
        <f>IF(ISBLANK(A834),"",_xlfn.XLOOKUP(A834,'Requirement Overview'!C:C,'Requirement Overview'!G:G))</f>
        <v>Micron</v>
      </c>
      <c r="H834" s="299" t="s">
        <v>3318</v>
      </c>
      <c r="I834" s="3" t="s">
        <v>497</v>
      </c>
      <c r="J834" s="77"/>
      <c r="K834" s="3"/>
      <c r="L834" s="3" t="s">
        <v>733</v>
      </c>
      <c r="M834" s="3" t="s">
        <v>566</v>
      </c>
      <c r="N834" s="3"/>
      <c r="O834" s="3"/>
      <c r="P834" s="3" t="s">
        <v>1684</v>
      </c>
      <c r="Q834" s="3" t="s">
        <v>3268</v>
      </c>
      <c r="R834" s="3"/>
      <c r="S834" s="3" t="s">
        <v>375</v>
      </c>
      <c r="T834" s="3" t="s">
        <v>103</v>
      </c>
      <c r="U834" s="55">
        <v>46090</v>
      </c>
      <c r="V834" s="55">
        <v>46090</v>
      </c>
      <c r="W834" s="3"/>
      <c r="X834" s="381">
        <v>46097</v>
      </c>
      <c r="Y834" s="380"/>
    </row>
    <row r="835" spans="1:25" ht="15" customHeight="1">
      <c r="A835" s="3" t="s">
        <v>140</v>
      </c>
      <c r="B835" s="3" t="s">
        <v>236</v>
      </c>
      <c r="C835" s="103" t="str">
        <f>IF(ISBLANK(B835),"",_xlfn.XLOOKUP(B835,Recruiter!A:A,Recruiter!B:B))</f>
        <v>Pooja</v>
      </c>
      <c r="D835" s="103" t="str">
        <f>IF(ISBLANK(A835),"",_xlfn.XLOOKUP(A835,'Requirement Overview'!C:C,'Requirement Overview'!E:E))</f>
        <v>Talme</v>
      </c>
      <c r="E835" s="103" t="str">
        <f>IF(ISBLANK(A835),"",_xlfn.XLOOKUP(A835,'Requirement Overview'!C:C,'Requirement Overview'!H:H))</f>
        <v>Non - IT</v>
      </c>
      <c r="F835" s="77" t="str">
        <f>IF(ISBLANK(A835),"",_xlfn.XLOOKUP(A835,'Requirement Overview'!C:C,'Requirement Overview'!I:I))</f>
        <v>Production Operator</v>
      </c>
      <c r="G835" s="24" t="str">
        <f>IF(ISBLANK(A835),"",_xlfn.XLOOKUP(A835,'Requirement Overview'!C:C,'Requirement Overview'!G:G))</f>
        <v>Micron</v>
      </c>
      <c r="H835" s="299" t="s">
        <v>3319</v>
      </c>
      <c r="I835" s="3" t="s">
        <v>262</v>
      </c>
      <c r="J835" s="77"/>
      <c r="K835" s="3"/>
      <c r="L835" s="3" t="s">
        <v>733</v>
      </c>
      <c r="M835" s="3" t="s">
        <v>306</v>
      </c>
      <c r="N835" s="3"/>
      <c r="O835" s="3"/>
      <c r="P835" s="3" t="s">
        <v>3320</v>
      </c>
      <c r="Q835" s="3" t="s">
        <v>3268</v>
      </c>
      <c r="R835" s="3"/>
      <c r="S835" s="3" t="s">
        <v>375</v>
      </c>
      <c r="T835" s="3" t="s">
        <v>103</v>
      </c>
      <c r="U835" s="55">
        <v>46090</v>
      </c>
      <c r="V835" s="55">
        <v>46090</v>
      </c>
      <c r="W835" s="3"/>
      <c r="X835" s="381">
        <v>46097</v>
      </c>
      <c r="Y835" s="380"/>
    </row>
    <row r="836" spans="1:25" ht="15" customHeight="1">
      <c r="A836" s="3" t="s">
        <v>140</v>
      </c>
      <c r="B836" s="3" t="s">
        <v>236</v>
      </c>
      <c r="C836" s="103" t="str">
        <f>IF(ISBLANK(B836),"",_xlfn.XLOOKUP(B836,Recruiter!A:A,Recruiter!B:B))</f>
        <v>Pooja</v>
      </c>
      <c r="D836" s="103" t="str">
        <f>IF(ISBLANK(A836),"",_xlfn.XLOOKUP(A836,'Requirement Overview'!C:C,'Requirement Overview'!E:E))</f>
        <v>Talme</v>
      </c>
      <c r="E836" s="103" t="str">
        <f>IF(ISBLANK(A836),"",_xlfn.XLOOKUP(A836,'Requirement Overview'!C:C,'Requirement Overview'!H:H))</f>
        <v>Non - IT</v>
      </c>
      <c r="F836" s="77" t="str">
        <f>IF(ISBLANK(A836),"",_xlfn.XLOOKUP(A836,'Requirement Overview'!C:C,'Requirement Overview'!I:I))</f>
        <v>Production Operator</v>
      </c>
      <c r="G836" s="24" t="str">
        <f>IF(ISBLANK(A836),"",_xlfn.XLOOKUP(A836,'Requirement Overview'!C:C,'Requirement Overview'!G:G))</f>
        <v>Micron</v>
      </c>
      <c r="H836" s="299" t="s">
        <v>3321</v>
      </c>
      <c r="I836" s="3" t="s">
        <v>519</v>
      </c>
      <c r="J836" s="77"/>
      <c r="K836" s="3"/>
      <c r="L836" s="3" t="s">
        <v>3322</v>
      </c>
      <c r="M836" s="3" t="s">
        <v>1275</v>
      </c>
      <c r="N836" s="3"/>
      <c r="O836" s="3"/>
      <c r="P836" s="3" t="s">
        <v>1702</v>
      </c>
      <c r="Q836" s="3" t="s">
        <v>3268</v>
      </c>
      <c r="R836" s="3"/>
      <c r="S836" s="3" t="s">
        <v>375</v>
      </c>
      <c r="T836" s="3" t="s">
        <v>103</v>
      </c>
      <c r="U836" s="55">
        <v>46090</v>
      </c>
      <c r="V836" s="55">
        <v>46090</v>
      </c>
      <c r="W836" s="3"/>
      <c r="X836" s="381">
        <v>46097</v>
      </c>
      <c r="Y836" s="380"/>
    </row>
    <row r="837" spans="1:25" ht="15" customHeight="1">
      <c r="A837" s="3" t="s">
        <v>140</v>
      </c>
      <c r="B837" s="3" t="s">
        <v>236</v>
      </c>
      <c r="C837" s="103" t="str">
        <f>IF(ISBLANK(B837),"",_xlfn.XLOOKUP(B837,Recruiter!A:A,Recruiter!B:B))</f>
        <v>Pooja</v>
      </c>
      <c r="D837" s="103" t="str">
        <f>IF(ISBLANK(A837),"",_xlfn.XLOOKUP(A837,'Requirement Overview'!C:C,'Requirement Overview'!E:E))</f>
        <v>Talme</v>
      </c>
      <c r="E837" s="103" t="str">
        <f>IF(ISBLANK(A837),"",_xlfn.XLOOKUP(A837,'Requirement Overview'!C:C,'Requirement Overview'!H:H))</f>
        <v>Non - IT</v>
      </c>
      <c r="F837" s="77" t="str">
        <f>IF(ISBLANK(A837),"",_xlfn.XLOOKUP(A837,'Requirement Overview'!C:C,'Requirement Overview'!I:I))</f>
        <v>Production Operator</v>
      </c>
      <c r="G837" s="24" t="str">
        <f>IF(ISBLANK(A837),"",_xlfn.XLOOKUP(A837,'Requirement Overview'!C:C,'Requirement Overview'!G:G))</f>
        <v>Micron</v>
      </c>
      <c r="H837" s="266" t="s">
        <v>3323</v>
      </c>
      <c r="I837" s="3" t="s">
        <v>497</v>
      </c>
      <c r="J837" s="77"/>
      <c r="K837" s="3"/>
      <c r="L837" s="3" t="s">
        <v>3324</v>
      </c>
      <c r="M837" s="3" t="s">
        <v>923</v>
      </c>
      <c r="N837" s="3"/>
      <c r="O837" s="3"/>
      <c r="P837" s="3" t="s">
        <v>879</v>
      </c>
      <c r="Q837" s="3" t="s">
        <v>3268</v>
      </c>
      <c r="R837" s="3"/>
      <c r="S837" s="3" t="s">
        <v>375</v>
      </c>
      <c r="T837" s="3" t="s">
        <v>103</v>
      </c>
      <c r="U837" s="55">
        <v>46091</v>
      </c>
      <c r="V837" s="55">
        <v>46091</v>
      </c>
      <c r="W837" s="3"/>
      <c r="X837" s="381">
        <v>46097</v>
      </c>
      <c r="Y837" s="380"/>
    </row>
    <row r="838" spans="1:25" ht="15" customHeight="1">
      <c r="A838" s="3" t="s">
        <v>140</v>
      </c>
      <c r="B838" s="3" t="s">
        <v>236</v>
      </c>
      <c r="C838" s="103" t="str">
        <f>IF(ISBLANK(B838),"",_xlfn.XLOOKUP(B838,Recruiter!A:A,Recruiter!B:B))</f>
        <v>Pooja</v>
      </c>
      <c r="D838" s="103" t="str">
        <f>IF(ISBLANK(A838),"",_xlfn.XLOOKUP(A838,'Requirement Overview'!C:C,'Requirement Overview'!E:E))</f>
        <v>Talme</v>
      </c>
      <c r="E838" s="103" t="str">
        <f>IF(ISBLANK(A838),"",_xlfn.XLOOKUP(A838,'Requirement Overview'!C:C,'Requirement Overview'!H:H))</f>
        <v>Non - IT</v>
      </c>
      <c r="F838" s="77" t="str">
        <f>IF(ISBLANK(A838),"",_xlfn.XLOOKUP(A838,'Requirement Overview'!C:C,'Requirement Overview'!I:I))</f>
        <v>Production Operator</v>
      </c>
      <c r="G838" s="255" t="str">
        <f>IF(ISBLANK(A838),"",_xlfn.XLOOKUP(A838,'Requirement Overview'!C:C,'Requirement Overview'!G:G))</f>
        <v>Micron</v>
      </c>
      <c r="H838" s="266" t="s">
        <v>3325</v>
      </c>
      <c r="I838" s="3" t="s">
        <v>262</v>
      </c>
      <c r="J838" s="77"/>
      <c r="K838" s="3"/>
      <c r="L838" s="3" t="s">
        <v>3322</v>
      </c>
      <c r="M838" s="3" t="s">
        <v>647</v>
      </c>
      <c r="N838" s="3"/>
      <c r="O838" s="3"/>
      <c r="P838" s="3" t="s">
        <v>1243</v>
      </c>
      <c r="Q838" s="3" t="s">
        <v>3268</v>
      </c>
      <c r="R838" s="3"/>
      <c r="S838" s="3" t="s">
        <v>375</v>
      </c>
      <c r="T838" s="3" t="s">
        <v>103</v>
      </c>
      <c r="U838" s="55">
        <v>46091</v>
      </c>
      <c r="V838" s="55">
        <v>46091</v>
      </c>
      <c r="W838" s="3"/>
      <c r="X838" s="381">
        <v>46097</v>
      </c>
      <c r="Y838" s="380"/>
    </row>
    <row r="839" spans="1:25" ht="15" customHeight="1">
      <c r="A839" s="3" t="s">
        <v>140</v>
      </c>
      <c r="B839" s="3" t="s">
        <v>236</v>
      </c>
      <c r="C839" s="103" t="str">
        <f>IF(ISBLANK(B839),"",_xlfn.XLOOKUP(B839,Recruiter!A:A,Recruiter!B:B))</f>
        <v>Pooja</v>
      </c>
      <c r="D839" s="103" t="str">
        <f>IF(ISBLANK(A839),"",_xlfn.XLOOKUP(A839,'Requirement Overview'!C:C,'Requirement Overview'!E:E))</f>
        <v>Talme</v>
      </c>
      <c r="E839" s="103" t="str">
        <f>IF(ISBLANK(A839),"",_xlfn.XLOOKUP(A839,'Requirement Overview'!C:C,'Requirement Overview'!H:H))</f>
        <v>Non - IT</v>
      </c>
      <c r="F839" s="77" t="str">
        <f>IF(ISBLANK(A839),"",_xlfn.XLOOKUP(A839,'Requirement Overview'!C:C,'Requirement Overview'!I:I))</f>
        <v>Production Operator</v>
      </c>
      <c r="G839" s="58" t="str">
        <f>IF(ISBLANK(A839),"",_xlfn.XLOOKUP(A839,'Requirement Overview'!C:C,'Requirement Overview'!G:G))</f>
        <v>Micron</v>
      </c>
      <c r="H839" s="299" t="s">
        <v>3326</v>
      </c>
      <c r="I839" s="3" t="s">
        <v>262</v>
      </c>
      <c r="J839" s="77"/>
      <c r="K839" s="3"/>
      <c r="L839" s="3" t="s">
        <v>3322</v>
      </c>
      <c r="M839" s="3" t="s">
        <v>3327</v>
      </c>
      <c r="N839" s="3"/>
      <c r="O839" s="3"/>
      <c r="P839" s="3" t="s">
        <v>1724</v>
      </c>
      <c r="Q839" s="3" t="s">
        <v>3268</v>
      </c>
      <c r="R839" s="3"/>
      <c r="S839" s="3" t="s">
        <v>375</v>
      </c>
      <c r="T839" s="3" t="s">
        <v>103</v>
      </c>
      <c r="U839" s="55">
        <v>46091</v>
      </c>
      <c r="V839" s="55">
        <v>46091</v>
      </c>
      <c r="W839" s="3"/>
      <c r="X839" s="381">
        <v>46097</v>
      </c>
      <c r="Y839" s="380"/>
    </row>
    <row r="840" spans="1:25" ht="15" customHeight="1">
      <c r="A840" s="3" t="s">
        <v>140</v>
      </c>
      <c r="B840" s="3" t="s">
        <v>236</v>
      </c>
      <c r="C840" s="103" t="str">
        <f>IF(ISBLANK(B840),"",_xlfn.XLOOKUP(B840,Recruiter!A:A,Recruiter!B:B))</f>
        <v>Pooja</v>
      </c>
      <c r="D840" s="103" t="str">
        <f>IF(ISBLANK(A840),"",_xlfn.XLOOKUP(A840,'Requirement Overview'!C:C,'Requirement Overview'!E:E))</f>
        <v>Talme</v>
      </c>
      <c r="E840" s="103" t="str">
        <f>IF(ISBLANK(A840),"",_xlfn.XLOOKUP(A840,'Requirement Overview'!C:C,'Requirement Overview'!H:H))</f>
        <v>Non - IT</v>
      </c>
      <c r="F840" s="77" t="str">
        <f>IF(ISBLANK(A840),"",_xlfn.XLOOKUP(A840,'Requirement Overview'!C:C,'Requirement Overview'!I:I))</f>
        <v>Production Operator</v>
      </c>
      <c r="G840" s="58" t="str">
        <f>IF(ISBLANK(A840),"",_xlfn.XLOOKUP(A840,'Requirement Overview'!C:C,'Requirement Overview'!G:G))</f>
        <v>Micron</v>
      </c>
      <c r="H840" s="3" t="s">
        <v>3328</v>
      </c>
      <c r="I840" s="3" t="s">
        <v>519</v>
      </c>
      <c r="J840" s="77"/>
      <c r="K840" s="3"/>
      <c r="L840" s="3" t="s">
        <v>733</v>
      </c>
      <c r="M840" s="3" t="s">
        <v>566</v>
      </c>
      <c r="N840" s="3"/>
      <c r="O840" s="3"/>
      <c r="P840" s="3" t="s">
        <v>1221</v>
      </c>
      <c r="Q840" s="3" t="s">
        <v>3268</v>
      </c>
      <c r="R840" s="3"/>
      <c r="S840" s="3" t="s">
        <v>375</v>
      </c>
      <c r="T840" s="3" t="s">
        <v>103</v>
      </c>
      <c r="U840" s="55">
        <v>46091</v>
      </c>
      <c r="V840" s="55">
        <v>46091</v>
      </c>
      <c r="W840" s="3"/>
      <c r="X840" s="381">
        <v>46097</v>
      </c>
      <c r="Y840" s="380"/>
    </row>
    <row r="841" spans="1:25" ht="15" customHeight="1">
      <c r="A841" s="3" t="s">
        <v>140</v>
      </c>
      <c r="B841" s="3" t="s">
        <v>236</v>
      </c>
      <c r="C841" s="103" t="str">
        <f>IF(ISBLANK(B841),"",_xlfn.XLOOKUP(B841,Recruiter!A:A,Recruiter!B:B))</f>
        <v>Pooja</v>
      </c>
      <c r="D841" s="103" t="str">
        <f>IF(ISBLANK(A841),"",_xlfn.XLOOKUP(A841,'Requirement Overview'!C:C,'Requirement Overview'!E:E))</f>
        <v>Talme</v>
      </c>
      <c r="E841" s="103" t="str">
        <f>IF(ISBLANK(A841),"",_xlfn.XLOOKUP(A841,'Requirement Overview'!C:C,'Requirement Overview'!H:H))</f>
        <v>Non - IT</v>
      </c>
      <c r="F841" s="77" t="str">
        <f>IF(ISBLANK(A841),"",_xlfn.XLOOKUP(A841,'Requirement Overview'!C:C,'Requirement Overview'!I:I))</f>
        <v>Production Operator</v>
      </c>
      <c r="G841" s="58" t="str">
        <f>IF(ISBLANK(A841),"",_xlfn.XLOOKUP(A841,'Requirement Overview'!C:C,'Requirement Overview'!G:G))</f>
        <v>Micron</v>
      </c>
      <c r="H841" s="266" t="s">
        <v>3329</v>
      </c>
      <c r="I841" s="3" t="s">
        <v>262</v>
      </c>
      <c r="J841" s="77"/>
      <c r="K841" s="3"/>
      <c r="L841" s="3" t="s">
        <v>3322</v>
      </c>
      <c r="M841" s="3" t="s">
        <v>1253</v>
      </c>
      <c r="N841" s="3"/>
      <c r="O841" s="3"/>
      <c r="P841" s="3" t="s">
        <v>3330</v>
      </c>
      <c r="Q841" s="3" t="s">
        <v>3268</v>
      </c>
      <c r="R841" s="3"/>
      <c r="S841" s="3" t="s">
        <v>375</v>
      </c>
      <c r="T841" s="3" t="s">
        <v>103</v>
      </c>
      <c r="U841" s="55">
        <v>46092</v>
      </c>
      <c r="V841" s="384">
        <v>46092</v>
      </c>
      <c r="W841" s="3"/>
      <c r="X841" s="381">
        <v>46097</v>
      </c>
      <c r="Y841" s="380"/>
    </row>
    <row r="842" spans="1:25" ht="15" customHeight="1">
      <c r="A842" s="3" t="s">
        <v>140</v>
      </c>
      <c r="B842" s="3" t="s">
        <v>236</v>
      </c>
      <c r="C842" s="103" t="str">
        <f>IF(ISBLANK(B842),"",_xlfn.XLOOKUP(B842,Recruiter!A:A,Recruiter!B:B))</f>
        <v>Pooja</v>
      </c>
      <c r="D842" s="103" t="str">
        <f>IF(ISBLANK(A842),"",_xlfn.XLOOKUP(A842,'Requirement Overview'!C:C,'Requirement Overview'!E:E))</f>
        <v>Talme</v>
      </c>
      <c r="E842" s="103" t="str">
        <f>IF(ISBLANK(A842),"",_xlfn.XLOOKUP(A842,'Requirement Overview'!C:C,'Requirement Overview'!H:H))</f>
        <v>Non - IT</v>
      </c>
      <c r="F842" s="77" t="str">
        <f>IF(ISBLANK(A842),"",_xlfn.XLOOKUP(A842,'Requirement Overview'!C:C,'Requirement Overview'!I:I))</f>
        <v>Production Operator</v>
      </c>
      <c r="G842" s="58" t="str">
        <f>IF(ISBLANK(A842),"",_xlfn.XLOOKUP(A842,'Requirement Overview'!C:C,'Requirement Overview'!G:G))</f>
        <v>Micron</v>
      </c>
      <c r="H842" s="3" t="s">
        <v>3331</v>
      </c>
      <c r="I842" s="3" t="s">
        <v>262</v>
      </c>
      <c r="J842" s="77"/>
      <c r="K842" s="3"/>
      <c r="L842" s="3" t="s">
        <v>733</v>
      </c>
      <c r="M842" s="3" t="s">
        <v>1253</v>
      </c>
      <c r="N842" s="3"/>
      <c r="O842" s="3"/>
      <c r="P842" s="3" t="s">
        <v>3332</v>
      </c>
      <c r="Q842" s="3" t="s">
        <v>3268</v>
      </c>
      <c r="R842" s="3"/>
      <c r="S842" s="3" t="s">
        <v>375</v>
      </c>
      <c r="T842" s="3" t="s">
        <v>103</v>
      </c>
      <c r="U842" s="55">
        <v>46092</v>
      </c>
      <c r="V842" s="55">
        <v>46092</v>
      </c>
      <c r="W842" s="3"/>
      <c r="X842" s="381">
        <v>46097</v>
      </c>
      <c r="Y842" s="380"/>
    </row>
    <row r="843" spans="1:25" ht="15" customHeight="1">
      <c r="A843" s="3" t="s">
        <v>140</v>
      </c>
      <c r="B843" s="3" t="s">
        <v>236</v>
      </c>
      <c r="C843" s="103" t="str">
        <f>IF(ISBLANK(B843),"",_xlfn.XLOOKUP(B843,Recruiter!A:A,Recruiter!B:B))</f>
        <v>Pooja</v>
      </c>
      <c r="D843" s="103" t="str">
        <f>IF(ISBLANK(A843),"",_xlfn.XLOOKUP(A843,'Requirement Overview'!C:C,'Requirement Overview'!E:E))</f>
        <v>Talme</v>
      </c>
      <c r="E843" s="103" t="str">
        <f>IF(ISBLANK(A843),"",_xlfn.XLOOKUP(A843,'Requirement Overview'!C:C,'Requirement Overview'!H:H))</f>
        <v>Non - IT</v>
      </c>
      <c r="F843" s="77" t="str">
        <f>IF(ISBLANK(A843),"",_xlfn.XLOOKUP(A843,'Requirement Overview'!C:C,'Requirement Overview'!I:I))</f>
        <v>Production Operator</v>
      </c>
      <c r="G843" s="58" t="str">
        <f>IF(ISBLANK(A843),"",_xlfn.XLOOKUP(A843,'Requirement Overview'!C:C,'Requirement Overview'!G:G))</f>
        <v>Micron</v>
      </c>
      <c r="H843" s="266" t="s">
        <v>3333</v>
      </c>
      <c r="I843" s="3" t="s">
        <v>262</v>
      </c>
      <c r="J843" s="77"/>
      <c r="K843" s="3"/>
      <c r="L843" s="3" t="s">
        <v>733</v>
      </c>
      <c r="M843" s="3" t="s">
        <v>3334</v>
      </c>
      <c r="N843" s="3"/>
      <c r="O843" s="3"/>
      <c r="P843" s="3" t="s">
        <v>3335</v>
      </c>
      <c r="Q843" s="3" t="s">
        <v>3268</v>
      </c>
      <c r="R843" s="3"/>
      <c r="S843" s="3" t="s">
        <v>375</v>
      </c>
      <c r="T843" s="3" t="s">
        <v>103</v>
      </c>
      <c r="U843" s="55">
        <v>46092</v>
      </c>
      <c r="V843" s="55">
        <v>46092</v>
      </c>
      <c r="W843" s="3"/>
      <c r="X843" s="381">
        <v>46097</v>
      </c>
      <c r="Y843" s="380"/>
    </row>
    <row r="844" spans="1:25" ht="15" customHeight="1">
      <c r="A844" s="3" t="s">
        <v>140</v>
      </c>
      <c r="B844" s="3" t="s">
        <v>236</v>
      </c>
      <c r="C844" s="103" t="str">
        <f>IF(ISBLANK(B844),"",_xlfn.XLOOKUP(B844,Recruiter!A:A,Recruiter!B:B))</f>
        <v>Pooja</v>
      </c>
      <c r="D844" s="103" t="str">
        <f>IF(ISBLANK(A844),"",_xlfn.XLOOKUP(A844,'Requirement Overview'!C:C,'Requirement Overview'!E:E))</f>
        <v>Talme</v>
      </c>
      <c r="E844" s="103" t="str">
        <f>IF(ISBLANK(A844),"",_xlfn.XLOOKUP(A844,'Requirement Overview'!C:C,'Requirement Overview'!H:H))</f>
        <v>Non - IT</v>
      </c>
      <c r="F844" s="77" t="str">
        <f>IF(ISBLANK(A844),"",_xlfn.XLOOKUP(A844,'Requirement Overview'!C:C,'Requirement Overview'!I:I))</f>
        <v>Production Operator</v>
      </c>
      <c r="G844" s="58" t="str">
        <f>IF(ISBLANK(A844),"",_xlfn.XLOOKUP(A844,'Requirement Overview'!C:C,'Requirement Overview'!G:G))</f>
        <v>Micron</v>
      </c>
      <c r="H844" s="266" t="s">
        <v>3336</v>
      </c>
      <c r="I844" s="3" t="s">
        <v>497</v>
      </c>
      <c r="J844" s="77"/>
      <c r="K844" s="3"/>
      <c r="L844" s="3" t="s">
        <v>733</v>
      </c>
      <c r="M844" s="3" t="s">
        <v>3337</v>
      </c>
      <c r="N844" s="3"/>
      <c r="O844" s="3"/>
      <c r="P844" s="3" t="s">
        <v>3338</v>
      </c>
      <c r="Q844" s="3" t="s">
        <v>3268</v>
      </c>
      <c r="R844" s="3"/>
      <c r="S844" s="3" t="s">
        <v>375</v>
      </c>
      <c r="T844" s="3" t="s">
        <v>103</v>
      </c>
      <c r="U844" s="55">
        <v>46092</v>
      </c>
      <c r="V844" s="55">
        <v>46092</v>
      </c>
      <c r="W844" s="3"/>
      <c r="X844" s="381">
        <v>46097</v>
      </c>
      <c r="Y844" s="380"/>
    </row>
    <row r="845" spans="1:25" ht="15" customHeight="1">
      <c r="A845" s="3" t="s">
        <v>140</v>
      </c>
      <c r="B845" s="3" t="s">
        <v>236</v>
      </c>
      <c r="C845" s="103" t="str">
        <f>IF(ISBLANK(B845),"",_xlfn.XLOOKUP(B845,Recruiter!A:A,Recruiter!B:B))</f>
        <v>Pooja</v>
      </c>
      <c r="D845" s="103" t="str">
        <f>IF(ISBLANK(A845),"",_xlfn.XLOOKUP(A845,'Requirement Overview'!C:C,'Requirement Overview'!E:E))</f>
        <v>Talme</v>
      </c>
      <c r="E845" s="103" t="str">
        <f>IF(ISBLANK(A845),"",_xlfn.XLOOKUP(A845,'Requirement Overview'!C:C,'Requirement Overview'!H:H))</f>
        <v>Non - IT</v>
      </c>
      <c r="F845" s="77" t="str">
        <f>IF(ISBLANK(A845),"",_xlfn.XLOOKUP(A845,'Requirement Overview'!C:C,'Requirement Overview'!I:I))</f>
        <v>Production Operator</v>
      </c>
      <c r="G845" s="58" t="str">
        <f>IF(ISBLANK(A845),"",_xlfn.XLOOKUP(A845,'Requirement Overview'!C:C,'Requirement Overview'!G:G))</f>
        <v>Micron</v>
      </c>
      <c r="H845" s="266" t="s">
        <v>3339</v>
      </c>
      <c r="I845" s="3" t="s">
        <v>3340</v>
      </c>
      <c r="J845" s="77"/>
      <c r="K845" s="3"/>
      <c r="L845" s="3" t="s">
        <v>3322</v>
      </c>
      <c r="M845" s="3" t="s">
        <v>1253</v>
      </c>
      <c r="N845" s="3"/>
      <c r="O845" s="3"/>
      <c r="P845" s="3" t="s">
        <v>3335</v>
      </c>
      <c r="Q845" s="3" t="s">
        <v>3268</v>
      </c>
      <c r="R845" s="3"/>
      <c r="S845" s="3" t="s">
        <v>375</v>
      </c>
      <c r="T845" s="3" t="s">
        <v>103</v>
      </c>
      <c r="U845" s="55">
        <v>46092</v>
      </c>
      <c r="V845" s="55">
        <v>46092</v>
      </c>
      <c r="W845" s="3"/>
      <c r="X845" s="381">
        <v>46097</v>
      </c>
      <c r="Y845" s="380"/>
    </row>
    <row r="846" spans="1:25" ht="15" customHeight="1">
      <c r="A846" s="3" t="s">
        <v>140</v>
      </c>
      <c r="B846" s="3" t="s">
        <v>236</v>
      </c>
      <c r="C846" s="103" t="str">
        <f>IF(ISBLANK(B846),"",_xlfn.XLOOKUP(B846,Recruiter!A:A,Recruiter!B:B))</f>
        <v>Pooja</v>
      </c>
      <c r="D846" s="103" t="str">
        <f>IF(ISBLANK(A846),"",_xlfn.XLOOKUP(A846,'Requirement Overview'!C:C,'Requirement Overview'!E:E))</f>
        <v>Talme</v>
      </c>
      <c r="E846" s="103" t="str">
        <f>IF(ISBLANK(A846),"",_xlfn.XLOOKUP(A846,'Requirement Overview'!C:C,'Requirement Overview'!H:H))</f>
        <v>Non - IT</v>
      </c>
      <c r="F846" s="77" t="str">
        <f>IF(ISBLANK(A846),"",_xlfn.XLOOKUP(A846,'Requirement Overview'!C:C,'Requirement Overview'!I:I))</f>
        <v>Production Operator</v>
      </c>
      <c r="G846" s="58" t="str">
        <f>IF(ISBLANK(A846),"",_xlfn.XLOOKUP(A846,'Requirement Overview'!C:C,'Requirement Overview'!G:G))</f>
        <v>Micron</v>
      </c>
      <c r="H846" s="266" t="s">
        <v>3341</v>
      </c>
      <c r="I846" s="3" t="s">
        <v>262</v>
      </c>
      <c r="J846" s="77"/>
      <c r="K846" s="3"/>
      <c r="L846" s="3" t="s">
        <v>733</v>
      </c>
      <c r="M846" s="3" t="s">
        <v>3342</v>
      </c>
      <c r="N846" s="3"/>
      <c r="O846" s="3"/>
      <c r="P846" s="3" t="s">
        <v>3234</v>
      </c>
      <c r="Q846" s="3" t="s">
        <v>3268</v>
      </c>
      <c r="R846" s="3"/>
      <c r="S846" s="3" t="s">
        <v>375</v>
      </c>
      <c r="T846" s="3" t="s">
        <v>103</v>
      </c>
      <c r="U846" s="55">
        <v>46092</v>
      </c>
      <c r="V846" s="55">
        <v>46092</v>
      </c>
      <c r="W846" s="3"/>
      <c r="X846" s="381">
        <v>46097</v>
      </c>
      <c r="Y846" s="380"/>
    </row>
    <row r="847" spans="1:25" ht="15" customHeight="1">
      <c r="A847" s="3" t="s">
        <v>140</v>
      </c>
      <c r="B847" s="3" t="s">
        <v>236</v>
      </c>
      <c r="C847" s="103" t="str">
        <f>IF(ISBLANK(B847),"",_xlfn.XLOOKUP(B847,Recruiter!A:A,Recruiter!B:B))</f>
        <v>Pooja</v>
      </c>
      <c r="D847" s="103" t="str">
        <f>IF(ISBLANK(A847),"",_xlfn.XLOOKUP(A847,'Requirement Overview'!C:C,'Requirement Overview'!E:E))</f>
        <v>Talme</v>
      </c>
      <c r="E847" s="103" t="str">
        <f>IF(ISBLANK(A847),"",_xlfn.XLOOKUP(A847,'Requirement Overview'!C:C,'Requirement Overview'!H:H))</f>
        <v>Non - IT</v>
      </c>
      <c r="F847" s="77" t="str">
        <f>IF(ISBLANK(A847),"",_xlfn.XLOOKUP(A847,'Requirement Overview'!C:C,'Requirement Overview'!I:I))</f>
        <v>Production Operator</v>
      </c>
      <c r="G847" s="58" t="str">
        <f>IF(ISBLANK(A847),"",_xlfn.XLOOKUP(A847,'Requirement Overview'!C:C,'Requirement Overview'!G:G))</f>
        <v>Micron</v>
      </c>
      <c r="H847" s="266" t="s">
        <v>3343</v>
      </c>
      <c r="I847" s="3" t="s">
        <v>262</v>
      </c>
      <c r="J847" s="77"/>
      <c r="K847" s="3"/>
      <c r="L847" s="3" t="s">
        <v>733</v>
      </c>
      <c r="M847" s="3" t="s">
        <v>978</v>
      </c>
      <c r="N847" s="3"/>
      <c r="O847" s="3"/>
      <c r="P847" s="3" t="s">
        <v>3234</v>
      </c>
      <c r="Q847" s="3" t="s">
        <v>3268</v>
      </c>
      <c r="R847" s="3"/>
      <c r="S847" s="3" t="s">
        <v>375</v>
      </c>
      <c r="T847" s="3" t="s">
        <v>103</v>
      </c>
      <c r="U847" s="55">
        <v>46093</v>
      </c>
      <c r="V847" s="55">
        <v>46093</v>
      </c>
      <c r="W847" s="3"/>
      <c r="X847" s="381">
        <v>46097</v>
      </c>
      <c r="Y847" s="380"/>
    </row>
    <row r="848" spans="1:25" ht="15" customHeight="1">
      <c r="A848" s="3" t="s">
        <v>140</v>
      </c>
      <c r="B848" s="3" t="s">
        <v>236</v>
      </c>
      <c r="C848" s="103" t="str">
        <f>IF(ISBLANK(B848),"",_xlfn.XLOOKUP(B848,Recruiter!A:A,Recruiter!B:B))</f>
        <v>Pooja</v>
      </c>
      <c r="D848" s="103" t="str">
        <f>IF(ISBLANK(A848),"",_xlfn.XLOOKUP(A848,'Requirement Overview'!C:C,'Requirement Overview'!E:E))</f>
        <v>Talme</v>
      </c>
      <c r="E848" s="103" t="str">
        <f>IF(ISBLANK(A848),"",_xlfn.XLOOKUP(A848,'Requirement Overview'!C:C,'Requirement Overview'!H:H))</f>
        <v>Non - IT</v>
      </c>
      <c r="F848" s="77" t="str">
        <f>IF(ISBLANK(A848),"",_xlfn.XLOOKUP(A848,'Requirement Overview'!C:C,'Requirement Overview'!I:I))</f>
        <v>Production Operator</v>
      </c>
      <c r="G848" s="58" t="str">
        <f>IF(ISBLANK(A848),"",_xlfn.XLOOKUP(A848,'Requirement Overview'!C:C,'Requirement Overview'!G:G))</f>
        <v>Micron</v>
      </c>
      <c r="H848" s="266" t="s">
        <v>3344</v>
      </c>
      <c r="I848" s="3" t="s">
        <v>262</v>
      </c>
      <c r="J848" s="77"/>
      <c r="K848" s="3"/>
      <c r="L848" s="3" t="s">
        <v>733</v>
      </c>
      <c r="M848" s="3" t="s">
        <v>1253</v>
      </c>
      <c r="N848" s="3"/>
      <c r="O848" s="3"/>
      <c r="P848" s="3" t="s">
        <v>1684</v>
      </c>
      <c r="Q848" s="3" t="s">
        <v>3268</v>
      </c>
      <c r="R848" s="3"/>
      <c r="S848" s="3" t="s">
        <v>375</v>
      </c>
      <c r="T848" s="3" t="s">
        <v>103</v>
      </c>
      <c r="U848" s="55">
        <v>46093</v>
      </c>
      <c r="V848" s="55">
        <v>46093</v>
      </c>
      <c r="W848" s="3"/>
      <c r="X848" s="381">
        <v>46097</v>
      </c>
      <c r="Y848" s="380"/>
    </row>
    <row r="849" spans="1:45" ht="15" customHeight="1">
      <c r="A849" s="3" t="s">
        <v>140</v>
      </c>
      <c r="B849" s="3" t="s">
        <v>236</v>
      </c>
      <c r="C849" s="103" t="str">
        <f>IF(ISBLANK(B849),"",_xlfn.XLOOKUP(B849,Recruiter!A:A,Recruiter!B:B))</f>
        <v>Pooja</v>
      </c>
      <c r="D849" s="103" t="str">
        <f>IF(ISBLANK(A849),"",_xlfn.XLOOKUP(A849,'Requirement Overview'!C:C,'Requirement Overview'!E:E))</f>
        <v>Talme</v>
      </c>
      <c r="E849" s="103" t="str">
        <f>IF(ISBLANK(A849),"",_xlfn.XLOOKUP(A849,'Requirement Overview'!C:C,'Requirement Overview'!H:H))</f>
        <v>Non - IT</v>
      </c>
      <c r="F849" s="77" t="str">
        <f>IF(ISBLANK(A849),"",_xlfn.XLOOKUP(A849,'Requirement Overview'!C:C,'Requirement Overview'!I:I))</f>
        <v>Production Operator</v>
      </c>
      <c r="G849" s="58" t="str">
        <f>IF(ISBLANK(A849),"",_xlfn.XLOOKUP(A849,'Requirement Overview'!C:C,'Requirement Overview'!G:G))</f>
        <v>Micron</v>
      </c>
      <c r="H849" s="266" t="s">
        <v>3345</v>
      </c>
      <c r="I849" s="3" t="s">
        <v>262</v>
      </c>
      <c r="J849" s="77"/>
      <c r="K849" s="3"/>
      <c r="L849" s="3" t="s">
        <v>3322</v>
      </c>
      <c r="M849" s="3" t="s">
        <v>986</v>
      </c>
      <c r="N849" s="3"/>
      <c r="O849" s="3"/>
      <c r="P849" s="3" t="s">
        <v>3335</v>
      </c>
      <c r="Q849" s="3" t="s">
        <v>3268</v>
      </c>
      <c r="R849" s="3"/>
      <c r="S849" s="3" t="s">
        <v>375</v>
      </c>
      <c r="T849" s="3" t="s">
        <v>103</v>
      </c>
      <c r="U849" s="55">
        <v>46094</v>
      </c>
      <c r="V849" s="55">
        <v>46094</v>
      </c>
      <c r="W849" s="3"/>
      <c r="X849" s="381">
        <v>46097</v>
      </c>
      <c r="Y849" s="380"/>
    </row>
    <row r="850" spans="1:45" ht="15" customHeight="1">
      <c r="A850" s="3" t="s">
        <v>140</v>
      </c>
      <c r="B850" s="3" t="s">
        <v>236</v>
      </c>
      <c r="C850" s="103" t="str">
        <f>IF(ISBLANK(B850),"",_xlfn.XLOOKUP(B850,Recruiter!A:A,Recruiter!B:B))</f>
        <v>Pooja</v>
      </c>
      <c r="D850" s="103" t="str">
        <f>IF(ISBLANK(A850),"",_xlfn.XLOOKUP(A850,'Requirement Overview'!C:C,'Requirement Overview'!E:E))</f>
        <v>Talme</v>
      </c>
      <c r="E850" s="103" t="str">
        <f>IF(ISBLANK(A850),"",_xlfn.XLOOKUP(A850,'Requirement Overview'!C:C,'Requirement Overview'!H:H))</f>
        <v>Non - IT</v>
      </c>
      <c r="F850" s="77" t="str">
        <f>IF(ISBLANK(A850),"",_xlfn.XLOOKUP(A850,'Requirement Overview'!C:C,'Requirement Overview'!I:I))</f>
        <v>Production Operator</v>
      </c>
      <c r="G850" s="58" t="str">
        <f>IF(ISBLANK(A850),"",_xlfn.XLOOKUP(A850,'Requirement Overview'!C:C,'Requirement Overview'!G:G))</f>
        <v>Micron</v>
      </c>
      <c r="H850" s="266" t="s">
        <v>3346</v>
      </c>
      <c r="I850" s="3" t="s">
        <v>262</v>
      </c>
      <c r="J850" s="77"/>
      <c r="K850" s="3"/>
      <c r="L850" s="3" t="s">
        <v>733</v>
      </c>
      <c r="M850" s="3" t="s">
        <v>3337</v>
      </c>
      <c r="N850" s="3"/>
      <c r="O850" s="3"/>
      <c r="P850" s="3" t="s">
        <v>3234</v>
      </c>
      <c r="Q850" s="3" t="s">
        <v>3268</v>
      </c>
      <c r="R850" s="3"/>
      <c r="S850" s="3" t="s">
        <v>375</v>
      </c>
      <c r="T850" s="3" t="s">
        <v>103</v>
      </c>
      <c r="U850" s="55">
        <v>46094</v>
      </c>
      <c r="V850" s="55">
        <v>46094</v>
      </c>
      <c r="W850" s="3"/>
      <c r="X850" s="381">
        <v>46097</v>
      </c>
      <c r="Y850" s="380"/>
    </row>
    <row r="851" spans="1:45" s="51" customFormat="1" ht="15" customHeight="1">
      <c r="A851" s="3" t="s">
        <v>140</v>
      </c>
      <c r="B851" s="3" t="s">
        <v>236</v>
      </c>
      <c r="C851" s="103" t="str">
        <f>IF(ISBLANK(B851),"",_xlfn.XLOOKUP(B851,Recruiter!A:A,Recruiter!B:B))</f>
        <v>Pooja</v>
      </c>
      <c r="D851" s="103" t="str">
        <f>IF(ISBLANK(A851),"",_xlfn.XLOOKUP(A851,'Requirement Overview'!C:C,'Requirement Overview'!E:E))</f>
        <v>Talme</v>
      </c>
      <c r="E851" s="103" t="str">
        <f>IF(ISBLANK(A851),"",_xlfn.XLOOKUP(A851,'Requirement Overview'!C:C,'Requirement Overview'!H:H))</f>
        <v>Non - IT</v>
      </c>
      <c r="F851" s="77" t="str">
        <f>IF(ISBLANK(A851),"",_xlfn.XLOOKUP(A851,'Requirement Overview'!C:C,'Requirement Overview'!I:I))</f>
        <v>Production Operator</v>
      </c>
      <c r="G851" s="58" t="str">
        <f>IF(ISBLANK(A851),"",_xlfn.XLOOKUP(A851,'Requirement Overview'!C:C,'Requirement Overview'!G:G))</f>
        <v>Micron</v>
      </c>
      <c r="H851" s="266" t="s">
        <v>3347</v>
      </c>
      <c r="I851" s="3" t="s">
        <v>519</v>
      </c>
      <c r="J851" s="77"/>
      <c r="K851" s="3"/>
      <c r="L851" s="3" t="s">
        <v>3322</v>
      </c>
      <c r="M851" s="3" t="s">
        <v>986</v>
      </c>
      <c r="N851" s="3"/>
      <c r="O851" s="3"/>
      <c r="P851" s="3" t="s">
        <v>3348</v>
      </c>
      <c r="Q851" s="3" t="s">
        <v>3268</v>
      </c>
      <c r="R851" s="3"/>
      <c r="S851" s="3" t="s">
        <v>375</v>
      </c>
      <c r="T851" s="3" t="s">
        <v>103</v>
      </c>
      <c r="U851" s="55">
        <v>46094</v>
      </c>
      <c r="V851" s="55">
        <v>46094</v>
      </c>
      <c r="W851" s="3"/>
      <c r="X851" s="383">
        <v>46097</v>
      </c>
      <c r="Y851" s="382"/>
      <c r="AL851" s="73"/>
      <c r="AM851" s="73"/>
      <c r="AS851" s="73"/>
    </row>
    <row r="852" spans="1:45" ht="15" customHeight="1">
      <c r="A852" s="3" t="s">
        <v>35</v>
      </c>
      <c r="B852" s="3" t="s">
        <v>520</v>
      </c>
      <c r="C852" s="103" t="str">
        <f>IF(ISBLANK(B852),"",_xlfn.XLOOKUP(B852,Recruiter!A:A,Recruiter!B:B))</f>
        <v>Narthana</v>
      </c>
      <c r="D852" s="103" t="str">
        <f>IF(ISBLANK(A852),"",_xlfn.XLOOKUP(A852,'Requirement Overview'!C:C,'Requirement Overview'!E:E))</f>
        <v>Talme</v>
      </c>
      <c r="E852" s="103" t="str">
        <f>IF(ISBLANK(A852),"",_xlfn.XLOOKUP(A852,'Requirement Overview'!C:C,'Requirement Overview'!H:H))</f>
        <v>IT</v>
      </c>
      <c r="F852" s="77" t="str">
        <f>IF(ISBLANK(A852),"",_xlfn.XLOOKUP(A852,'Requirement Overview'!C:C,'Requirement Overview'!I:I))</f>
        <v>Windows system adminstrator</v>
      </c>
      <c r="G852" s="58" t="str">
        <f>IF(ISBLANK(A852),"",_xlfn.XLOOKUP(A852,'Requirement Overview'!C:C,'Requirement Overview'!G:G))</f>
        <v>EMIDS</v>
      </c>
      <c r="H852" s="248" t="s">
        <v>3015</v>
      </c>
      <c r="I852" s="248" t="s">
        <v>3349</v>
      </c>
      <c r="J852" s="385" t="s">
        <v>3350</v>
      </c>
      <c r="K852" s="248">
        <v>9717028102</v>
      </c>
      <c r="L852" s="248" t="s">
        <v>427</v>
      </c>
      <c r="M852" s="248" t="s">
        <v>365</v>
      </c>
      <c r="N852" s="248" t="s">
        <v>3351</v>
      </c>
      <c r="O852" s="3"/>
      <c r="P852" s="248" t="s">
        <v>1055</v>
      </c>
      <c r="Q852" s="248" t="s">
        <v>806</v>
      </c>
      <c r="R852" s="3"/>
      <c r="S852" s="3" t="s">
        <v>601</v>
      </c>
      <c r="T852" s="3" t="s">
        <v>103</v>
      </c>
      <c r="U852" s="55">
        <v>46092</v>
      </c>
      <c r="V852" s="55">
        <v>46092</v>
      </c>
      <c r="W852" s="3"/>
      <c r="X852" s="380"/>
      <c r="Y852" s="380"/>
    </row>
    <row r="853" spans="1:45" ht="15" customHeight="1">
      <c r="A853" s="3" t="s">
        <v>35</v>
      </c>
      <c r="B853" s="3" t="s">
        <v>520</v>
      </c>
      <c r="C853" s="103" t="str">
        <f>IF(ISBLANK(B853),"",_xlfn.XLOOKUP(B853,Recruiter!A:A,Recruiter!B:B))</f>
        <v>Narthana</v>
      </c>
      <c r="D853" s="103" t="str">
        <f>IF(ISBLANK(A853),"",_xlfn.XLOOKUP(A853,'Requirement Overview'!C:C,'Requirement Overview'!E:E))</f>
        <v>Talme</v>
      </c>
      <c r="E853" s="103" t="str">
        <f>IF(ISBLANK(A853),"",_xlfn.XLOOKUP(A853,'Requirement Overview'!C:C,'Requirement Overview'!H:H))</f>
        <v>IT</v>
      </c>
      <c r="F853" s="77" t="str">
        <f>IF(ISBLANK(A853),"",_xlfn.XLOOKUP(A853,'Requirement Overview'!C:C,'Requirement Overview'!I:I))</f>
        <v>Windows system adminstrator</v>
      </c>
      <c r="G853" s="58" t="str">
        <f>IF(ISBLANK(A853),"",_xlfn.XLOOKUP(A853,'Requirement Overview'!C:C,'Requirement Overview'!G:G))</f>
        <v>EMIDS</v>
      </c>
      <c r="H853" s="386" t="s">
        <v>3352</v>
      </c>
      <c r="I853" s="248" t="s">
        <v>3112</v>
      </c>
      <c r="J853" s="385" t="s">
        <v>3353</v>
      </c>
      <c r="K853" s="248">
        <v>9381078277</v>
      </c>
      <c r="L853" s="248" t="s">
        <v>404</v>
      </c>
      <c r="M853" s="248" t="s">
        <v>365</v>
      </c>
      <c r="N853" s="248" t="s">
        <v>3354</v>
      </c>
      <c r="O853" s="3"/>
      <c r="P853" s="248" t="s">
        <v>268</v>
      </c>
      <c r="Q853" s="248" t="s">
        <v>268</v>
      </c>
      <c r="R853" s="3"/>
      <c r="S853" s="3" t="s">
        <v>601</v>
      </c>
      <c r="T853" s="3" t="s">
        <v>103</v>
      </c>
      <c r="U853" s="55">
        <v>46092</v>
      </c>
      <c r="V853" s="55">
        <v>46092</v>
      </c>
      <c r="W853" s="3"/>
      <c r="X853" s="380"/>
      <c r="Y853" s="380"/>
    </row>
    <row r="854" spans="1:45" ht="15" customHeight="1">
      <c r="A854" s="3" t="s">
        <v>150</v>
      </c>
      <c r="B854" s="3" t="s">
        <v>520</v>
      </c>
      <c r="C854" s="103" t="str">
        <f>IF(ISBLANK(B854),"",_xlfn.XLOOKUP(B854,Recruiter!A:A,Recruiter!B:B))</f>
        <v>Narthana</v>
      </c>
      <c r="D854" s="103" t="str">
        <f>IF(ISBLANK(A854),"",_xlfn.XLOOKUP(A854,'Requirement Overview'!C:C,'Requirement Overview'!E:E))</f>
        <v>Talme</v>
      </c>
      <c r="E854" s="103" t="str">
        <f>IF(ISBLANK(A854),"",_xlfn.XLOOKUP(A854,'Requirement Overview'!C:C,'Requirement Overview'!H:H))</f>
        <v>IT</v>
      </c>
      <c r="F854" s="3" t="s">
        <v>151</v>
      </c>
      <c r="G854" s="58" t="str">
        <f>IF(ISBLANK(A854),"",_xlfn.XLOOKUP(A854,'Requirement Overview'!C:C,'Requirement Overview'!G:G))</f>
        <v>LTTS</v>
      </c>
      <c r="H854" s="247" t="s">
        <v>3355</v>
      </c>
      <c r="I854" s="247" t="s">
        <v>3356</v>
      </c>
      <c r="J854" s="385" t="s">
        <v>3357</v>
      </c>
      <c r="K854" s="247">
        <v>6382605863</v>
      </c>
      <c r="L854" s="247" t="s">
        <v>305</v>
      </c>
      <c r="M854" s="247" t="s">
        <v>3358</v>
      </c>
      <c r="N854" s="247" t="s">
        <v>3359</v>
      </c>
      <c r="O854" s="247" t="s">
        <v>429</v>
      </c>
      <c r="P854" s="247" t="s">
        <v>1128</v>
      </c>
      <c r="Q854" s="247" t="s">
        <v>268</v>
      </c>
      <c r="R854" s="247" t="s">
        <v>540</v>
      </c>
      <c r="S854" s="3" t="s">
        <v>601</v>
      </c>
      <c r="T854" s="3" t="s">
        <v>103</v>
      </c>
      <c r="U854" s="55">
        <v>46092</v>
      </c>
      <c r="V854" s="55">
        <v>46092</v>
      </c>
      <c r="W854" s="3"/>
      <c r="X854" s="380"/>
      <c r="Y854" s="380"/>
    </row>
    <row r="855" spans="1:45" ht="15" customHeight="1">
      <c r="A855" s="50" t="s">
        <v>150</v>
      </c>
      <c r="B855" s="50" t="s">
        <v>520</v>
      </c>
      <c r="C855" s="104" t="str">
        <f>IF(ISBLANK(B855),"",_xlfn.XLOOKUP(B855,Recruiter!A:A,Recruiter!B:B))</f>
        <v>Narthana</v>
      </c>
      <c r="D855" s="104" t="str">
        <f>IF(ISBLANK(A855),"",_xlfn.XLOOKUP(A855,'Requirement Overview'!C:C,'Requirement Overview'!E:E))</f>
        <v>Talme</v>
      </c>
      <c r="E855" s="104" t="str">
        <f>IF(ISBLANK(A855),"",_xlfn.XLOOKUP(A855,'Requirement Overview'!C:C,'Requirement Overview'!H:H))</f>
        <v>IT</v>
      </c>
      <c r="F855" s="445" t="str">
        <f>IF(ISBLANK(A855),"",_xlfn.XLOOKUP(A855,'Requirement Overview'!C:C,'Requirement Overview'!I:I))</f>
        <v>Embedded Software Developer -1</v>
      </c>
      <c r="G855" s="62" t="str">
        <f>IF(ISBLANK(A855),"",_xlfn.XLOOKUP(A855,'Requirement Overview'!C:C,'Requirement Overview'!G:G))</f>
        <v>LTTS</v>
      </c>
      <c r="H855" s="446" t="s">
        <v>3360</v>
      </c>
      <c r="I855" s="446" t="s">
        <v>262</v>
      </c>
      <c r="J855" s="447" t="s">
        <v>3361</v>
      </c>
      <c r="K855" s="446">
        <v>8270869380</v>
      </c>
      <c r="L855" s="446" t="s">
        <v>311</v>
      </c>
      <c r="M855" s="446" t="s">
        <v>1595</v>
      </c>
      <c r="N855" s="446" t="s">
        <v>3362</v>
      </c>
      <c r="O855" s="446" t="s">
        <v>654</v>
      </c>
      <c r="P855" s="446" t="s">
        <v>1128</v>
      </c>
      <c r="Q855" s="446" t="s">
        <v>268</v>
      </c>
      <c r="R855" s="446" t="s">
        <v>373</v>
      </c>
      <c r="S855" s="50" t="s">
        <v>518</v>
      </c>
      <c r="T855" s="50" t="s">
        <v>103</v>
      </c>
      <c r="U855" s="106">
        <v>46092</v>
      </c>
      <c r="V855" s="106">
        <v>46092</v>
      </c>
      <c r="W855" s="50"/>
      <c r="X855" s="382"/>
      <c r="Y855" s="382"/>
      <c r="Z855" s="51"/>
      <c r="AA855" s="51"/>
      <c r="AB855" s="51"/>
      <c r="AC855" s="51"/>
      <c r="AD855" s="51"/>
    </row>
    <row r="856" spans="1:45" s="47" customFormat="1" ht="15" customHeight="1">
      <c r="A856" s="702" t="s">
        <v>143</v>
      </c>
      <c r="B856" s="702" t="s">
        <v>258</v>
      </c>
      <c r="C856" s="103" t="str">
        <f>IF(ISBLANK(B856),"",_xlfn.XLOOKUP(B856,Recruiter!A:A,Recruiter!B:B))</f>
        <v>Bhoomika</v>
      </c>
      <c r="D856" s="487" t="str">
        <f>IF(ISBLANK(A856),"",_xlfn.XLOOKUP(A856,'Requirement Overview'!C:C,'Requirement Overview'!E:E))</f>
        <v>Talme</v>
      </c>
      <c r="E856" s="487" t="str">
        <f>IF(ISBLANK(A856),"",_xlfn.XLOOKUP(A856,'Requirement Overview'!C:C,'Requirement Overview'!H:H))</f>
        <v>Non - IT</v>
      </c>
      <c r="F856" s="476" t="str">
        <f>IF(ISBLANK(A856),"",_xlfn.XLOOKUP(A856,'Requirement Overview'!C:C,'Requirement Overview'!I:I))</f>
        <v>Manufacturing ITI</v>
      </c>
      <c r="G856" s="702" t="str">
        <f>IF(ISBLANK(A856),"",_xlfn.XLOOKUP(A856,'Requirement Overview'!C:C,'Requirement Overview'!G:G))</f>
        <v>Micron</v>
      </c>
      <c r="H856" s="480" t="s">
        <v>3363</v>
      </c>
      <c r="I856" s="702" t="s">
        <v>519</v>
      </c>
      <c r="J856" s="476"/>
      <c r="K856" s="702"/>
      <c r="L856" s="702" t="s">
        <v>3220</v>
      </c>
      <c r="M856" s="702" t="s">
        <v>1280</v>
      </c>
      <c r="N856" s="702"/>
      <c r="O856" s="702"/>
      <c r="P856" s="702" t="s">
        <v>3234</v>
      </c>
      <c r="Q856" s="702" t="s">
        <v>3268</v>
      </c>
      <c r="R856" s="702"/>
      <c r="S856" s="702" t="s">
        <v>360</v>
      </c>
      <c r="T856" s="702" t="s">
        <v>103</v>
      </c>
      <c r="U856" s="703">
        <v>46090</v>
      </c>
      <c r="V856" s="703">
        <v>46090</v>
      </c>
      <c r="W856" s="702"/>
      <c r="X856" s="702"/>
      <c r="Y856" s="702"/>
      <c r="Z856" s="702"/>
      <c r="AA856" s="702"/>
      <c r="AB856" s="702"/>
      <c r="AC856" s="702"/>
      <c r="AD856" s="702"/>
      <c r="AE856" s="184"/>
      <c r="AL856" s="80"/>
      <c r="AM856" s="80"/>
      <c r="AS856" s="80"/>
    </row>
    <row r="857" spans="1:45" ht="15" customHeight="1">
      <c r="A857" s="702" t="s">
        <v>143</v>
      </c>
      <c r="B857" s="702" t="s">
        <v>258</v>
      </c>
      <c r="C857" s="103" t="str">
        <f>IF(ISBLANK(B857),"",_xlfn.XLOOKUP(B857,Recruiter!A:A,Recruiter!B:B))</f>
        <v>Bhoomika</v>
      </c>
      <c r="D857" s="487" t="str">
        <f>IF(ISBLANK(A857),"",_xlfn.XLOOKUP(A857,'Requirement Overview'!C:C,'Requirement Overview'!E:E))</f>
        <v>Talme</v>
      </c>
      <c r="E857" s="487" t="str">
        <f>IF(ISBLANK(A857),"",_xlfn.XLOOKUP(A857,'Requirement Overview'!C:C,'Requirement Overview'!H:H))</f>
        <v>Non - IT</v>
      </c>
      <c r="F857" s="476" t="str">
        <f>IF(ISBLANK(A857),"",_xlfn.XLOOKUP(A857,'Requirement Overview'!C:C,'Requirement Overview'!I:I))</f>
        <v>Manufacturing ITI</v>
      </c>
      <c r="G857" s="702" t="str">
        <f>IF(ISBLANK(A857),"",_xlfn.XLOOKUP(A857,'Requirement Overview'!C:C,'Requirement Overview'!G:G))</f>
        <v>Micron</v>
      </c>
      <c r="H857" s="480" t="s">
        <v>3364</v>
      </c>
      <c r="I857" s="702" t="s">
        <v>519</v>
      </c>
      <c r="J857" s="476"/>
      <c r="K857" s="702"/>
      <c r="L857" s="702" t="s">
        <v>3220</v>
      </c>
      <c r="M857" s="702" t="s">
        <v>1284</v>
      </c>
      <c r="N857" s="702"/>
      <c r="O857" s="702"/>
      <c r="P857" s="702" t="s">
        <v>3234</v>
      </c>
      <c r="Q857" s="702" t="s">
        <v>3268</v>
      </c>
      <c r="R857" s="702"/>
      <c r="S857" s="702" t="s">
        <v>360</v>
      </c>
      <c r="T857" s="702" t="s">
        <v>103</v>
      </c>
      <c r="U857" s="703">
        <v>46090</v>
      </c>
      <c r="V857" s="703">
        <v>46090</v>
      </c>
      <c r="W857" s="702"/>
      <c r="X857" s="702"/>
      <c r="Y857" s="702"/>
      <c r="Z857" s="702"/>
      <c r="AA857" s="702"/>
      <c r="AB857" s="702"/>
      <c r="AC857" s="702"/>
      <c r="AD857" s="702"/>
      <c r="AE857" s="46"/>
    </row>
    <row r="858" spans="1:45" ht="15" customHeight="1">
      <c r="A858" s="702" t="s">
        <v>143</v>
      </c>
      <c r="B858" s="702" t="s">
        <v>258</v>
      </c>
      <c r="C858" s="103" t="str">
        <f>IF(ISBLANK(B858),"",_xlfn.XLOOKUP(B858,Recruiter!A:A,Recruiter!B:B))</f>
        <v>Bhoomika</v>
      </c>
      <c r="D858" s="487" t="str">
        <f>IF(ISBLANK(A858),"",_xlfn.XLOOKUP(A858,'Requirement Overview'!C:C,'Requirement Overview'!E:E))</f>
        <v>Talme</v>
      </c>
      <c r="E858" s="487" t="str">
        <f>IF(ISBLANK(A858),"",_xlfn.XLOOKUP(A858,'Requirement Overview'!C:C,'Requirement Overview'!H:H))</f>
        <v>Non - IT</v>
      </c>
      <c r="F858" s="476" t="str">
        <f>IF(ISBLANK(A858),"",_xlfn.XLOOKUP(A858,'Requirement Overview'!C:C,'Requirement Overview'!I:I))</f>
        <v>Manufacturing ITI</v>
      </c>
      <c r="G858" s="702" t="str">
        <f>IF(ISBLANK(A858),"",_xlfn.XLOOKUP(A858,'Requirement Overview'!C:C,'Requirement Overview'!G:G))</f>
        <v>Micron</v>
      </c>
      <c r="H858" s="480" t="s">
        <v>3365</v>
      </c>
      <c r="I858" s="702" t="s">
        <v>497</v>
      </c>
      <c r="J858" s="476"/>
      <c r="K858" s="702"/>
      <c r="L858" s="702" t="s">
        <v>3220</v>
      </c>
      <c r="M858" s="702" t="s">
        <v>306</v>
      </c>
      <c r="N858" s="702"/>
      <c r="O858" s="702"/>
      <c r="P858" s="702" t="s">
        <v>3366</v>
      </c>
      <c r="Q858" s="702" t="s">
        <v>3268</v>
      </c>
      <c r="R858" s="702"/>
      <c r="S858" s="702" t="s">
        <v>360</v>
      </c>
      <c r="T858" s="702" t="s">
        <v>103</v>
      </c>
      <c r="U858" s="703">
        <v>46090</v>
      </c>
      <c r="V858" s="703">
        <v>46090</v>
      </c>
      <c r="W858" s="702"/>
      <c r="X858" s="702"/>
      <c r="Y858" s="702"/>
      <c r="Z858" s="702"/>
      <c r="AA858" s="702"/>
      <c r="AB858" s="702"/>
      <c r="AC858" s="702"/>
      <c r="AD858" s="702"/>
      <c r="AE858" s="46"/>
    </row>
    <row r="859" spans="1:45" ht="15" customHeight="1">
      <c r="A859" s="702" t="s">
        <v>143</v>
      </c>
      <c r="B859" s="702" t="s">
        <v>258</v>
      </c>
      <c r="C859" s="103" t="str">
        <f>IF(ISBLANK(B859),"",_xlfn.XLOOKUP(B859,Recruiter!A:A,Recruiter!B:B))</f>
        <v>Bhoomika</v>
      </c>
      <c r="D859" s="487" t="str">
        <f>IF(ISBLANK(A859),"",_xlfn.XLOOKUP(A859,'Requirement Overview'!C:C,'Requirement Overview'!E:E))</f>
        <v>Talme</v>
      </c>
      <c r="E859" s="487" t="str">
        <f>IF(ISBLANK(A859),"",_xlfn.XLOOKUP(A859,'Requirement Overview'!C:C,'Requirement Overview'!H:H))</f>
        <v>Non - IT</v>
      </c>
      <c r="F859" s="476" t="str">
        <f>IF(ISBLANK(A859),"",_xlfn.XLOOKUP(A859,'Requirement Overview'!C:C,'Requirement Overview'!I:I))</f>
        <v>Manufacturing ITI</v>
      </c>
      <c r="G859" s="702" t="str">
        <f>IF(ISBLANK(A859),"",_xlfn.XLOOKUP(A859,'Requirement Overview'!C:C,'Requirement Overview'!G:G))</f>
        <v>Micron</v>
      </c>
      <c r="H859" s="480" t="s">
        <v>3367</v>
      </c>
      <c r="I859" s="702" t="s">
        <v>519</v>
      </c>
      <c r="J859" s="476"/>
      <c r="K859" s="702"/>
      <c r="L859" s="702" t="s">
        <v>3220</v>
      </c>
      <c r="M859" s="702" t="s">
        <v>306</v>
      </c>
      <c r="N859" s="702"/>
      <c r="O859" s="702"/>
      <c r="P859" s="702" t="s">
        <v>3338</v>
      </c>
      <c r="Q859" s="702" t="s">
        <v>3268</v>
      </c>
      <c r="R859" s="702"/>
      <c r="S859" s="702" t="s">
        <v>360</v>
      </c>
      <c r="T859" s="702" t="s">
        <v>103</v>
      </c>
      <c r="U859" s="703">
        <v>46090</v>
      </c>
      <c r="V859" s="703">
        <v>46090</v>
      </c>
      <c r="W859" s="702"/>
      <c r="X859" s="702"/>
      <c r="Y859" s="702"/>
      <c r="Z859" s="702"/>
      <c r="AA859" s="702"/>
      <c r="AB859" s="702"/>
      <c r="AC859" s="702"/>
      <c r="AD859" s="702"/>
      <c r="AE859" s="46"/>
    </row>
    <row r="860" spans="1:45" ht="15" customHeight="1">
      <c r="A860" s="702" t="s">
        <v>143</v>
      </c>
      <c r="B860" s="702" t="s">
        <v>258</v>
      </c>
      <c r="C860" s="103" t="str">
        <f>IF(ISBLANK(B860),"",_xlfn.XLOOKUP(B860,Recruiter!A:A,Recruiter!B:B))</f>
        <v>Bhoomika</v>
      </c>
      <c r="D860" s="487" t="str">
        <f>IF(ISBLANK(A860),"",_xlfn.XLOOKUP(A860,'Requirement Overview'!C:C,'Requirement Overview'!E:E))</f>
        <v>Talme</v>
      </c>
      <c r="E860" s="487" t="str">
        <f>IF(ISBLANK(A860),"",_xlfn.XLOOKUP(A860,'Requirement Overview'!C:C,'Requirement Overview'!H:H))</f>
        <v>Non - IT</v>
      </c>
      <c r="F860" s="476" t="str">
        <f>IF(ISBLANK(A860),"",_xlfn.XLOOKUP(A860,'Requirement Overview'!C:C,'Requirement Overview'!I:I))</f>
        <v>Manufacturing ITI</v>
      </c>
      <c r="G860" s="702" t="str">
        <f>IF(ISBLANK(A860),"",_xlfn.XLOOKUP(A860,'Requirement Overview'!C:C,'Requirement Overview'!G:G))</f>
        <v>Micron</v>
      </c>
      <c r="H860" s="480" t="s">
        <v>3368</v>
      </c>
      <c r="I860" s="702" t="s">
        <v>497</v>
      </c>
      <c r="J860" s="476"/>
      <c r="K860" s="702"/>
      <c r="L860" s="702" t="s">
        <v>3220</v>
      </c>
      <c r="M860" s="702" t="s">
        <v>566</v>
      </c>
      <c r="N860" s="702"/>
      <c r="O860" s="702"/>
      <c r="P860" s="702" t="s">
        <v>3234</v>
      </c>
      <c r="Q860" s="702" t="s">
        <v>3268</v>
      </c>
      <c r="R860" s="702"/>
      <c r="S860" s="702" t="s">
        <v>360</v>
      </c>
      <c r="T860" s="702" t="s">
        <v>103</v>
      </c>
      <c r="U860" s="703">
        <v>46090</v>
      </c>
      <c r="V860" s="703">
        <v>46090</v>
      </c>
      <c r="W860" s="702"/>
      <c r="X860" s="702"/>
      <c r="Y860" s="702"/>
      <c r="Z860" s="702"/>
      <c r="AA860" s="702"/>
      <c r="AB860" s="702"/>
      <c r="AC860" s="702"/>
      <c r="AD860" s="702"/>
      <c r="AE860" s="46"/>
    </row>
    <row r="861" spans="1:45" ht="15" customHeight="1">
      <c r="A861" s="5" t="s">
        <v>143</v>
      </c>
      <c r="B861" s="5" t="s">
        <v>236</v>
      </c>
      <c r="C861" s="433" t="str">
        <f>IF(ISBLANK(B861),"",_xlfn.XLOOKUP(B861,Recruiter!A:A,Recruiter!B:B))</f>
        <v>Pooja</v>
      </c>
      <c r="D861" s="433" t="str">
        <f>IF(ISBLANK(A861),"",_xlfn.XLOOKUP(A861,'Requirement Overview'!C:C,'Requirement Overview'!E:E))</f>
        <v>Talme</v>
      </c>
      <c r="E861" s="433" t="str">
        <f>IF(ISBLANK(A861),"",_xlfn.XLOOKUP(A861,'Requirement Overview'!C:C,'Requirement Overview'!H:H))</f>
        <v>Non - IT</v>
      </c>
      <c r="F861" s="434" t="str">
        <f>IF(ISBLANK(A861),"",_xlfn.XLOOKUP(A861,'Requirement Overview'!C:C,'Requirement Overview'!I:I))</f>
        <v>Manufacturing ITI</v>
      </c>
      <c r="G861" s="255" t="str">
        <f>IF(ISBLANK(A861),"",_xlfn.XLOOKUP(A861,'Requirement Overview'!C:C,'Requirement Overview'!G:G))</f>
        <v>Micron</v>
      </c>
      <c r="H861" s="452" t="s">
        <v>3369</v>
      </c>
      <c r="I861" s="5" t="s">
        <v>262</v>
      </c>
      <c r="J861" s="434"/>
      <c r="K861" s="5"/>
      <c r="L861" s="5" t="s">
        <v>3220</v>
      </c>
      <c r="M861" s="5" t="s">
        <v>3334</v>
      </c>
      <c r="N861" s="5"/>
      <c r="O861" s="5"/>
      <c r="P861" s="5" t="s">
        <v>3370</v>
      </c>
      <c r="Q861" s="5" t="s">
        <v>3268</v>
      </c>
      <c r="R861" s="5"/>
      <c r="S861" s="5" t="s">
        <v>375</v>
      </c>
      <c r="T861" s="5" t="s">
        <v>103</v>
      </c>
      <c r="U861" s="453">
        <v>46091</v>
      </c>
      <c r="V861" s="453">
        <v>46091</v>
      </c>
      <c r="W861" s="5"/>
      <c r="X861" s="378"/>
      <c r="Y861" s="378"/>
      <c r="Z861" s="47"/>
      <c r="AA861" s="47"/>
      <c r="AB861" s="47"/>
      <c r="AC861" s="47"/>
      <c r="AD861" s="47"/>
    </row>
    <row r="862" spans="1:45" ht="15" customHeight="1">
      <c r="A862" s="3" t="s">
        <v>143</v>
      </c>
      <c r="B862" s="3" t="s">
        <v>236</v>
      </c>
      <c r="C862" s="103" t="str">
        <f>IF(ISBLANK(B862),"",_xlfn.XLOOKUP(B862,Recruiter!A:A,Recruiter!B:B))</f>
        <v>Pooja</v>
      </c>
      <c r="D862" s="103" t="str">
        <f>IF(ISBLANK(A862),"",_xlfn.XLOOKUP(A862,'Requirement Overview'!C:C,'Requirement Overview'!E:E))</f>
        <v>Talme</v>
      </c>
      <c r="E862" s="103" t="str">
        <f>IF(ISBLANK(A862),"",_xlfn.XLOOKUP(A862,'Requirement Overview'!C:C,'Requirement Overview'!H:H))</f>
        <v>Non - IT</v>
      </c>
      <c r="F862" s="77" t="str">
        <f>IF(ISBLANK(A862),"",_xlfn.XLOOKUP(A862,'Requirement Overview'!C:C,'Requirement Overview'!I:I))</f>
        <v>Manufacturing ITI</v>
      </c>
      <c r="G862" s="58" t="str">
        <f>IF(ISBLANK(A862),"",_xlfn.XLOOKUP(A862,'Requirement Overview'!C:C,'Requirement Overview'!G:G))</f>
        <v>Micron</v>
      </c>
      <c r="H862" s="266" t="s">
        <v>3371</v>
      </c>
      <c r="I862" s="3" t="s">
        <v>519</v>
      </c>
      <c r="J862" s="77"/>
      <c r="K862" s="3"/>
      <c r="L862" s="3" t="s">
        <v>3220</v>
      </c>
      <c r="M862" s="3" t="s">
        <v>3342</v>
      </c>
      <c r="N862" s="3"/>
      <c r="O862" s="3"/>
      <c r="P862" s="3" t="s">
        <v>1684</v>
      </c>
      <c r="Q862" s="3" t="s">
        <v>3268</v>
      </c>
      <c r="R862" s="3"/>
      <c r="S862" s="3" t="s">
        <v>3129</v>
      </c>
      <c r="T862" s="3" t="s">
        <v>103</v>
      </c>
      <c r="U862" s="55">
        <v>46091</v>
      </c>
      <c r="V862" s="55">
        <v>46091</v>
      </c>
      <c r="W862" s="3"/>
      <c r="X862" s="380"/>
      <c r="Y862" s="380"/>
    </row>
    <row r="863" spans="1:45" ht="15" customHeight="1">
      <c r="A863" s="3" t="s">
        <v>143</v>
      </c>
      <c r="B863" s="3" t="s">
        <v>236</v>
      </c>
      <c r="C863" s="103" t="str">
        <f>IF(ISBLANK(B863),"",_xlfn.XLOOKUP(B863,Recruiter!A:A,Recruiter!B:B))</f>
        <v>Pooja</v>
      </c>
      <c r="D863" s="103" t="str">
        <f>IF(ISBLANK(A863),"",_xlfn.XLOOKUP(A863,'Requirement Overview'!C:C,'Requirement Overview'!E:E))</f>
        <v>Talme</v>
      </c>
      <c r="E863" s="103" t="str">
        <f>IF(ISBLANK(A863),"",_xlfn.XLOOKUP(A863,'Requirement Overview'!C:C,'Requirement Overview'!H:H))</f>
        <v>Non - IT</v>
      </c>
      <c r="F863" s="77" t="str">
        <f>IF(ISBLANK(A863),"",_xlfn.XLOOKUP(A863,'Requirement Overview'!C:C,'Requirement Overview'!I:I))</f>
        <v>Manufacturing ITI</v>
      </c>
      <c r="G863" s="58" t="str">
        <f>IF(ISBLANK(A863),"",_xlfn.XLOOKUP(A863,'Requirement Overview'!C:C,'Requirement Overview'!G:G))</f>
        <v>Micron</v>
      </c>
      <c r="H863" s="266" t="s">
        <v>3372</v>
      </c>
      <c r="I863" s="3" t="s">
        <v>262</v>
      </c>
      <c r="J863" s="77"/>
      <c r="K863" s="3"/>
      <c r="L863" s="3" t="s">
        <v>3220</v>
      </c>
      <c r="M863" s="3" t="s">
        <v>514</v>
      </c>
      <c r="N863" s="3"/>
      <c r="O863" s="3"/>
      <c r="P863" s="3" t="s">
        <v>3335</v>
      </c>
      <c r="Q863" s="3" t="s">
        <v>3268</v>
      </c>
      <c r="R863" s="3"/>
      <c r="S863" s="3" t="s">
        <v>375</v>
      </c>
      <c r="T863" s="3" t="s">
        <v>103</v>
      </c>
      <c r="U863" s="55">
        <v>46091</v>
      </c>
      <c r="V863" s="55">
        <v>46091</v>
      </c>
      <c r="W863" s="3"/>
      <c r="X863" s="380"/>
      <c r="Y863" s="380"/>
    </row>
    <row r="864" spans="1:45" ht="15" customHeight="1">
      <c r="A864" s="3" t="s">
        <v>143</v>
      </c>
      <c r="B864" s="3" t="s">
        <v>236</v>
      </c>
      <c r="C864" s="103" t="str">
        <f>IF(ISBLANK(B864),"",_xlfn.XLOOKUP(B864,Recruiter!A:A,Recruiter!B:B))</f>
        <v>Pooja</v>
      </c>
      <c r="D864" s="103" t="str">
        <f>IF(ISBLANK(A864),"",_xlfn.XLOOKUP(A864,'Requirement Overview'!C:C,'Requirement Overview'!E:E))</f>
        <v>Talme</v>
      </c>
      <c r="E864" s="103" t="str">
        <f>IF(ISBLANK(A864),"",_xlfn.XLOOKUP(A864,'Requirement Overview'!C:C,'Requirement Overview'!H:H))</f>
        <v>Non - IT</v>
      </c>
      <c r="F864" s="77" t="str">
        <f>IF(ISBLANK(A864),"",_xlfn.XLOOKUP(A864,'Requirement Overview'!C:C,'Requirement Overview'!I:I))</f>
        <v>Manufacturing ITI</v>
      </c>
      <c r="G864" s="58" t="str">
        <f>IF(ISBLANK(A864),"",_xlfn.XLOOKUP(A864,'Requirement Overview'!C:C,'Requirement Overview'!G:G))</f>
        <v>Micron</v>
      </c>
      <c r="H864" s="299" t="s">
        <v>3373</v>
      </c>
      <c r="I864" s="3" t="s">
        <v>303</v>
      </c>
      <c r="J864" s="77"/>
      <c r="K864" s="3"/>
      <c r="L864" s="3" t="s">
        <v>3220</v>
      </c>
      <c r="M864" s="3" t="s">
        <v>3374</v>
      </c>
      <c r="N864" s="3"/>
      <c r="O864" s="3"/>
      <c r="P864" s="3" t="s">
        <v>3330</v>
      </c>
      <c r="Q864" s="3" t="s">
        <v>3268</v>
      </c>
      <c r="R864" s="3"/>
      <c r="S864" s="3" t="s">
        <v>360</v>
      </c>
      <c r="T864" s="3" t="s">
        <v>103</v>
      </c>
      <c r="U864" s="55">
        <v>46091</v>
      </c>
      <c r="V864" s="55">
        <v>46091</v>
      </c>
      <c r="W864" s="3"/>
      <c r="X864" s="380"/>
      <c r="Y864" s="380"/>
    </row>
    <row r="865" spans="1:31" ht="15" customHeight="1">
      <c r="A865" s="3" t="s">
        <v>143</v>
      </c>
      <c r="B865" s="3" t="s">
        <v>236</v>
      </c>
      <c r="C865" s="103" t="str">
        <f>IF(ISBLANK(B865),"",_xlfn.XLOOKUP(B865,Recruiter!A:A,Recruiter!B:B))</f>
        <v>Pooja</v>
      </c>
      <c r="D865" s="103" t="str">
        <f>IF(ISBLANK(A865),"",_xlfn.XLOOKUP(A865,'Requirement Overview'!C:C,'Requirement Overview'!E:E))</f>
        <v>Talme</v>
      </c>
      <c r="E865" s="103" t="str">
        <f>IF(ISBLANK(A865),"",_xlfn.XLOOKUP(A865,'Requirement Overview'!C:C,'Requirement Overview'!H:H))</f>
        <v>Non - IT</v>
      </c>
      <c r="F865" s="3" t="s">
        <v>3375</v>
      </c>
      <c r="G865" s="58" t="str">
        <f>IF(ISBLANK(A865),"",_xlfn.XLOOKUP(A865,'Requirement Overview'!C:C,'Requirement Overview'!G:G))</f>
        <v>Micron</v>
      </c>
      <c r="H865" s="266" t="s">
        <v>3376</v>
      </c>
      <c r="I865" s="3" t="s">
        <v>519</v>
      </c>
      <c r="J865" s="77"/>
      <c r="K865" s="3"/>
      <c r="L865" s="3" t="s">
        <v>3220</v>
      </c>
      <c r="M865" s="3" t="s">
        <v>3377</v>
      </c>
      <c r="N865" s="3"/>
      <c r="O865" s="3"/>
      <c r="P865" s="3" t="s">
        <v>1221</v>
      </c>
      <c r="Q865" s="3" t="s">
        <v>3268</v>
      </c>
      <c r="R865" s="3"/>
      <c r="S865" s="3" t="s">
        <v>360</v>
      </c>
      <c r="T865" s="3" t="s">
        <v>103</v>
      </c>
      <c r="U865" s="55">
        <v>46091</v>
      </c>
      <c r="V865" s="55">
        <v>46091</v>
      </c>
      <c r="W865" s="3"/>
      <c r="X865" s="380"/>
      <c r="Y865" s="380"/>
    </row>
    <row r="866" spans="1:31" ht="15" customHeight="1">
      <c r="A866" s="3" t="s">
        <v>143</v>
      </c>
      <c r="B866" s="3" t="s">
        <v>236</v>
      </c>
      <c r="C866" s="103" t="str">
        <f>IF(ISBLANK(B866),"",_xlfn.XLOOKUP(B866,Recruiter!A:A,Recruiter!B:B))</f>
        <v>Pooja</v>
      </c>
      <c r="D866" s="103" t="str">
        <f>IF(ISBLANK(A866),"",_xlfn.XLOOKUP(A866,'Requirement Overview'!C:C,'Requirement Overview'!E:E))</f>
        <v>Talme</v>
      </c>
      <c r="E866" s="103" t="str">
        <f>IF(ISBLANK(A866),"",_xlfn.XLOOKUP(A866,'Requirement Overview'!C:C,'Requirement Overview'!H:H))</f>
        <v>Non - IT</v>
      </c>
      <c r="F866" s="77" t="str">
        <f>IF(ISBLANK(A866),"",_xlfn.XLOOKUP(A866,'Requirement Overview'!C:C,'Requirement Overview'!I:I))</f>
        <v>Manufacturing ITI</v>
      </c>
      <c r="G866" s="58" t="str">
        <f>IF(ISBLANK(A866),"",_xlfn.XLOOKUP(A866,'Requirement Overview'!C:C,'Requirement Overview'!G:G))</f>
        <v>Micron</v>
      </c>
      <c r="H866" s="266" t="s">
        <v>3378</v>
      </c>
      <c r="I866" s="3" t="s">
        <v>262</v>
      </c>
      <c r="J866" s="77"/>
      <c r="K866" s="3"/>
      <c r="L866" s="3" t="s">
        <v>3220</v>
      </c>
      <c r="M866" s="3" t="s">
        <v>1253</v>
      </c>
      <c r="N866" s="3"/>
      <c r="O866" s="3"/>
      <c r="P866" s="3" t="s">
        <v>3234</v>
      </c>
      <c r="Q866" s="3" t="s">
        <v>3268</v>
      </c>
      <c r="R866" s="3"/>
      <c r="S866" s="3" t="s">
        <v>360</v>
      </c>
      <c r="T866" s="3" t="s">
        <v>103</v>
      </c>
      <c r="U866" s="55">
        <v>46093</v>
      </c>
      <c r="V866" s="55">
        <v>46093</v>
      </c>
      <c r="W866" s="3"/>
      <c r="X866" s="380"/>
      <c r="Y866" s="380"/>
    </row>
    <row r="867" spans="1:31" ht="15" customHeight="1">
      <c r="A867" s="3" t="s">
        <v>143</v>
      </c>
      <c r="B867" s="3" t="s">
        <v>236</v>
      </c>
      <c r="C867" s="103" t="str">
        <f>IF(ISBLANK(B867),"",_xlfn.XLOOKUP(B867,Recruiter!A:A,Recruiter!B:B))</f>
        <v>Pooja</v>
      </c>
      <c r="D867" s="103" t="str">
        <f>IF(ISBLANK(A867),"",_xlfn.XLOOKUP(A867,'Requirement Overview'!C:C,'Requirement Overview'!E:E))</f>
        <v>Talme</v>
      </c>
      <c r="E867" s="103" t="str">
        <f>IF(ISBLANK(A867),"",_xlfn.XLOOKUP(A867,'Requirement Overview'!C:C,'Requirement Overview'!H:H))</f>
        <v>Non - IT</v>
      </c>
      <c r="F867" s="77" t="str">
        <f>IF(ISBLANK(A867),"",_xlfn.XLOOKUP(A867,'Requirement Overview'!C:C,'Requirement Overview'!I:I))</f>
        <v>Manufacturing ITI</v>
      </c>
      <c r="G867" s="58" t="str">
        <f>IF(ISBLANK(A867),"",_xlfn.XLOOKUP(A867,'Requirement Overview'!C:C,'Requirement Overview'!G:G))</f>
        <v>Micron</v>
      </c>
      <c r="H867" s="266" t="s">
        <v>3379</v>
      </c>
      <c r="I867" s="3" t="s">
        <v>497</v>
      </c>
      <c r="J867" s="77"/>
      <c r="K867" s="3"/>
      <c r="L867" s="3" t="s">
        <v>3220</v>
      </c>
      <c r="M867" s="3" t="s">
        <v>923</v>
      </c>
      <c r="N867" s="3"/>
      <c r="O867" s="3"/>
      <c r="P867" s="3" t="s">
        <v>806</v>
      </c>
      <c r="Q867" s="3" t="s">
        <v>3268</v>
      </c>
      <c r="R867" s="3"/>
      <c r="S867" s="3" t="s">
        <v>360</v>
      </c>
      <c r="T867" s="3" t="s">
        <v>103</v>
      </c>
      <c r="U867" s="55">
        <v>46093</v>
      </c>
      <c r="V867" s="55">
        <v>46093</v>
      </c>
      <c r="W867" s="3"/>
      <c r="X867" s="380"/>
      <c r="Y867" s="380"/>
    </row>
    <row r="868" spans="1:31" ht="15" customHeight="1">
      <c r="A868" s="3" t="s">
        <v>143</v>
      </c>
      <c r="B868" s="3" t="s">
        <v>236</v>
      </c>
      <c r="C868" s="103" t="str">
        <f>IF(ISBLANK(B868),"",_xlfn.XLOOKUP(B868,Recruiter!A:A,Recruiter!B:B))</f>
        <v>Pooja</v>
      </c>
      <c r="D868" s="103" t="str">
        <f>IF(ISBLANK(A868),"",_xlfn.XLOOKUP(A868,'Requirement Overview'!C:C,'Requirement Overview'!E:E))</f>
        <v>Talme</v>
      </c>
      <c r="E868" s="103" t="str">
        <f>IF(ISBLANK(A868),"",_xlfn.XLOOKUP(A868,'Requirement Overview'!C:C,'Requirement Overview'!H:H))</f>
        <v>Non - IT</v>
      </c>
      <c r="F868" s="77" t="str">
        <f>IF(ISBLANK(A868),"",_xlfn.XLOOKUP(A868,'Requirement Overview'!C:C,'Requirement Overview'!I:I))</f>
        <v>Manufacturing ITI</v>
      </c>
      <c r="G868" s="58" t="str">
        <f>IF(ISBLANK(A868),"",_xlfn.XLOOKUP(A868,'Requirement Overview'!C:C,'Requirement Overview'!G:G))</f>
        <v>Micron</v>
      </c>
      <c r="H868" s="266" t="s">
        <v>3380</v>
      </c>
      <c r="I868" s="3" t="s">
        <v>519</v>
      </c>
      <c r="J868" s="77"/>
      <c r="K868" s="3"/>
      <c r="L868" s="3" t="s">
        <v>3220</v>
      </c>
      <c r="M868" s="3" t="s">
        <v>3337</v>
      </c>
      <c r="N868" s="3"/>
      <c r="O868" s="3"/>
      <c r="P868" s="3" t="s">
        <v>3338</v>
      </c>
      <c r="Q868" s="3" t="s">
        <v>3268</v>
      </c>
      <c r="R868" s="3"/>
      <c r="S868" s="3" t="s">
        <v>1536</v>
      </c>
      <c r="T868" s="3" t="s">
        <v>103</v>
      </c>
      <c r="U868" s="55">
        <v>46093</v>
      </c>
      <c r="V868" s="55">
        <v>46093</v>
      </c>
      <c r="W868" s="3"/>
      <c r="X868" s="380"/>
      <c r="Y868" s="380"/>
    </row>
    <row r="869" spans="1:31" ht="15" customHeight="1">
      <c r="A869" s="3" t="s">
        <v>143</v>
      </c>
      <c r="B869" s="3" t="s">
        <v>236</v>
      </c>
      <c r="C869" s="103" t="str">
        <f>IF(ISBLANK(B869),"",_xlfn.XLOOKUP(B869,Recruiter!A:A,Recruiter!B:B))</f>
        <v>Pooja</v>
      </c>
      <c r="D869" s="103" t="str">
        <f>IF(ISBLANK(A869),"",_xlfn.XLOOKUP(A869,'Requirement Overview'!C:C,'Requirement Overview'!E:E))</f>
        <v>Talme</v>
      </c>
      <c r="E869" s="103" t="str">
        <f>IF(ISBLANK(A869),"",_xlfn.XLOOKUP(A869,'Requirement Overview'!C:C,'Requirement Overview'!H:H))</f>
        <v>Non - IT</v>
      </c>
      <c r="F869" s="77" t="str">
        <f>IF(ISBLANK(A869),"",_xlfn.XLOOKUP(A869,'Requirement Overview'!C:C,'Requirement Overview'!I:I))</f>
        <v>Manufacturing ITI</v>
      </c>
      <c r="G869" s="58" t="str">
        <f>IF(ISBLANK(A869),"",_xlfn.XLOOKUP(A869,'Requirement Overview'!C:C,'Requirement Overview'!G:G))</f>
        <v>Micron</v>
      </c>
      <c r="H869" s="387" t="s">
        <v>3381</v>
      </c>
      <c r="I869" s="3" t="s">
        <v>519</v>
      </c>
      <c r="J869" s="77"/>
      <c r="K869" s="3"/>
      <c r="L869" s="3" t="s">
        <v>3220</v>
      </c>
      <c r="M869" s="3" t="s">
        <v>514</v>
      </c>
      <c r="N869" s="3"/>
      <c r="O869" s="3"/>
      <c r="P869" s="3" t="s">
        <v>1720</v>
      </c>
      <c r="Q869" s="3" t="s">
        <v>3268</v>
      </c>
      <c r="R869" s="3"/>
      <c r="S869" s="3" t="s">
        <v>375</v>
      </c>
      <c r="T869" s="3" t="s">
        <v>103</v>
      </c>
      <c r="U869" s="55">
        <v>46093</v>
      </c>
      <c r="V869" s="55">
        <v>46093</v>
      </c>
      <c r="W869" s="3"/>
      <c r="X869" s="380"/>
      <c r="Y869" s="380"/>
    </row>
    <row r="870" spans="1:31" ht="15" customHeight="1">
      <c r="A870" s="3" t="s">
        <v>143</v>
      </c>
      <c r="B870" s="3" t="s">
        <v>236</v>
      </c>
      <c r="C870" s="103" t="str">
        <f>IF(ISBLANK(B870),"",_xlfn.XLOOKUP(B870,Recruiter!A:A,Recruiter!B:B))</f>
        <v>Pooja</v>
      </c>
      <c r="D870" s="103" t="str">
        <f>IF(ISBLANK(A870),"",_xlfn.XLOOKUP(A870,'Requirement Overview'!C:C,'Requirement Overview'!E:E))</f>
        <v>Talme</v>
      </c>
      <c r="E870" s="103" t="str">
        <f>IF(ISBLANK(A870),"",_xlfn.XLOOKUP(A870,'Requirement Overview'!C:C,'Requirement Overview'!H:H))</f>
        <v>Non - IT</v>
      </c>
      <c r="F870" s="77" t="str">
        <f>IF(ISBLANK(A870),"",_xlfn.XLOOKUP(A870,'Requirement Overview'!C:C,'Requirement Overview'!I:I))</f>
        <v>Manufacturing ITI</v>
      </c>
      <c r="G870" s="58" t="s">
        <v>138</v>
      </c>
      <c r="H870" s="266" t="s">
        <v>3382</v>
      </c>
      <c r="I870" s="3" t="s">
        <v>519</v>
      </c>
      <c r="J870" s="77"/>
      <c r="K870" s="3"/>
      <c r="L870" s="3" t="s">
        <v>3220</v>
      </c>
      <c r="M870" s="3" t="s">
        <v>923</v>
      </c>
      <c r="N870" s="3"/>
      <c r="O870" s="3"/>
      <c r="P870" s="3" t="s">
        <v>806</v>
      </c>
      <c r="Q870" s="3" t="s">
        <v>3268</v>
      </c>
      <c r="R870" s="3"/>
      <c r="S870" s="3" t="s">
        <v>375</v>
      </c>
      <c r="T870" s="3" t="s">
        <v>103</v>
      </c>
      <c r="U870" s="55">
        <v>46094</v>
      </c>
      <c r="V870" s="55">
        <v>46094</v>
      </c>
      <c r="W870" s="3"/>
      <c r="X870" s="380"/>
      <c r="Y870" s="380"/>
    </row>
    <row r="871" spans="1:31" ht="15" customHeight="1">
      <c r="A871" s="3" t="s">
        <v>143</v>
      </c>
      <c r="B871" s="3" t="s">
        <v>236</v>
      </c>
      <c r="C871" s="103" t="str">
        <f>IF(ISBLANK(B871),"",_xlfn.XLOOKUP(B871,Recruiter!A:A,Recruiter!B:B))</f>
        <v>Pooja</v>
      </c>
      <c r="D871" s="103" t="str">
        <f>IF(ISBLANK(A871),"",_xlfn.XLOOKUP(A871,'Requirement Overview'!C:C,'Requirement Overview'!E:E))</f>
        <v>Talme</v>
      </c>
      <c r="E871" s="103" t="str">
        <f>IF(ISBLANK(A871),"",_xlfn.XLOOKUP(A871,'Requirement Overview'!C:C,'Requirement Overview'!H:H))</f>
        <v>Non - IT</v>
      </c>
      <c r="F871" s="77" t="str">
        <f>IF(ISBLANK(A871),"",_xlfn.XLOOKUP(A871,'Requirement Overview'!C:C,'Requirement Overview'!I:I))</f>
        <v>Manufacturing ITI</v>
      </c>
      <c r="G871" s="58" t="str">
        <f>IF(ISBLANK(A871),"",_xlfn.XLOOKUP(A871,'Requirement Overview'!C:C,'Requirement Overview'!G:G))</f>
        <v>Micron</v>
      </c>
      <c r="H871" s="3" t="s">
        <v>3383</v>
      </c>
      <c r="I871" s="3" t="s">
        <v>303</v>
      </c>
      <c r="J871" s="77"/>
      <c r="K871" s="3"/>
      <c r="L871" s="3" t="s">
        <v>3220</v>
      </c>
      <c r="M871" s="3" t="s">
        <v>978</v>
      </c>
      <c r="N871" s="3"/>
      <c r="O871" s="3"/>
      <c r="P871" s="3" t="s">
        <v>3234</v>
      </c>
      <c r="Q871" s="3" t="s">
        <v>3268</v>
      </c>
      <c r="R871" s="3"/>
      <c r="S871" s="3" t="s">
        <v>375</v>
      </c>
      <c r="T871" s="3" t="s">
        <v>103</v>
      </c>
      <c r="U871" s="55">
        <v>46094</v>
      </c>
      <c r="V871" s="55">
        <v>46094</v>
      </c>
      <c r="W871" s="3"/>
      <c r="X871" s="380"/>
      <c r="Y871" s="380"/>
    </row>
    <row r="872" spans="1:31" ht="15" customHeight="1">
      <c r="A872" s="24" t="s">
        <v>143</v>
      </c>
      <c r="B872" s="24" t="s">
        <v>236</v>
      </c>
      <c r="C872" s="103" t="str">
        <f>IF(ISBLANK(B872),"",_xlfn.XLOOKUP(B872,Recruiter!A:A,Recruiter!B:B))</f>
        <v>Pooja</v>
      </c>
      <c r="D872" s="103" t="str">
        <f>IF(ISBLANK(A872),"",_xlfn.XLOOKUP(A872,'Requirement Overview'!C:C,'Requirement Overview'!E:E))</f>
        <v>Talme</v>
      </c>
      <c r="E872" s="103" t="str">
        <f>IF(ISBLANK(A872),"",_xlfn.XLOOKUP(A872,'Requirement Overview'!C:C,'Requirement Overview'!H:H))</f>
        <v>Non - IT</v>
      </c>
      <c r="F872" s="77" t="str">
        <f>IF(ISBLANK(A872),"",_xlfn.XLOOKUP(A872,'Requirement Overview'!C:C,'Requirement Overview'!I:I))</f>
        <v>Manufacturing ITI</v>
      </c>
      <c r="G872" s="58" t="str">
        <f>IF(ISBLANK(A872),"",_xlfn.XLOOKUP(A872,'Requirement Overview'!C:C,'Requirement Overview'!G:G))</f>
        <v>Micron</v>
      </c>
      <c r="H872" s="3" t="s">
        <v>3384</v>
      </c>
      <c r="I872" s="3" t="s">
        <v>262</v>
      </c>
      <c r="J872" s="59"/>
      <c r="L872" s="81" t="s">
        <v>3385</v>
      </c>
      <c r="M872" s="3" t="s">
        <v>978</v>
      </c>
      <c r="P872" s="3" t="s">
        <v>1499</v>
      </c>
      <c r="Q872" s="3" t="s">
        <v>3268</v>
      </c>
      <c r="S872" s="24" t="s">
        <v>375</v>
      </c>
      <c r="T872" s="24" t="s">
        <v>103</v>
      </c>
      <c r="U872" s="29">
        <v>46097</v>
      </c>
      <c r="V872" s="29">
        <v>46097</v>
      </c>
    </row>
    <row r="873" spans="1:31" ht="15" customHeight="1">
      <c r="A873" s="24" t="s">
        <v>140</v>
      </c>
      <c r="B873" s="24" t="s">
        <v>236</v>
      </c>
      <c r="C873" s="103" t="str">
        <f>IF(ISBLANK(B873),"",_xlfn.XLOOKUP(B873,Recruiter!A:A,Recruiter!B:B))</f>
        <v>Pooja</v>
      </c>
      <c r="D873" s="103" t="str">
        <f>IF(ISBLANK(A873),"",_xlfn.XLOOKUP(A873,'Requirement Overview'!C:C,'Requirement Overview'!E:E))</f>
        <v>Talme</v>
      </c>
      <c r="E873" s="103" t="str">
        <f>IF(ISBLANK(A873),"",_xlfn.XLOOKUP(A873,'Requirement Overview'!C:C,'Requirement Overview'!H:H))</f>
        <v>Non - IT</v>
      </c>
      <c r="F873" s="77" t="str">
        <f>IF(ISBLANK(A873),"",_xlfn.XLOOKUP(A873,'Requirement Overview'!C:C,'Requirement Overview'!I:I))</f>
        <v>Production Operator</v>
      </c>
      <c r="G873" s="58" t="str">
        <f>IF(ISBLANK(A873),"",_xlfn.XLOOKUP(A873,'Requirement Overview'!C:C,'Requirement Overview'!G:G))</f>
        <v>Micron</v>
      </c>
      <c r="H873" s="3" t="s">
        <v>3386</v>
      </c>
      <c r="I873" s="3" t="s">
        <v>262</v>
      </c>
      <c r="J873" s="59"/>
      <c r="L873" s="3" t="s">
        <v>733</v>
      </c>
      <c r="M873" s="3" t="s">
        <v>514</v>
      </c>
      <c r="P873" s="3" t="s">
        <v>3234</v>
      </c>
      <c r="Q873" s="3" t="s">
        <v>3268</v>
      </c>
      <c r="S873" s="24" t="s">
        <v>375</v>
      </c>
      <c r="T873" s="24" t="s">
        <v>103</v>
      </c>
      <c r="U873" s="29">
        <v>46097</v>
      </c>
      <c r="V873" s="29">
        <v>46097</v>
      </c>
    </row>
    <row r="874" spans="1:31" ht="15" customHeight="1">
      <c r="A874" s="24" t="s">
        <v>140</v>
      </c>
      <c r="B874" s="24" t="s">
        <v>236</v>
      </c>
      <c r="C874" s="103" t="str">
        <f>IF(ISBLANK(B874),"",_xlfn.XLOOKUP(B874,Recruiter!A:A,Recruiter!B:B))</f>
        <v>Pooja</v>
      </c>
      <c r="D874" s="103" t="str">
        <f>IF(ISBLANK(A874),"",_xlfn.XLOOKUP(A874,'Requirement Overview'!C:C,'Requirement Overview'!E:E))</f>
        <v>Talme</v>
      </c>
      <c r="E874" s="103" t="str">
        <f>IF(ISBLANK(A874),"",_xlfn.XLOOKUP(A874,'Requirement Overview'!C:C,'Requirement Overview'!H:H))</f>
        <v>Non - IT</v>
      </c>
      <c r="F874" s="77" t="str">
        <f>IF(ISBLANK(A874),"",_xlfn.XLOOKUP(A874,'Requirement Overview'!C:C,'Requirement Overview'!I:I))</f>
        <v>Production Operator</v>
      </c>
      <c r="G874" s="58" t="str">
        <f>IF(ISBLANK(A874),"",_xlfn.XLOOKUP(A874,'Requirement Overview'!C:C,'Requirement Overview'!G:G))</f>
        <v>Micron</v>
      </c>
      <c r="H874" s="301" t="s">
        <v>3387</v>
      </c>
      <c r="I874" s="3" t="s">
        <v>519</v>
      </c>
      <c r="J874" s="59"/>
      <c r="L874" s="3" t="s">
        <v>3322</v>
      </c>
      <c r="M874" s="399" t="s">
        <v>3327</v>
      </c>
      <c r="P874" s="3" t="s">
        <v>3388</v>
      </c>
      <c r="Q874" s="3" t="s">
        <v>3268</v>
      </c>
      <c r="S874" s="24" t="s">
        <v>375</v>
      </c>
      <c r="T874" s="24" t="s">
        <v>103</v>
      </c>
      <c r="U874" s="29">
        <v>46097</v>
      </c>
      <c r="V874" s="29">
        <v>46097</v>
      </c>
    </row>
    <row r="875" spans="1:31" ht="15" customHeight="1">
      <c r="A875" s="24" t="s">
        <v>140</v>
      </c>
      <c r="B875" s="24" t="s">
        <v>236</v>
      </c>
      <c r="C875" s="103" t="str">
        <f>IF(ISBLANK(B875),"",_xlfn.XLOOKUP(B875,Recruiter!A:A,Recruiter!B:B))</f>
        <v>Pooja</v>
      </c>
      <c r="D875" s="103" t="str">
        <f>IF(ISBLANK(A875),"",_xlfn.XLOOKUP(A875,'Requirement Overview'!C:C,'Requirement Overview'!E:E))</f>
        <v>Talme</v>
      </c>
      <c r="E875" s="103" t="str">
        <f>IF(ISBLANK(A875),"",_xlfn.XLOOKUP(A875,'Requirement Overview'!C:C,'Requirement Overview'!H:H))</f>
        <v>Non - IT</v>
      </c>
      <c r="F875" s="77" t="str">
        <f>IF(ISBLANK(A875),"",_xlfn.XLOOKUP(A875,'Requirement Overview'!C:C,'Requirement Overview'!I:I))</f>
        <v>Production Operator</v>
      </c>
      <c r="G875" s="58" t="str">
        <f>IF(ISBLANK(A875),"",_xlfn.XLOOKUP(A875,'Requirement Overview'!C:C,'Requirement Overview'!G:G))</f>
        <v>Micron</v>
      </c>
      <c r="H875" s="301" t="s">
        <v>3389</v>
      </c>
      <c r="I875" s="3" t="s">
        <v>519</v>
      </c>
      <c r="J875" s="59"/>
      <c r="L875" s="3" t="s">
        <v>3322</v>
      </c>
      <c r="M875" s="399" t="s">
        <v>3390</v>
      </c>
      <c r="P875" s="3" t="s">
        <v>1139</v>
      </c>
      <c r="Q875" s="3" t="s">
        <v>3268</v>
      </c>
      <c r="S875" s="24" t="s">
        <v>375</v>
      </c>
      <c r="T875" s="24" t="s">
        <v>103</v>
      </c>
      <c r="U875" s="29">
        <v>46097</v>
      </c>
      <c r="V875" s="29">
        <v>46097</v>
      </c>
    </row>
    <row r="876" spans="1:31" ht="15" customHeight="1">
      <c r="A876" s="24" t="s">
        <v>143</v>
      </c>
      <c r="B876" s="24" t="s">
        <v>236</v>
      </c>
      <c r="C876" s="103" t="str">
        <f>IF(ISBLANK(B876),"",_xlfn.XLOOKUP(B876,Recruiter!A:A,Recruiter!B:B))</f>
        <v>Pooja</v>
      </c>
      <c r="D876" s="103" t="str">
        <f>IF(ISBLANK(A876),"",_xlfn.XLOOKUP(A876,'Requirement Overview'!C:C,'Requirement Overview'!E:E))</f>
        <v>Talme</v>
      </c>
      <c r="E876" s="103" t="str">
        <f>IF(ISBLANK(A876),"",_xlfn.XLOOKUP(A876,'Requirement Overview'!C:C,'Requirement Overview'!H:H))</f>
        <v>Non - IT</v>
      </c>
      <c r="F876" s="77" t="str">
        <f>IF(ISBLANK(A876),"",_xlfn.XLOOKUP(A876,'Requirement Overview'!C:C,'Requirement Overview'!I:I))</f>
        <v>Manufacturing ITI</v>
      </c>
      <c r="G876" s="58" t="str">
        <f>IF(ISBLANK(A876),"",_xlfn.XLOOKUP(A876,'Requirement Overview'!C:C,'Requirement Overview'!G:G))</f>
        <v>Micron</v>
      </c>
      <c r="H876" s="301" t="s">
        <v>3391</v>
      </c>
      <c r="I876" s="3" t="s">
        <v>519</v>
      </c>
      <c r="J876" s="59"/>
      <c r="L876" s="3" t="s">
        <v>3220</v>
      </c>
      <c r="M876" s="399" t="s">
        <v>642</v>
      </c>
      <c r="P876" s="3" t="s">
        <v>3330</v>
      </c>
      <c r="Q876" s="3" t="s">
        <v>3268</v>
      </c>
      <c r="S876" s="24" t="s">
        <v>375</v>
      </c>
      <c r="T876" s="24" t="s">
        <v>103</v>
      </c>
      <c r="U876" s="29">
        <v>46097</v>
      </c>
      <c r="V876" s="29">
        <v>46097</v>
      </c>
    </row>
    <row r="877" spans="1:31" ht="15" customHeight="1">
      <c r="A877" s="51" t="s">
        <v>140</v>
      </c>
      <c r="B877" s="51" t="s">
        <v>236</v>
      </c>
      <c r="C877" s="104" t="str">
        <f>IF(ISBLANK(B877),"",_xlfn.XLOOKUP(B877,Recruiter!A:A,Recruiter!B:B))</f>
        <v>Pooja</v>
      </c>
      <c r="D877" s="104" t="str">
        <f>IF(ISBLANK(A877),"",_xlfn.XLOOKUP(A877,'Requirement Overview'!C:C,'Requirement Overview'!E:E))</f>
        <v>Talme</v>
      </c>
      <c r="E877" s="104" t="str">
        <f>IF(ISBLANK(A877),"",_xlfn.XLOOKUP(A877,'Requirement Overview'!C:C,'Requirement Overview'!H:H))</f>
        <v>Non - IT</v>
      </c>
      <c r="F877" s="445" t="str">
        <f>IF(ISBLANK(A877),"",_xlfn.XLOOKUP(A877,'Requirement Overview'!C:C,'Requirement Overview'!I:I))</f>
        <v>Production Operator</v>
      </c>
      <c r="G877" s="62" t="str">
        <f>IF(ISBLANK(A877),"",_xlfn.XLOOKUP(A877,'Requirement Overview'!C:C,'Requirement Overview'!G:G))</f>
        <v>Micron</v>
      </c>
      <c r="H877" s="400" t="s">
        <v>3392</v>
      </c>
      <c r="I877" s="50" t="s">
        <v>497</v>
      </c>
      <c r="J877" s="225"/>
      <c r="K877" s="51"/>
      <c r="L877" s="50" t="s">
        <v>3322</v>
      </c>
      <c r="M877" s="448" t="s">
        <v>1253</v>
      </c>
      <c r="N877" s="51"/>
      <c r="O877" s="51"/>
      <c r="P877" s="50" t="s">
        <v>1499</v>
      </c>
      <c r="Q877" s="50" t="s">
        <v>3268</v>
      </c>
      <c r="R877" s="51"/>
      <c r="S877" s="51" t="s">
        <v>375</v>
      </c>
      <c r="T877" s="51" t="s">
        <v>103</v>
      </c>
      <c r="U877" s="89">
        <v>46097</v>
      </c>
      <c r="V877" s="89">
        <v>46097</v>
      </c>
      <c r="W877" s="51"/>
      <c r="X877" s="51"/>
      <c r="Y877" s="51"/>
      <c r="Z877" s="51"/>
      <c r="AA877" s="51"/>
      <c r="AB877" s="51"/>
      <c r="AC877" s="51"/>
      <c r="AD877" s="51"/>
    </row>
    <row r="878" spans="1:31" ht="15" customHeight="1">
      <c r="A878" s="702" t="s">
        <v>164</v>
      </c>
      <c r="B878" s="702" t="s">
        <v>258</v>
      </c>
      <c r="C878" s="103" t="str">
        <f>IF(ISBLANK(B878),"",_xlfn.XLOOKUP(B878,Recruiter!A:A,Recruiter!B:B))</f>
        <v>Bhoomika</v>
      </c>
      <c r="D878" s="487" t="s">
        <v>25</v>
      </c>
      <c r="E878" s="487" t="s">
        <v>27</v>
      </c>
      <c r="F878" s="476" t="s">
        <v>3393</v>
      </c>
      <c r="G878" s="702" t="s">
        <v>146</v>
      </c>
      <c r="H878" s="485" t="s">
        <v>3394</v>
      </c>
      <c r="I878" s="702" t="s">
        <v>519</v>
      </c>
      <c r="J878" s="470" t="s">
        <v>3395</v>
      </c>
      <c r="K878" s="470">
        <v>7548843698</v>
      </c>
      <c r="L878" s="470" t="s">
        <v>305</v>
      </c>
      <c r="M878" s="470" t="s">
        <v>1035</v>
      </c>
      <c r="N878" s="470" t="s">
        <v>3396</v>
      </c>
      <c r="O878" s="470" t="s">
        <v>368</v>
      </c>
      <c r="P878" s="470" t="s">
        <v>268</v>
      </c>
      <c r="Q878" s="470" t="s">
        <v>268</v>
      </c>
      <c r="R878" s="470" t="s">
        <v>1525</v>
      </c>
      <c r="S878" s="702" t="s">
        <v>601</v>
      </c>
      <c r="T878" s="702" t="s">
        <v>103</v>
      </c>
      <c r="U878" s="703">
        <v>46098</v>
      </c>
      <c r="V878" s="703">
        <v>46098</v>
      </c>
      <c r="W878" s="702"/>
      <c r="X878" s="702"/>
      <c r="Y878" s="702"/>
      <c r="Z878" s="702"/>
      <c r="AA878" s="702"/>
      <c r="AB878" s="702"/>
      <c r="AC878" s="702"/>
      <c r="AD878" s="702"/>
      <c r="AE878" s="46"/>
    </row>
    <row r="879" spans="1:31" ht="15" customHeight="1">
      <c r="A879" s="702" t="s">
        <v>164</v>
      </c>
      <c r="B879" s="702" t="s">
        <v>258</v>
      </c>
      <c r="C879" s="103" t="str">
        <f>IF(ISBLANK(B879),"",_xlfn.XLOOKUP(B879,Recruiter!A:A,Recruiter!B:B))</f>
        <v>Bhoomika</v>
      </c>
      <c r="D879" s="487" t="s">
        <v>25</v>
      </c>
      <c r="E879" s="487" t="s">
        <v>27</v>
      </c>
      <c r="F879" s="476" t="s">
        <v>3393</v>
      </c>
      <c r="G879" s="702" t="s">
        <v>146</v>
      </c>
      <c r="H879" s="485" t="s">
        <v>3397</v>
      </c>
      <c r="I879" s="702" t="s">
        <v>519</v>
      </c>
      <c r="J879" s="480" t="s">
        <v>3398</v>
      </c>
      <c r="K879" s="470">
        <v>9902249411</v>
      </c>
      <c r="L879" s="470" t="s">
        <v>305</v>
      </c>
      <c r="M879" s="470" t="s">
        <v>3399</v>
      </c>
      <c r="N879" s="470" t="s">
        <v>3400</v>
      </c>
      <c r="O879" s="470" t="s">
        <v>407</v>
      </c>
      <c r="P879" s="470" t="s">
        <v>268</v>
      </c>
      <c r="Q879" s="470" t="s">
        <v>268</v>
      </c>
      <c r="R879" s="470" t="s">
        <v>589</v>
      </c>
      <c r="S879" s="702" t="s">
        <v>601</v>
      </c>
      <c r="T879" s="702" t="s">
        <v>103</v>
      </c>
      <c r="U879" s="703">
        <v>46098</v>
      </c>
      <c r="V879" s="703">
        <v>46098</v>
      </c>
      <c r="W879" s="702"/>
      <c r="X879" s="702"/>
      <c r="Y879" s="702"/>
      <c r="Z879" s="702"/>
      <c r="AA879" s="702"/>
      <c r="AB879" s="702"/>
      <c r="AC879" s="702"/>
      <c r="AD879" s="702"/>
      <c r="AE879" s="46"/>
    </row>
    <row r="880" spans="1:31" ht="15" customHeight="1">
      <c r="A880" s="702" t="s">
        <v>164</v>
      </c>
      <c r="B880" s="702" t="s">
        <v>258</v>
      </c>
      <c r="C880" s="103" t="str">
        <f>IF(ISBLANK(B880),"",_xlfn.XLOOKUP(B880,Recruiter!A:A,Recruiter!B:B))</f>
        <v>Bhoomika</v>
      </c>
      <c r="D880" s="487" t="s">
        <v>25</v>
      </c>
      <c r="E880" s="487" t="s">
        <v>27</v>
      </c>
      <c r="F880" s="476" t="s">
        <v>3393</v>
      </c>
      <c r="G880" s="702" t="s">
        <v>146</v>
      </c>
      <c r="H880" s="485" t="s">
        <v>3401</v>
      </c>
      <c r="I880" s="702" t="s">
        <v>519</v>
      </c>
      <c r="J880" s="480" t="s">
        <v>3402</v>
      </c>
      <c r="K880" s="470">
        <v>7973149624</v>
      </c>
      <c r="L880" s="470" t="s">
        <v>350</v>
      </c>
      <c r="M880" s="470" t="s">
        <v>558</v>
      </c>
      <c r="N880" s="470" t="s">
        <v>995</v>
      </c>
      <c r="O880" s="470" t="s">
        <v>368</v>
      </c>
      <c r="P880" s="470" t="s">
        <v>268</v>
      </c>
      <c r="Q880" s="470" t="s">
        <v>268</v>
      </c>
      <c r="R880" s="470" t="s">
        <v>715</v>
      </c>
      <c r="S880" s="702" t="s">
        <v>601</v>
      </c>
      <c r="T880" s="702" t="s">
        <v>103</v>
      </c>
      <c r="U880" s="703">
        <v>46098</v>
      </c>
      <c r="V880" s="703">
        <v>46098</v>
      </c>
      <c r="W880" s="702"/>
      <c r="X880" s="702"/>
      <c r="Y880" s="702"/>
      <c r="Z880" s="702"/>
      <c r="AA880" s="702"/>
      <c r="AB880" s="702"/>
      <c r="AC880" s="702"/>
      <c r="AD880" s="702"/>
      <c r="AE880" s="46"/>
    </row>
    <row r="881" spans="1:45" ht="15" customHeight="1">
      <c r="A881" s="702" t="s">
        <v>164</v>
      </c>
      <c r="B881" s="702" t="s">
        <v>258</v>
      </c>
      <c r="C881" s="103" t="str">
        <f>IF(ISBLANK(B881),"",_xlfn.XLOOKUP(B881,Recruiter!A:A,Recruiter!B:B))</f>
        <v>Bhoomika</v>
      </c>
      <c r="D881" s="487" t="s">
        <v>25</v>
      </c>
      <c r="E881" s="487" t="s">
        <v>27</v>
      </c>
      <c r="F881" s="476" t="s">
        <v>3393</v>
      </c>
      <c r="G881" s="702" t="s">
        <v>146</v>
      </c>
      <c r="H881" s="485" t="s">
        <v>3403</v>
      </c>
      <c r="I881" s="702" t="s">
        <v>519</v>
      </c>
      <c r="J881" s="485" t="s">
        <v>3404</v>
      </c>
      <c r="K881" s="470">
        <v>8220692620</v>
      </c>
      <c r="L881" s="470" t="s">
        <v>305</v>
      </c>
      <c r="M881" s="470" t="s">
        <v>1595</v>
      </c>
      <c r="N881" s="470" t="s">
        <v>3405</v>
      </c>
      <c r="O881" s="470" t="s">
        <v>1579</v>
      </c>
      <c r="P881" s="470" t="s">
        <v>268</v>
      </c>
      <c r="Q881" s="470" t="s">
        <v>268</v>
      </c>
      <c r="R881" s="470" t="s">
        <v>373</v>
      </c>
      <c r="S881" s="702" t="s">
        <v>601</v>
      </c>
      <c r="T881" s="702" t="s">
        <v>103</v>
      </c>
      <c r="U881" s="703">
        <v>46097</v>
      </c>
      <c r="V881" s="703">
        <v>46097</v>
      </c>
      <c r="W881" s="702"/>
      <c r="X881" s="702"/>
      <c r="Y881" s="702"/>
      <c r="Z881" s="702"/>
      <c r="AA881" s="702"/>
      <c r="AB881" s="702"/>
      <c r="AC881" s="702"/>
      <c r="AD881" s="702"/>
      <c r="AE881" s="46"/>
    </row>
    <row r="882" spans="1:45" ht="15" customHeight="1">
      <c r="A882" s="702" t="s">
        <v>150</v>
      </c>
      <c r="B882" s="702" t="s">
        <v>258</v>
      </c>
      <c r="C882" s="103" t="str">
        <f>IF(ISBLANK(B882),"",_xlfn.XLOOKUP(B882,Recruiter!A:A,Recruiter!B:B))</f>
        <v>Bhoomika</v>
      </c>
      <c r="D882" s="487" t="str">
        <f>IF(ISBLANK(A882),"",_xlfn.XLOOKUP(A882,'Requirement Overview'!C:C,'Requirement Overview'!E:E))</f>
        <v>Talme</v>
      </c>
      <c r="E882" s="487" t="str">
        <f>IF(ISBLANK(A882),"",_xlfn.XLOOKUP(A882,'Requirement Overview'!C:C,'Requirement Overview'!H:H))</f>
        <v>IT</v>
      </c>
      <c r="F882" s="476" t="str">
        <f>IF(ISBLANK(A882),"",_xlfn.XLOOKUP(A882,'Requirement Overview'!C:C,'Requirement Overview'!I:I))</f>
        <v>Embedded Software Developer -1</v>
      </c>
      <c r="G882" s="702" t="str">
        <f>IF(ISBLANK(A882),"",_xlfn.XLOOKUP(A882,'Requirement Overview'!C:C,'Requirement Overview'!G:G))</f>
        <v>LTTS</v>
      </c>
      <c r="H882" s="485" t="s">
        <v>3406</v>
      </c>
      <c r="I882" s="702" t="s">
        <v>3407</v>
      </c>
      <c r="J882" s="485" t="s">
        <v>3408</v>
      </c>
      <c r="K882" s="470">
        <v>9713883884</v>
      </c>
      <c r="L882" s="470" t="s">
        <v>305</v>
      </c>
      <c r="M882" s="470" t="s">
        <v>1230</v>
      </c>
      <c r="N882" s="470" t="s">
        <v>3409</v>
      </c>
      <c r="O882" s="470" t="s">
        <v>3410</v>
      </c>
      <c r="P882" s="470" t="s">
        <v>268</v>
      </c>
      <c r="Q882" s="470" t="s">
        <v>268</v>
      </c>
      <c r="R882" s="470" t="s">
        <v>757</v>
      </c>
      <c r="S882" s="702" t="s">
        <v>601</v>
      </c>
      <c r="T882" s="702" t="s">
        <v>103</v>
      </c>
      <c r="U882" s="703">
        <v>46097</v>
      </c>
      <c r="V882" s="703">
        <v>46097</v>
      </c>
      <c r="W882" s="702"/>
      <c r="X882" s="702"/>
      <c r="Y882" s="702"/>
      <c r="Z882" s="702"/>
      <c r="AA882" s="702"/>
      <c r="AB882" s="702"/>
      <c r="AC882" s="702"/>
      <c r="AD882" s="702"/>
      <c r="AE882" s="46"/>
    </row>
    <row r="883" spans="1:45" ht="15" customHeight="1">
      <c r="A883" s="702" t="s">
        <v>143</v>
      </c>
      <c r="B883" s="702" t="s">
        <v>258</v>
      </c>
      <c r="C883" s="103" t="str">
        <f>IF(ISBLANK(B883),"",_xlfn.XLOOKUP(B883,Recruiter!A:A,Recruiter!B:B))</f>
        <v>Bhoomika</v>
      </c>
      <c r="D883" s="487" t="str">
        <f>IF(ISBLANK(A883),"",_xlfn.XLOOKUP(A883,'Requirement Overview'!C:C,'Requirement Overview'!E:E))</f>
        <v>Talme</v>
      </c>
      <c r="E883" s="487" t="str">
        <f>IF(ISBLANK(A883),"",_xlfn.XLOOKUP(A883,'Requirement Overview'!C:C,'Requirement Overview'!H:H))</f>
        <v>Non - IT</v>
      </c>
      <c r="F883" s="476" t="str">
        <f>IF(ISBLANK(A883),"",_xlfn.XLOOKUP(A883,'Requirement Overview'!C:C,'Requirement Overview'!I:I))</f>
        <v>Manufacturing ITI</v>
      </c>
      <c r="G883" s="702" t="str">
        <f>IF(ISBLANK(A883),"",_xlfn.XLOOKUP(A883,'Requirement Overview'!C:C,'Requirement Overview'!G:G))</f>
        <v>Micron</v>
      </c>
      <c r="H883" s="488" t="s">
        <v>3411</v>
      </c>
      <c r="I883" s="702" t="s">
        <v>1933</v>
      </c>
      <c r="J883" s="476"/>
      <c r="K883" s="702">
        <v>8460818348</v>
      </c>
      <c r="L883" s="702" t="s">
        <v>3412</v>
      </c>
      <c r="M883" s="702" t="s">
        <v>647</v>
      </c>
      <c r="N883" s="702"/>
      <c r="O883" s="702"/>
      <c r="P883" s="702" t="s">
        <v>3234</v>
      </c>
      <c r="Q883" s="702" t="s">
        <v>3234</v>
      </c>
      <c r="R883" s="702"/>
      <c r="S883" s="702" t="s">
        <v>375</v>
      </c>
      <c r="T883" s="702" t="s">
        <v>103</v>
      </c>
      <c r="U883" s="703">
        <v>46092</v>
      </c>
      <c r="V883" s="703">
        <v>46092</v>
      </c>
      <c r="W883" s="702"/>
      <c r="X883" s="702"/>
      <c r="Y883" s="702"/>
      <c r="Z883" s="702"/>
      <c r="AA883" s="702"/>
      <c r="AB883" s="702"/>
      <c r="AC883" s="702"/>
      <c r="AD883" s="702"/>
      <c r="AE883" s="46"/>
    </row>
    <row r="884" spans="1:45" ht="15" customHeight="1">
      <c r="A884" s="702" t="s">
        <v>110</v>
      </c>
      <c r="B884" s="702" t="s">
        <v>258</v>
      </c>
      <c r="C884" s="103" t="str">
        <f>IF(ISBLANK(B884),"",_xlfn.XLOOKUP(B884,Recruiter!A:A,Recruiter!B:B))</f>
        <v>Bhoomika</v>
      </c>
      <c r="D884" s="487" t="str">
        <f>IF(ISBLANK(A884),"",_xlfn.XLOOKUP(A884,'Requirement Overview'!C:C,'Requirement Overview'!E:E))</f>
        <v>Talme</v>
      </c>
      <c r="E884" s="487" t="str">
        <f>IF(ISBLANK(A884),"",_xlfn.XLOOKUP(A884,'Requirement Overview'!C:C,'Requirement Overview'!H:H))</f>
        <v>IT</v>
      </c>
      <c r="F884" s="476" t="str">
        <f>IF(ISBLANK(A884),"",_xlfn.XLOOKUP(A884,'Requirement Overview'!C:C,'Requirement Overview'!I:I))</f>
        <v>Technical Lead - Mobile Development</v>
      </c>
      <c r="G884" s="702" t="str">
        <f>IF(ISBLANK(A884),"",_xlfn.XLOOKUP(A884,'Requirement Overview'!C:C,'Requirement Overview'!G:G))</f>
        <v>Semnox Solutions</v>
      </c>
      <c r="H884" s="485" t="s">
        <v>3413</v>
      </c>
      <c r="I884" s="702" t="s">
        <v>3414</v>
      </c>
      <c r="J884" s="476"/>
      <c r="K884" s="702">
        <v>7996463677</v>
      </c>
      <c r="L884" s="702"/>
      <c r="M884" s="702" t="s">
        <v>3415</v>
      </c>
      <c r="N884" s="702"/>
      <c r="O884" s="702" t="s">
        <v>429</v>
      </c>
      <c r="P884" s="702" t="s">
        <v>1471</v>
      </c>
      <c r="Q884" s="702" t="s">
        <v>1471</v>
      </c>
      <c r="R884" s="702" t="s">
        <v>368</v>
      </c>
      <c r="S884" s="702" t="s">
        <v>518</v>
      </c>
      <c r="T884" s="702" t="s">
        <v>103</v>
      </c>
      <c r="U884" s="703">
        <v>46087</v>
      </c>
      <c r="V884" s="703">
        <v>46087</v>
      </c>
      <c r="W884" s="702"/>
      <c r="X884" s="702"/>
      <c r="Y884" s="702"/>
      <c r="Z884" s="702"/>
      <c r="AA884" s="702"/>
      <c r="AB884" s="702"/>
      <c r="AC884" s="702"/>
      <c r="AD884" s="702"/>
      <c r="AE884" s="46"/>
    </row>
    <row r="885" spans="1:45" ht="15" customHeight="1">
      <c r="A885" s="702" t="s">
        <v>110</v>
      </c>
      <c r="B885" s="702" t="s">
        <v>258</v>
      </c>
      <c r="C885" s="103" t="str">
        <f>IF(ISBLANK(B885),"",_xlfn.XLOOKUP(B885,Recruiter!A:A,Recruiter!B:B))</f>
        <v>Bhoomika</v>
      </c>
      <c r="D885" s="487" t="str">
        <f>IF(ISBLANK(A885),"",_xlfn.XLOOKUP(A885,'Requirement Overview'!C:C,'Requirement Overview'!E:E))</f>
        <v>Talme</v>
      </c>
      <c r="E885" s="487" t="str">
        <f>IF(ISBLANK(A885),"",_xlfn.XLOOKUP(A885,'Requirement Overview'!C:C,'Requirement Overview'!H:H))</f>
        <v>IT</v>
      </c>
      <c r="F885" s="476" t="str">
        <f>IF(ISBLANK(A885),"",_xlfn.XLOOKUP(A885,'Requirement Overview'!C:C,'Requirement Overview'!I:I))</f>
        <v>Technical Lead - Mobile Development</v>
      </c>
      <c r="G885" s="702" t="str">
        <f>IF(ISBLANK(A885),"",_xlfn.XLOOKUP(A885,'Requirement Overview'!C:C,'Requirement Overview'!G:G))</f>
        <v>Semnox Solutions</v>
      </c>
      <c r="H885" s="485" t="s">
        <v>3416</v>
      </c>
      <c r="I885" s="702" t="s">
        <v>3417</v>
      </c>
      <c r="J885" s="476"/>
      <c r="K885" s="702">
        <v>7337890837</v>
      </c>
      <c r="L885" s="702"/>
      <c r="M885" s="702" t="s">
        <v>3418</v>
      </c>
      <c r="N885" s="702"/>
      <c r="O885" s="702" t="s">
        <v>381</v>
      </c>
      <c r="P885" s="702" t="s">
        <v>1471</v>
      </c>
      <c r="Q885" s="702" t="s">
        <v>1471</v>
      </c>
      <c r="R885" s="702" t="s">
        <v>3419</v>
      </c>
      <c r="S885" s="702" t="s">
        <v>518</v>
      </c>
      <c r="T885" s="702" t="s">
        <v>103</v>
      </c>
      <c r="U885" s="703">
        <v>46087</v>
      </c>
      <c r="V885" s="703">
        <v>46087</v>
      </c>
      <c r="W885" s="702"/>
      <c r="X885" s="702"/>
      <c r="Y885" s="702"/>
      <c r="Z885" s="702"/>
      <c r="AA885" s="702"/>
      <c r="AB885" s="702"/>
      <c r="AC885" s="702"/>
      <c r="AD885" s="702"/>
      <c r="AE885" s="46"/>
    </row>
    <row r="886" spans="1:45" ht="15" customHeight="1">
      <c r="A886" s="702" t="s">
        <v>150</v>
      </c>
      <c r="B886" s="702" t="s">
        <v>258</v>
      </c>
      <c r="C886" s="103" t="str">
        <f>IF(ISBLANK(B886),"",_xlfn.XLOOKUP(B886,Recruiter!A:A,Recruiter!B:B))</f>
        <v>Bhoomika</v>
      </c>
      <c r="D886" s="487" t="str">
        <f>IF(ISBLANK(A886),"",_xlfn.XLOOKUP(A886,'Requirement Overview'!C:C,'Requirement Overview'!E:E))</f>
        <v>Talme</v>
      </c>
      <c r="E886" s="487" t="str">
        <f>IF(ISBLANK(A886),"",_xlfn.XLOOKUP(A886,'Requirement Overview'!C:C,'Requirement Overview'!H:H))</f>
        <v>IT</v>
      </c>
      <c r="F886" s="476" t="str">
        <f>IF(ISBLANK(A886),"",_xlfn.XLOOKUP(A886,'Requirement Overview'!C:C,'Requirement Overview'!I:I))</f>
        <v>Embedded Software Developer -1</v>
      </c>
      <c r="G886" s="702" t="str">
        <f>IF(ISBLANK(A886),"",_xlfn.XLOOKUP(A886,'Requirement Overview'!C:C,'Requirement Overview'!G:G))</f>
        <v>LTTS</v>
      </c>
      <c r="H886" s="482" t="s">
        <v>3420</v>
      </c>
      <c r="I886" s="702" t="s">
        <v>3417</v>
      </c>
      <c r="J886" s="478" t="s">
        <v>3421</v>
      </c>
      <c r="K886" s="702">
        <v>9660864395</v>
      </c>
      <c r="L886" s="702" t="s">
        <v>305</v>
      </c>
      <c r="M886" s="702" t="s">
        <v>942</v>
      </c>
      <c r="N886" s="702" t="s">
        <v>3422</v>
      </c>
      <c r="O886" s="702" t="s">
        <v>600</v>
      </c>
      <c r="P886" s="702" t="s">
        <v>268</v>
      </c>
      <c r="Q886" s="702" t="s">
        <v>268</v>
      </c>
      <c r="R886" s="702" t="s">
        <v>548</v>
      </c>
      <c r="S886" s="702" t="s">
        <v>601</v>
      </c>
      <c r="T886" s="702" t="s">
        <v>103</v>
      </c>
      <c r="U886" s="703">
        <v>46094</v>
      </c>
      <c r="V886" s="703">
        <v>46094</v>
      </c>
      <c r="W886" s="702"/>
      <c r="X886" s="702"/>
      <c r="Y886" s="702"/>
      <c r="Z886" s="702"/>
      <c r="AA886" s="702"/>
      <c r="AB886" s="702"/>
      <c r="AC886" s="702"/>
      <c r="AD886" s="702"/>
      <c r="AE886" s="46"/>
    </row>
    <row r="887" spans="1:45" ht="15" customHeight="1">
      <c r="A887" s="702" t="s">
        <v>152</v>
      </c>
      <c r="B887" s="702" t="s">
        <v>258</v>
      </c>
      <c r="C887" s="103" t="str">
        <f>IF(ISBLANK(B887),"",_xlfn.XLOOKUP(B887,Recruiter!A:A,Recruiter!B:B))</f>
        <v>Bhoomika</v>
      </c>
      <c r="D887" s="487" t="str">
        <f>IF(ISBLANK(A887),"",_xlfn.XLOOKUP(A887,'Requirement Overview'!C:C,'Requirement Overview'!E:E))</f>
        <v>Talme</v>
      </c>
      <c r="E887" s="487" t="str">
        <f>IF(ISBLANK(A887),"",_xlfn.XLOOKUP(A887,'Requirement Overview'!C:C,'Requirement Overview'!H:H))</f>
        <v>IT</v>
      </c>
      <c r="F887" s="476" t="str">
        <f>IF(ISBLANK(A887),"",_xlfn.XLOOKUP(A887,'Requirement Overview'!C:C,'Requirement Overview'!I:I))</f>
        <v>Embedded Software Developer-2</v>
      </c>
      <c r="G887" s="702" t="str">
        <f>IF(ISBLANK(A887),"",_xlfn.XLOOKUP(A887,'Requirement Overview'!C:C,'Requirement Overview'!G:G))</f>
        <v>LTTS</v>
      </c>
      <c r="H887" s="470" t="s">
        <v>3423</v>
      </c>
      <c r="I887" s="702" t="s">
        <v>3424</v>
      </c>
      <c r="J887" s="478" t="s">
        <v>3425</v>
      </c>
      <c r="K887" s="470">
        <v>7676417745</v>
      </c>
      <c r="L887" s="702" t="s">
        <v>311</v>
      </c>
      <c r="M887" s="702" t="s">
        <v>1230</v>
      </c>
      <c r="N887" s="702" t="s">
        <v>3426</v>
      </c>
      <c r="O887" s="702" t="s">
        <v>373</v>
      </c>
      <c r="P887" s="702" t="s">
        <v>268</v>
      </c>
      <c r="Q887" s="702" t="s">
        <v>268</v>
      </c>
      <c r="R887" s="702" t="s">
        <v>1144</v>
      </c>
      <c r="S887" s="702" t="s">
        <v>601</v>
      </c>
      <c r="T887" s="702" t="s">
        <v>103</v>
      </c>
      <c r="U887" s="703">
        <v>46092</v>
      </c>
      <c r="V887" s="703">
        <v>46092</v>
      </c>
      <c r="W887" s="702"/>
      <c r="X887" s="702"/>
      <c r="Y887" s="702"/>
      <c r="Z887" s="702"/>
      <c r="AA887" s="702"/>
      <c r="AB887" s="702"/>
      <c r="AC887" s="702"/>
      <c r="AD887" s="702"/>
      <c r="AE887" s="46"/>
    </row>
    <row r="888" spans="1:45" ht="15" customHeight="1">
      <c r="A888" s="47" t="s">
        <v>140</v>
      </c>
      <c r="B888" s="47" t="s">
        <v>236</v>
      </c>
      <c r="C888" s="433" t="str">
        <f>IF(ISBLANK(B888),"",_xlfn.XLOOKUP(B888,Recruiter!A:A,Recruiter!B:B))</f>
        <v>Pooja</v>
      </c>
      <c r="D888" s="433" t="str">
        <f>IF(ISBLANK(A888),"",_xlfn.XLOOKUP(A888,'Requirement Overview'!C:C,'Requirement Overview'!E:E))</f>
        <v>Talme</v>
      </c>
      <c r="E888" s="433" t="str">
        <f>IF(ISBLANK(A888),"",_xlfn.XLOOKUP(A888,'Requirement Overview'!C:C,'Requirement Overview'!H:H))</f>
        <v>Non - IT</v>
      </c>
      <c r="F888" s="434" t="str">
        <f>IF(ISBLANK(A888),"",_xlfn.XLOOKUP(A888,'Requirement Overview'!C:C,'Requirement Overview'!I:I))</f>
        <v>Production Operator</v>
      </c>
      <c r="G888" s="255" t="str">
        <f>IF(ISBLANK(A888),"",_xlfn.XLOOKUP(A888,'Requirement Overview'!C:C,'Requirement Overview'!G:G))</f>
        <v>Micron</v>
      </c>
      <c r="H888" s="454" t="s">
        <v>3427</v>
      </c>
      <c r="I888" s="5" t="s">
        <v>497</v>
      </c>
      <c r="J888"/>
      <c r="K888" s="47"/>
      <c r="L888" s="5" t="s">
        <v>3322</v>
      </c>
      <c r="M888" s="5" t="s">
        <v>3428</v>
      </c>
      <c r="N888" s="47"/>
      <c r="O888" s="47"/>
      <c r="P888" s="5" t="s">
        <v>1684</v>
      </c>
      <c r="Q888" s="47" t="s">
        <v>3268</v>
      </c>
      <c r="R888" s="47"/>
      <c r="S888" s="47" t="s">
        <v>601</v>
      </c>
      <c r="T888" s="47" t="s">
        <v>103</v>
      </c>
      <c r="U888" s="118">
        <v>46098</v>
      </c>
      <c r="V888" s="118">
        <v>46098</v>
      </c>
      <c r="W888" s="47"/>
      <c r="X888" s="47"/>
      <c r="Y888" s="47"/>
      <c r="Z888" s="47"/>
      <c r="AA888" s="47"/>
      <c r="AB888" s="47"/>
      <c r="AC888" s="47"/>
      <c r="AD888" s="47"/>
    </row>
    <row r="889" spans="1:45" ht="15" customHeight="1">
      <c r="A889" s="24" t="s">
        <v>140</v>
      </c>
      <c r="B889" s="24" t="s">
        <v>236</v>
      </c>
      <c r="C889" s="103" t="str">
        <f>IF(ISBLANK(B889),"",_xlfn.XLOOKUP(B889,Recruiter!A:A,Recruiter!B:B))</f>
        <v>Pooja</v>
      </c>
      <c r="D889" s="103" t="str">
        <f>IF(ISBLANK(A889),"",_xlfn.XLOOKUP(A889,'Requirement Overview'!C:C,'Requirement Overview'!E:E))</f>
        <v>Talme</v>
      </c>
      <c r="E889" s="103" t="str">
        <f>IF(ISBLANK(A889),"",_xlfn.XLOOKUP(A889,'Requirement Overview'!C:C,'Requirement Overview'!H:H))</f>
        <v>Non - IT</v>
      </c>
      <c r="F889" s="77" t="str">
        <f>IF(ISBLANK(A889),"",_xlfn.XLOOKUP(A889,'Requirement Overview'!C:C,'Requirement Overview'!I:I))</f>
        <v>Production Operator</v>
      </c>
      <c r="G889" s="58" t="str">
        <f>IF(ISBLANK(A889),"",_xlfn.XLOOKUP(A889,'Requirement Overview'!C:C,'Requirement Overview'!G:G))</f>
        <v>Micron</v>
      </c>
      <c r="H889" s="301" t="s">
        <v>3429</v>
      </c>
      <c r="I889" s="3" t="s">
        <v>262</v>
      </c>
      <c r="J889"/>
      <c r="L889" s="3" t="s">
        <v>3322</v>
      </c>
      <c r="M889" s="3" t="s">
        <v>3337</v>
      </c>
      <c r="P889" s="3" t="s">
        <v>1221</v>
      </c>
      <c r="Q889" s="24" t="s">
        <v>3268</v>
      </c>
      <c r="S889" s="24" t="s">
        <v>601</v>
      </c>
      <c r="T889" s="24" t="s">
        <v>103</v>
      </c>
      <c r="U889" s="29">
        <v>46098</v>
      </c>
      <c r="V889" s="29">
        <v>46098</v>
      </c>
    </row>
    <row r="890" spans="1:45" s="51" customFormat="1" ht="15" customHeight="1">
      <c r="A890" s="51" t="s">
        <v>143</v>
      </c>
      <c r="B890" s="51" t="s">
        <v>236</v>
      </c>
      <c r="C890" s="103" t="str">
        <f>IF(ISBLANK(B890),"",_xlfn.XLOOKUP(B890,Recruiter!A:A,Recruiter!B:B))</f>
        <v>Pooja</v>
      </c>
      <c r="D890" s="103" t="str">
        <f>IF(ISBLANK(A890),"",_xlfn.XLOOKUP(A890,'Requirement Overview'!C:C,'Requirement Overview'!E:E))</f>
        <v>Talme</v>
      </c>
      <c r="E890" s="103" t="str">
        <f>IF(ISBLANK(A890),"",_xlfn.XLOOKUP(A890,'Requirement Overview'!C:C,'Requirement Overview'!H:H))</f>
        <v>Non - IT</v>
      </c>
      <c r="F890" s="77" t="str">
        <f>IF(ISBLANK(A890),"",_xlfn.XLOOKUP(A890,'Requirement Overview'!C:C,'Requirement Overview'!I:I))</f>
        <v>Manufacturing ITI</v>
      </c>
      <c r="G890" s="58" t="str">
        <f>IF(ISBLANK(A890),"",_xlfn.XLOOKUP(A890,'Requirement Overview'!C:C,'Requirement Overview'!G:G))</f>
        <v>Micron</v>
      </c>
      <c r="H890" s="400" t="s">
        <v>3430</v>
      </c>
      <c r="I890" s="50" t="s">
        <v>519</v>
      </c>
      <c r="J890" s="225"/>
      <c r="L890" s="50" t="s">
        <v>3220</v>
      </c>
      <c r="M890" s="50" t="s">
        <v>514</v>
      </c>
      <c r="P890" s="50" t="s">
        <v>3431</v>
      </c>
      <c r="Q890" s="51" t="s">
        <v>3268</v>
      </c>
      <c r="S890" s="24" t="s">
        <v>601</v>
      </c>
      <c r="T890" s="24" t="s">
        <v>103</v>
      </c>
      <c r="U890" s="89">
        <v>46098</v>
      </c>
      <c r="V890" s="89">
        <v>46098</v>
      </c>
      <c r="AL890" s="73"/>
      <c r="AM890" s="73"/>
      <c r="AS890" s="73"/>
    </row>
    <row r="891" spans="1:45" ht="15" customHeight="1">
      <c r="A891" s="24" t="s">
        <v>143</v>
      </c>
      <c r="B891" s="24" t="s">
        <v>236</v>
      </c>
      <c r="C891" s="103" t="str">
        <f>IF(ISBLANK(B891),"",_xlfn.XLOOKUP(B891,Recruiter!A:A,Recruiter!B:B))</f>
        <v>Pooja</v>
      </c>
      <c r="D891" s="103" t="str">
        <f>IF(ISBLANK(A891),"",_xlfn.XLOOKUP(A891,'Requirement Overview'!C:C,'Requirement Overview'!E:E))</f>
        <v>Talme</v>
      </c>
      <c r="E891" s="103" t="str">
        <f>IF(ISBLANK(A891),"",_xlfn.XLOOKUP(A891,'Requirement Overview'!C:C,'Requirement Overview'!H:H))</f>
        <v>Non - IT</v>
      </c>
      <c r="F891" s="77" t="str">
        <f>IF(ISBLANK(A891),"",_xlfn.XLOOKUP(A891,'Requirement Overview'!C:C,'Requirement Overview'!I:I))</f>
        <v>Manufacturing ITI</v>
      </c>
      <c r="G891" s="58" t="str">
        <f>IF(ISBLANK(A891),"",_xlfn.XLOOKUP(A891,'Requirement Overview'!C:C,'Requirement Overview'!G:G))</f>
        <v>Micron</v>
      </c>
      <c r="H891" s="188" t="s">
        <v>3432</v>
      </c>
      <c r="I891" s="24" t="s">
        <v>262</v>
      </c>
      <c r="L891" s="24" t="s">
        <v>3220</v>
      </c>
      <c r="M891" s="24" t="s">
        <v>514</v>
      </c>
      <c r="P891" s="24" t="s">
        <v>3338</v>
      </c>
      <c r="Q891" s="24" t="s">
        <v>3268</v>
      </c>
      <c r="S891" s="24" t="s">
        <v>601</v>
      </c>
      <c r="T891" s="24" t="s">
        <v>103</v>
      </c>
      <c r="U891" s="29">
        <v>46098</v>
      </c>
      <c r="V891" s="29">
        <v>46098</v>
      </c>
    </row>
    <row r="892" spans="1:45" ht="15" customHeight="1">
      <c r="A892" s="24" t="s">
        <v>143</v>
      </c>
      <c r="B892" s="24" t="s">
        <v>236</v>
      </c>
      <c r="C892" s="103" t="str">
        <f>IF(ISBLANK(B892),"",_xlfn.XLOOKUP(B892,Recruiter!A:A,Recruiter!B:B))</f>
        <v>Pooja</v>
      </c>
      <c r="D892" s="103" t="str">
        <f>IF(ISBLANK(A892),"",_xlfn.XLOOKUP(A892,'Requirement Overview'!C:C,'Requirement Overview'!E:E))</f>
        <v>Talme</v>
      </c>
      <c r="E892" s="103" t="str">
        <f>IF(ISBLANK(A892),"",_xlfn.XLOOKUP(A892,'Requirement Overview'!C:C,'Requirement Overview'!H:H))</f>
        <v>Non - IT</v>
      </c>
      <c r="F892" s="77" t="str">
        <f>IF(ISBLANK(A892),"",_xlfn.XLOOKUP(A892,'Requirement Overview'!C:C,'Requirement Overview'!I:I))</f>
        <v>Manufacturing ITI</v>
      </c>
      <c r="G892" s="58" t="str">
        <f>IF(ISBLANK(A892),"",_xlfn.XLOOKUP(A892,'Requirement Overview'!C:C,'Requirement Overview'!G:G))</f>
        <v>Micron</v>
      </c>
      <c r="H892" s="188" t="s">
        <v>3433</v>
      </c>
      <c r="I892" s="24" t="s">
        <v>262</v>
      </c>
      <c r="L892" s="24" t="s">
        <v>3220</v>
      </c>
      <c r="M892" s="24" t="s">
        <v>923</v>
      </c>
      <c r="P892" s="24" t="s">
        <v>3338</v>
      </c>
      <c r="Q892" s="24" t="s">
        <v>3268</v>
      </c>
      <c r="S892" s="24" t="s">
        <v>601</v>
      </c>
      <c r="T892" s="24" t="s">
        <v>103</v>
      </c>
      <c r="U892" s="29">
        <v>46098</v>
      </c>
      <c r="V892" s="29">
        <v>46098</v>
      </c>
    </row>
    <row r="893" spans="1:45" s="19" customFormat="1" ht="15" customHeight="1">
      <c r="A893" s="19" t="s">
        <v>150</v>
      </c>
      <c r="B893" s="19" t="s">
        <v>520</v>
      </c>
      <c r="C893" s="103" t="str">
        <f>IF(ISBLANK(B893),"",_xlfn.XLOOKUP(B893,Recruiter!A:A,Recruiter!B:B))</f>
        <v>Narthana</v>
      </c>
      <c r="D893" s="103" t="str">
        <f>IF(ISBLANK(A893),"",_xlfn.XLOOKUP(A893,'Requirement Overview'!C:C,'Requirement Overview'!E:E))</f>
        <v>Talme</v>
      </c>
      <c r="E893" s="103" t="str">
        <f>IF(ISBLANK(A893),"",_xlfn.XLOOKUP(A893,'Requirement Overview'!C:C,'Requirement Overview'!H:H))</f>
        <v>IT</v>
      </c>
      <c r="F893" s="77" t="str">
        <f>IF(ISBLANK(A893),"",_xlfn.XLOOKUP(A893,'Requirement Overview'!C:C,'Requirement Overview'!I:I))</f>
        <v>Embedded Software Developer -1</v>
      </c>
      <c r="G893" s="58" t="str">
        <f>IF(ISBLANK(A893),"",_xlfn.XLOOKUP(A893,'Requirement Overview'!C:C,'Requirement Overview'!G:G))</f>
        <v>LTTS</v>
      </c>
      <c r="H893" s="19" t="s">
        <v>3434</v>
      </c>
      <c r="I893" s="92" t="s">
        <v>519</v>
      </c>
      <c r="J893" s="357" t="s">
        <v>3435</v>
      </c>
      <c r="K893" s="19">
        <v>9866208405</v>
      </c>
      <c r="L893" s="92" t="s">
        <v>305</v>
      </c>
      <c r="M893" s="92" t="s">
        <v>365</v>
      </c>
      <c r="N893" s="92" t="s">
        <v>3436</v>
      </c>
      <c r="O893" s="92" t="s">
        <v>1145</v>
      </c>
      <c r="P893" s="92" t="s">
        <v>879</v>
      </c>
      <c r="Q893" s="92" t="s">
        <v>268</v>
      </c>
      <c r="R893" s="92" t="s">
        <v>474</v>
      </c>
      <c r="S893" s="24" t="s">
        <v>601</v>
      </c>
      <c r="T893" s="24" t="s">
        <v>103</v>
      </c>
      <c r="U893" s="31">
        <v>46099</v>
      </c>
      <c r="V893" s="31">
        <v>46099</v>
      </c>
      <c r="W893" s="19" t="s">
        <v>3437</v>
      </c>
    </row>
    <row r="894" spans="1:45" s="19" customFormat="1" ht="15" customHeight="1">
      <c r="A894" s="19" t="s">
        <v>152</v>
      </c>
      <c r="B894" s="19" t="s">
        <v>520</v>
      </c>
      <c r="C894" s="103" t="str">
        <f>IF(ISBLANK(B894),"",_xlfn.XLOOKUP(B894,Recruiter!A:A,Recruiter!B:B))</f>
        <v>Narthana</v>
      </c>
      <c r="D894" s="103" t="str">
        <f>IF(ISBLANK(A894),"",_xlfn.XLOOKUP(A894,'Requirement Overview'!C:C,'Requirement Overview'!E:E))</f>
        <v>Talme</v>
      </c>
      <c r="E894" s="103" t="str">
        <f>IF(ISBLANK(A894),"",_xlfn.XLOOKUP(A894,'Requirement Overview'!C:C,'Requirement Overview'!H:H))</f>
        <v>IT</v>
      </c>
      <c r="F894" s="77" t="str">
        <f>IF(ISBLANK(A894),"",_xlfn.XLOOKUP(A894,'Requirement Overview'!C:C,'Requirement Overview'!I:I))</f>
        <v>Embedded Software Developer-2</v>
      </c>
      <c r="G894" s="58" t="str">
        <f>IF(ISBLANK(A894),"",_xlfn.XLOOKUP(A894,'Requirement Overview'!C:C,'Requirement Overview'!G:G))</f>
        <v>LTTS</v>
      </c>
      <c r="H894" s="19" t="s">
        <v>3438</v>
      </c>
      <c r="I894" s="19" t="s">
        <v>262</v>
      </c>
      <c r="J894" s="359" t="s">
        <v>3439</v>
      </c>
      <c r="K894" s="19">
        <v>8494831736</v>
      </c>
      <c r="L894" s="19" t="s">
        <v>311</v>
      </c>
      <c r="M894" s="19" t="s">
        <v>3440</v>
      </c>
      <c r="N894" s="19" t="s">
        <v>3441</v>
      </c>
      <c r="O894" s="19" t="s">
        <v>842</v>
      </c>
      <c r="P894" s="19" t="s">
        <v>268</v>
      </c>
      <c r="Q894" s="19" t="s">
        <v>268</v>
      </c>
      <c r="R894" s="19" t="s">
        <v>1302</v>
      </c>
      <c r="S894" s="24" t="s">
        <v>601</v>
      </c>
      <c r="T894" s="24" t="s">
        <v>103</v>
      </c>
      <c r="U894" s="31">
        <v>46099</v>
      </c>
      <c r="V894" s="31">
        <v>46099</v>
      </c>
      <c r="W894" s="19" t="s">
        <v>3437</v>
      </c>
    </row>
    <row r="895" spans="1:45" s="19" customFormat="1" ht="15" customHeight="1">
      <c r="A895" s="19" t="s">
        <v>143</v>
      </c>
      <c r="B895" s="19" t="s">
        <v>520</v>
      </c>
      <c r="C895" s="103" t="str">
        <f>IF(ISBLANK(B895),"",_xlfn.XLOOKUP(B895,Recruiter!A:A,Recruiter!B:B))</f>
        <v>Narthana</v>
      </c>
      <c r="D895" s="103" t="str">
        <f>IF(ISBLANK(A895),"",_xlfn.XLOOKUP(A895,'Requirement Overview'!C:C,'Requirement Overview'!E:E))</f>
        <v>Talme</v>
      </c>
      <c r="E895" s="103" t="str">
        <f>IF(ISBLANK(A895),"",_xlfn.XLOOKUP(A895,'Requirement Overview'!C:C,'Requirement Overview'!H:H))</f>
        <v>Non - IT</v>
      </c>
      <c r="F895" s="77" t="str">
        <f>IF(ISBLANK(A895),"",_xlfn.XLOOKUP(A895,'Requirement Overview'!C:C,'Requirement Overview'!I:I))</f>
        <v>Manufacturing ITI</v>
      </c>
      <c r="G895" s="58" t="str">
        <f>IF(ISBLANK(A895),"",_xlfn.XLOOKUP(A895,'Requirement Overview'!C:C,'Requirement Overview'!G:G))</f>
        <v>Micron</v>
      </c>
      <c r="H895" s="19" t="s">
        <v>3442</v>
      </c>
      <c r="I895" s="19" t="s">
        <v>3270</v>
      </c>
      <c r="J895" s="19" t="s">
        <v>3443</v>
      </c>
      <c r="K895" s="19">
        <v>7390007422</v>
      </c>
      <c r="L895" s="19" t="s">
        <v>3220</v>
      </c>
      <c r="M895" s="19" t="s">
        <v>1269</v>
      </c>
      <c r="O895" s="19" t="s">
        <v>3444</v>
      </c>
      <c r="P895" s="19" t="s">
        <v>3338</v>
      </c>
      <c r="Q895" s="19" t="s">
        <v>3268</v>
      </c>
      <c r="R895" s="19" t="s">
        <v>3244</v>
      </c>
      <c r="S895" s="24" t="s">
        <v>601</v>
      </c>
      <c r="T895" s="24" t="s">
        <v>103</v>
      </c>
      <c r="U895" s="31">
        <v>46100</v>
      </c>
      <c r="V895" s="31">
        <v>46100</v>
      </c>
    </row>
    <row r="896" spans="1:45" s="19" customFormat="1" ht="15" customHeight="1">
      <c r="A896" s="19" t="s">
        <v>140</v>
      </c>
      <c r="B896" s="19" t="s">
        <v>520</v>
      </c>
      <c r="C896" s="103" t="str">
        <f>IF(ISBLANK(B896),"",_xlfn.XLOOKUP(B896,Recruiter!A:A,Recruiter!B:B))</f>
        <v>Narthana</v>
      </c>
      <c r="D896" s="103" t="str">
        <f>IF(ISBLANK(A896),"",_xlfn.XLOOKUP(A896,'Requirement Overview'!C:C,'Requirement Overview'!E:E))</f>
        <v>Talme</v>
      </c>
      <c r="E896" s="103" t="str">
        <f>IF(ISBLANK(A896),"",_xlfn.XLOOKUP(A896,'Requirement Overview'!C:C,'Requirement Overview'!H:H))</f>
        <v>Non - IT</v>
      </c>
      <c r="F896" s="77" t="str">
        <f>IF(ISBLANK(A896),"",_xlfn.XLOOKUP(A896,'Requirement Overview'!C:C,'Requirement Overview'!I:I))</f>
        <v>Production Operator</v>
      </c>
      <c r="G896" s="58" t="str">
        <f>IF(ISBLANK(A896),"",_xlfn.XLOOKUP(A896,'Requirement Overview'!C:C,'Requirement Overview'!G:G))</f>
        <v>Micron</v>
      </c>
      <c r="H896" s="19" t="s">
        <v>3445</v>
      </c>
      <c r="I896" s="19" t="s">
        <v>3270</v>
      </c>
      <c r="J896" s="19" t="s">
        <v>3446</v>
      </c>
      <c r="K896" s="19">
        <v>7318902065</v>
      </c>
      <c r="L896" s="19" t="s">
        <v>733</v>
      </c>
      <c r="M896" s="19" t="s">
        <v>1490</v>
      </c>
      <c r="N896" s="19" t="s">
        <v>3447</v>
      </c>
      <c r="O896" s="19" t="s">
        <v>3448</v>
      </c>
      <c r="P896" s="19" t="s">
        <v>3279</v>
      </c>
      <c r="Q896" s="19" t="s">
        <v>3268</v>
      </c>
      <c r="R896" s="19" t="s">
        <v>2169</v>
      </c>
      <c r="S896" s="24" t="s">
        <v>601</v>
      </c>
      <c r="T896" s="24" t="s">
        <v>103</v>
      </c>
      <c r="U896" s="31">
        <v>46100</v>
      </c>
      <c r="V896" s="31">
        <v>46100</v>
      </c>
    </row>
    <row r="897" spans="1:45" s="19" customFormat="1" ht="15" customHeight="1">
      <c r="A897" s="19" t="s">
        <v>140</v>
      </c>
      <c r="B897" s="19" t="s">
        <v>520</v>
      </c>
      <c r="C897" s="103" t="str">
        <f>IF(ISBLANK(B897),"",_xlfn.XLOOKUP(B897,Recruiter!A:A,Recruiter!B:B))</f>
        <v>Narthana</v>
      </c>
      <c r="D897" s="103" t="str">
        <f>IF(ISBLANK(A897),"",_xlfn.XLOOKUP(A897,'Requirement Overview'!C:C,'Requirement Overview'!E:E))</f>
        <v>Talme</v>
      </c>
      <c r="E897" s="103" t="str">
        <f>IF(ISBLANK(A897),"",_xlfn.XLOOKUP(A897,'Requirement Overview'!C:C,'Requirement Overview'!H:H))</f>
        <v>Non - IT</v>
      </c>
      <c r="F897" s="77" t="str">
        <f>IF(ISBLANK(A897),"",_xlfn.XLOOKUP(A897,'Requirement Overview'!C:C,'Requirement Overview'!I:I))</f>
        <v>Production Operator</v>
      </c>
      <c r="G897" s="58" t="str">
        <f>IF(ISBLANK(A897),"",_xlfn.XLOOKUP(A897,'Requirement Overview'!C:C,'Requirement Overview'!G:G))</f>
        <v>Micron</v>
      </c>
      <c r="H897" s="401" t="s">
        <v>3449</v>
      </c>
      <c r="I897" s="92" t="s">
        <v>262</v>
      </c>
      <c r="J897" s="19" t="s">
        <v>3450</v>
      </c>
      <c r="K897" s="19">
        <v>9993614359</v>
      </c>
      <c r="L897" s="92" t="s">
        <v>3451</v>
      </c>
      <c r="M897" s="19" t="s">
        <v>1490</v>
      </c>
      <c r="N897" s="19" t="s">
        <v>3452</v>
      </c>
      <c r="O897" s="19" t="s">
        <v>568</v>
      </c>
      <c r="P897" s="92" t="s">
        <v>1499</v>
      </c>
      <c r="Q897" s="19" t="s">
        <v>3268</v>
      </c>
      <c r="R897" s="19" t="s">
        <v>1020</v>
      </c>
      <c r="S897" s="24" t="s">
        <v>601</v>
      </c>
      <c r="T897" s="24" t="s">
        <v>103</v>
      </c>
      <c r="U897" s="31">
        <v>46101</v>
      </c>
      <c r="V897" s="31">
        <v>46101</v>
      </c>
    </row>
    <row r="898" spans="1:45" s="19" customFormat="1" ht="15" customHeight="1">
      <c r="A898" s="19" t="s">
        <v>140</v>
      </c>
      <c r="B898" s="19" t="s">
        <v>236</v>
      </c>
      <c r="C898" s="103" t="str">
        <f>IF(ISBLANK(B898),"",_xlfn.XLOOKUP(B898,Recruiter!A:A,Recruiter!B:B))</f>
        <v>Pooja</v>
      </c>
      <c r="D898" s="103" t="str">
        <f>IF(ISBLANK(A898),"",_xlfn.XLOOKUP(A898,'Requirement Overview'!C:C,'Requirement Overview'!E:E))</f>
        <v>Talme</v>
      </c>
      <c r="E898" s="103" t="str">
        <f>IF(ISBLANK(A898),"",_xlfn.XLOOKUP(A898,'Requirement Overview'!C:C,'Requirement Overview'!H:H))</f>
        <v>Non - IT</v>
      </c>
      <c r="F898" s="77" t="str">
        <f>IF(ISBLANK(A898),"",_xlfn.XLOOKUP(A898,'Requirement Overview'!C:C,'Requirement Overview'!I:I))</f>
        <v>Production Operator</v>
      </c>
      <c r="G898" s="58" t="str">
        <f>IF(ISBLANK(A898),"",_xlfn.XLOOKUP(A898,'Requirement Overview'!C:C,'Requirement Overview'!G:G))</f>
        <v>Micron</v>
      </c>
      <c r="H898" s="401" t="s">
        <v>3453</v>
      </c>
      <c r="I898" s="92" t="s">
        <v>497</v>
      </c>
      <c r="J898" s="19" t="s">
        <v>3454</v>
      </c>
      <c r="K898" s="19">
        <v>8858523297</v>
      </c>
      <c r="L898" s="92" t="s">
        <v>3455</v>
      </c>
      <c r="M898" s="19" t="s">
        <v>1490</v>
      </c>
      <c r="N898" s="19" t="s">
        <v>3456</v>
      </c>
      <c r="O898" s="19" t="s">
        <v>1255</v>
      </c>
      <c r="P898" s="92" t="s">
        <v>3338</v>
      </c>
      <c r="Q898" s="19" t="s">
        <v>3268</v>
      </c>
      <c r="R898" s="19" t="s">
        <v>1020</v>
      </c>
      <c r="S898" s="24" t="s">
        <v>601</v>
      </c>
      <c r="T898" s="24" t="s">
        <v>103</v>
      </c>
      <c r="U898" s="31">
        <v>46101</v>
      </c>
      <c r="V898" s="31">
        <v>46101</v>
      </c>
    </row>
    <row r="899" spans="1:45" s="19" customFormat="1" ht="15" customHeight="1">
      <c r="A899" s="73" t="s">
        <v>158</v>
      </c>
      <c r="B899" s="73" t="s">
        <v>520</v>
      </c>
      <c r="C899" s="103" t="str">
        <f>IF(ISBLANK(B899),"",_xlfn.XLOOKUP(B899,Recruiter!A:A,Recruiter!B:B))</f>
        <v>Narthana</v>
      </c>
      <c r="D899" s="104" t="str">
        <f>IF(ISBLANK(A899),"",_xlfn.XLOOKUP(A899,'Requirement Overview'!C:C,'Requirement Overview'!E:E))</f>
        <v>Talme</v>
      </c>
      <c r="E899" s="104" t="str">
        <f>IF(ISBLANK(A899),"",_xlfn.XLOOKUP(A899,'Requirement Overview'!C:C,'Requirement Overview'!H:H))</f>
        <v>IT</v>
      </c>
      <c r="F899" s="445" t="str">
        <f>IF(ISBLANK(A899),"",_xlfn.XLOOKUP(A899,'Requirement Overview'!C:C,'Requirement Overview'!I:I))</f>
        <v>VTR - Labview</v>
      </c>
      <c r="G899" s="62" t="str">
        <f>IF(ISBLANK(A899),"",_xlfn.XLOOKUP(A899,'Requirement Overview'!C:C,'Requirement Overview'!G:G))</f>
        <v>LTTS</v>
      </c>
      <c r="H899" s="73" t="s">
        <v>3457</v>
      </c>
      <c r="I899" s="73" t="s">
        <v>262</v>
      </c>
      <c r="J899" s="449" t="s">
        <v>3458</v>
      </c>
      <c r="K899" s="73">
        <v>8308320726</v>
      </c>
      <c r="L899" s="73" t="s">
        <v>311</v>
      </c>
      <c r="M899" s="73" t="s">
        <v>1650</v>
      </c>
      <c r="N899" s="73" t="s">
        <v>3459</v>
      </c>
      <c r="O899" s="73" t="s">
        <v>382</v>
      </c>
      <c r="P899" s="73" t="s">
        <v>3460</v>
      </c>
      <c r="Q899" s="73" t="s">
        <v>569</v>
      </c>
      <c r="R899" s="73" t="s">
        <v>439</v>
      </c>
      <c r="S899" s="51" t="s">
        <v>601</v>
      </c>
      <c r="T899" s="51" t="s">
        <v>103</v>
      </c>
      <c r="U899" s="450">
        <v>46101</v>
      </c>
      <c r="V899" s="450">
        <v>46101</v>
      </c>
      <c r="W899" s="73"/>
      <c r="X899" s="73"/>
      <c r="Y899" s="73"/>
      <c r="Z899" s="73"/>
      <c r="AA899" s="73"/>
      <c r="AB899" s="73"/>
      <c r="AC899" s="73"/>
      <c r="AD899" s="73"/>
    </row>
    <row r="900" spans="1:45" s="19" customFormat="1" ht="15" customHeight="1">
      <c r="A900" s="77"/>
      <c r="B900" s="77"/>
      <c r="C900" s="103" t="str">
        <f>IF(ISBLANK(B900),"",_xlfn.XLOOKUP(B900,Recruiter!A:A,Recruiter!B:B))</f>
        <v/>
      </c>
      <c r="D900" s="103" t="str">
        <f>IF(ISBLANK(A900),"",_xlfn.XLOOKUP(A900,'Requirement Overview'!C:C,'Requirement Overview'!E:E))</f>
        <v/>
      </c>
      <c r="E900" s="103" t="str">
        <f>IF(ISBLANK(A900),"",_xlfn.XLOOKUP(A900,'Requirement Overview'!C:C,'Requirement Overview'!H:H))</f>
        <v/>
      </c>
      <c r="F900" s="77" t="str">
        <f>IF(ISBLANK(A900),"",_xlfn.XLOOKUP(A900,'Requirement Overview'!C:C,'Requirement Overview'!I:I))</f>
        <v/>
      </c>
      <c r="G900" s="458" t="str">
        <f>IF(ISBLANK(A900),"",_xlfn.XLOOKUP(A900,'Requirement Overview'!C:C,'Requirement Overview'!G:G))</f>
        <v/>
      </c>
      <c r="H900" s="77" t="s">
        <v>3461</v>
      </c>
      <c r="I900" s="77" t="s">
        <v>3462</v>
      </c>
      <c r="J900" s="464" t="s">
        <v>3463</v>
      </c>
      <c r="K900" s="77">
        <v>9871348930</v>
      </c>
      <c r="L900" s="77" t="s">
        <v>305</v>
      </c>
      <c r="M900" s="77" t="s">
        <v>390</v>
      </c>
      <c r="N900" s="77" t="s">
        <v>2324</v>
      </c>
      <c r="O900" s="77" t="s">
        <v>3464</v>
      </c>
      <c r="P900" s="77" t="s">
        <v>1055</v>
      </c>
      <c r="Q900" s="77" t="s">
        <v>3018</v>
      </c>
      <c r="R900" s="77" t="s">
        <v>374</v>
      </c>
      <c r="S900" s="458" t="s">
        <v>601</v>
      </c>
      <c r="T900" s="458" t="s">
        <v>103</v>
      </c>
      <c r="U900" s="308">
        <v>46101</v>
      </c>
      <c r="V900" s="308">
        <v>46101</v>
      </c>
      <c r="W900" s="77"/>
      <c r="X900" s="77"/>
      <c r="Y900" s="77"/>
      <c r="Z900" s="77"/>
      <c r="AA900" s="77"/>
      <c r="AB900" s="77"/>
      <c r="AC900" s="77"/>
      <c r="AD900" s="77"/>
      <c r="AE900" s="109"/>
    </row>
    <row r="901" spans="1:45" ht="15" customHeight="1">
      <c r="A901" s="47" t="s">
        <v>35</v>
      </c>
      <c r="B901" s="47" t="s">
        <v>340</v>
      </c>
      <c r="C901" s="103" t="str">
        <f>IF(ISBLANK(B901),"",_xlfn.XLOOKUP(B901,Recruiter!A:A,Recruiter!B:B))</f>
        <v>Harshitha</v>
      </c>
      <c r="D901" s="433" t="str">
        <f>IF(ISBLANK(A901),"",_xlfn.XLOOKUP(A901,'Requirement Overview'!C:C,'Requirement Overview'!E:E))</f>
        <v>Talme</v>
      </c>
      <c r="E901" s="433" t="str">
        <f>IF(ISBLANK(A901),"",_xlfn.XLOOKUP(A901,'Requirement Overview'!C:C,'Requirement Overview'!H:H))</f>
        <v>IT</v>
      </c>
      <c r="F901" s="434" t="str">
        <f>IF(ISBLANK(A901),"",_xlfn.XLOOKUP(A901,'Requirement Overview'!C:C,'Requirement Overview'!I:I))</f>
        <v>Windows system adminstrator</v>
      </c>
      <c r="G901" s="255" t="str">
        <f>IF(ISBLANK(A901),"",_xlfn.XLOOKUP(A901,'Requirement Overview'!C:C,'Requirement Overview'!G:G))</f>
        <v>EMIDS</v>
      </c>
      <c r="H901" s="435" t="s">
        <v>3465</v>
      </c>
      <c r="I901" s="438" t="s">
        <v>2465</v>
      </c>
      <c r="J901" s="455" t="s">
        <v>3466</v>
      </c>
      <c r="K901" s="465">
        <v>9063200489</v>
      </c>
      <c r="L901" s="438" t="s">
        <v>305</v>
      </c>
      <c r="M901" s="438" t="s">
        <v>371</v>
      </c>
      <c r="N901" s="456" t="s">
        <v>3467</v>
      </c>
      <c r="O901" s="466" t="s">
        <v>424</v>
      </c>
      <c r="P901" s="438" t="s">
        <v>879</v>
      </c>
      <c r="Q901" s="438" t="s">
        <v>879</v>
      </c>
      <c r="R901" s="47" t="s">
        <v>1144</v>
      </c>
      <c r="S901" s="47" t="s">
        <v>601</v>
      </c>
      <c r="T901" s="47" t="s">
        <v>103</v>
      </c>
      <c r="U901" s="118">
        <v>46097</v>
      </c>
      <c r="V901" s="118">
        <v>46097</v>
      </c>
      <c r="W901" s="47"/>
      <c r="X901" s="47"/>
      <c r="Y901" s="47"/>
      <c r="Z901" s="47"/>
      <c r="AA901" s="47"/>
      <c r="AB901" s="47"/>
      <c r="AC901" s="47"/>
      <c r="AD901" s="47"/>
    </row>
    <row r="902" spans="1:45" ht="15" customHeight="1">
      <c r="A902" s="24" t="s">
        <v>35</v>
      </c>
      <c r="B902" s="24" t="s">
        <v>340</v>
      </c>
      <c r="C902" s="103" t="str">
        <f>IF(ISBLANK(B902),"",_xlfn.XLOOKUP(B902,Recruiter!A:A,Recruiter!B:B))</f>
        <v>Harshitha</v>
      </c>
      <c r="D902" s="103" t="str">
        <f>IF(ISBLANK(A902),"",_xlfn.XLOOKUP(A902,'Requirement Overview'!C:C,'Requirement Overview'!E:E))</f>
        <v>Talme</v>
      </c>
      <c r="E902" s="103" t="str">
        <f>IF(ISBLANK(A902),"",_xlfn.XLOOKUP(A902,'Requirement Overview'!C:C,'Requirement Overview'!H:H))</f>
        <v>IT</v>
      </c>
      <c r="F902" s="77" t="str">
        <f>IF(ISBLANK(A902),"",_xlfn.XLOOKUP(A902,'Requirement Overview'!C:C,'Requirement Overview'!I:I))</f>
        <v>Windows system adminstrator</v>
      </c>
      <c r="G902" s="58" t="str">
        <f>IF(ISBLANK(A902),"",_xlfn.XLOOKUP(A902,'Requirement Overview'!C:C,'Requirement Overview'!G:G))</f>
        <v>EMIDS</v>
      </c>
      <c r="H902" s="421" t="s">
        <v>3468</v>
      </c>
      <c r="I902" s="424" t="s">
        <v>519</v>
      </c>
      <c r="J902" s="427" t="s">
        <v>3469</v>
      </c>
      <c r="K902" s="467" t="s">
        <v>3470</v>
      </c>
      <c r="L902" s="424" t="s">
        <v>427</v>
      </c>
      <c r="M902" s="424" t="s">
        <v>379</v>
      </c>
      <c r="N902" s="425" t="s">
        <v>3471</v>
      </c>
      <c r="O902" s="376" t="s">
        <v>3472</v>
      </c>
      <c r="P902" s="424" t="s">
        <v>1139</v>
      </c>
      <c r="Q902" s="424" t="s">
        <v>806</v>
      </c>
      <c r="R902" s="24" t="s">
        <v>407</v>
      </c>
      <c r="S902" s="24" t="s">
        <v>601</v>
      </c>
      <c r="T902" s="24" t="s">
        <v>103</v>
      </c>
      <c r="U902" s="29">
        <v>46097</v>
      </c>
      <c r="V902" s="29">
        <v>46097</v>
      </c>
    </row>
    <row r="903" spans="1:45" ht="15" customHeight="1">
      <c r="A903" s="24" t="s">
        <v>35</v>
      </c>
      <c r="B903" s="24" t="s">
        <v>340</v>
      </c>
      <c r="C903" s="103" t="str">
        <f>IF(ISBLANK(B903),"",_xlfn.XLOOKUP(B903,Recruiter!A:A,Recruiter!B:B))</f>
        <v>Harshitha</v>
      </c>
      <c r="D903" s="103" t="str">
        <f>IF(ISBLANK(A903),"",_xlfn.XLOOKUP(A903,'Requirement Overview'!C:C,'Requirement Overview'!E:E))</f>
        <v>Talme</v>
      </c>
      <c r="E903" s="103" t="str">
        <f>IF(ISBLANK(A903),"",_xlfn.XLOOKUP(A903,'Requirement Overview'!C:C,'Requirement Overview'!H:H))</f>
        <v>IT</v>
      </c>
      <c r="F903" s="77" t="str">
        <f>IF(ISBLANK(A903),"",_xlfn.XLOOKUP(A903,'Requirement Overview'!C:C,'Requirement Overview'!I:I))</f>
        <v>Windows system adminstrator</v>
      </c>
      <c r="G903" s="58" t="str">
        <f>IF(ISBLANK(A903),"",_xlfn.XLOOKUP(A903,'Requirement Overview'!C:C,'Requirement Overview'!G:G))</f>
        <v>EMIDS</v>
      </c>
      <c r="H903" s="421" t="s">
        <v>3473</v>
      </c>
      <c r="I903" s="424" t="s">
        <v>1038</v>
      </c>
      <c r="J903" s="427" t="s">
        <v>3474</v>
      </c>
      <c r="K903" s="467">
        <v>8532916996</v>
      </c>
      <c r="L903" s="424" t="s">
        <v>421</v>
      </c>
      <c r="M903" s="424" t="s">
        <v>437</v>
      </c>
      <c r="N903" s="117" t="s">
        <v>3475</v>
      </c>
      <c r="O903" s="376" t="s">
        <v>327</v>
      </c>
      <c r="P903" s="424" t="s">
        <v>268</v>
      </c>
      <c r="Q903" s="424" t="s">
        <v>268</v>
      </c>
      <c r="R903" s="24" t="s">
        <v>386</v>
      </c>
      <c r="S903" s="24" t="s">
        <v>601</v>
      </c>
      <c r="T903" s="24" t="s">
        <v>103</v>
      </c>
      <c r="U903" s="29">
        <v>46097</v>
      </c>
      <c r="V903" s="29">
        <v>46097</v>
      </c>
    </row>
    <row r="904" spans="1:45" ht="15" customHeight="1">
      <c r="A904" s="24" t="s">
        <v>35</v>
      </c>
      <c r="B904" s="24" t="s">
        <v>340</v>
      </c>
      <c r="C904" s="103" t="str">
        <f>IF(ISBLANK(B904),"",_xlfn.XLOOKUP(B904,Recruiter!A:A,Recruiter!B:B))</f>
        <v>Harshitha</v>
      </c>
      <c r="D904" s="103" t="str">
        <f>IF(ISBLANK(A904),"",_xlfn.XLOOKUP(A904,'Requirement Overview'!C:C,'Requirement Overview'!E:E))</f>
        <v>Talme</v>
      </c>
      <c r="E904" s="103" t="str">
        <f>IF(ISBLANK(A904),"",_xlfn.XLOOKUP(A904,'Requirement Overview'!C:C,'Requirement Overview'!H:H))</f>
        <v>IT</v>
      </c>
      <c r="F904" s="77" t="str">
        <f>IF(ISBLANK(A904),"",_xlfn.XLOOKUP(A904,'Requirement Overview'!C:C,'Requirement Overview'!I:I))</f>
        <v>Windows system adminstrator</v>
      </c>
      <c r="G904" s="58" t="str">
        <f>IF(ISBLANK(A904),"",_xlfn.XLOOKUP(A904,'Requirement Overview'!C:C,'Requirement Overview'!G:G))</f>
        <v>EMIDS</v>
      </c>
      <c r="H904" s="421" t="s">
        <v>3476</v>
      </c>
      <c r="I904" s="424" t="s">
        <v>519</v>
      </c>
      <c r="J904" s="427" t="s">
        <v>3477</v>
      </c>
      <c r="K904" s="467">
        <v>8978921562</v>
      </c>
      <c r="L904" s="424" t="s">
        <v>421</v>
      </c>
      <c r="M904" s="424" t="s">
        <v>371</v>
      </c>
      <c r="N904" s="426" t="s">
        <v>2507</v>
      </c>
      <c r="O904" s="376" t="s">
        <v>424</v>
      </c>
      <c r="P904" s="424" t="s">
        <v>268</v>
      </c>
      <c r="Q904" s="424" t="s">
        <v>268</v>
      </c>
      <c r="R904" s="24" t="s">
        <v>589</v>
      </c>
      <c r="S904" s="24" t="s">
        <v>601</v>
      </c>
      <c r="T904" s="24" t="s">
        <v>103</v>
      </c>
      <c r="U904" s="29">
        <v>46097</v>
      </c>
      <c r="V904" s="29">
        <v>46097</v>
      </c>
    </row>
    <row r="905" spans="1:45" ht="15" customHeight="1">
      <c r="A905" s="24" t="s">
        <v>35</v>
      </c>
      <c r="B905" s="24" t="s">
        <v>340</v>
      </c>
      <c r="C905" s="103" t="str">
        <f>IF(ISBLANK(B905),"",_xlfn.XLOOKUP(B905,Recruiter!A:A,Recruiter!B:B))</f>
        <v>Harshitha</v>
      </c>
      <c r="D905" s="103" t="str">
        <f>IF(ISBLANK(A905),"",_xlfn.XLOOKUP(A905,'Requirement Overview'!C:C,'Requirement Overview'!E:E))</f>
        <v>Talme</v>
      </c>
      <c r="E905" s="103" t="str">
        <f>IF(ISBLANK(A905),"",_xlfn.XLOOKUP(A905,'Requirement Overview'!C:C,'Requirement Overview'!H:H))</f>
        <v>IT</v>
      </c>
      <c r="F905" s="77" t="str">
        <f>IF(ISBLANK(A905),"",_xlfn.XLOOKUP(A905,'Requirement Overview'!C:C,'Requirement Overview'!I:I))</f>
        <v>Windows system adminstrator</v>
      </c>
      <c r="G905" s="58" t="str">
        <f>IF(ISBLANK(A905),"",_xlfn.XLOOKUP(A905,'Requirement Overview'!C:C,'Requirement Overview'!G:G))</f>
        <v>EMIDS</v>
      </c>
      <c r="H905" s="421" t="s">
        <v>3478</v>
      </c>
      <c r="I905" s="424" t="s">
        <v>3479</v>
      </c>
      <c r="J905" s="427" t="s">
        <v>3480</v>
      </c>
      <c r="K905" s="467">
        <v>7003795941</v>
      </c>
      <c r="L905" s="424" t="s">
        <v>305</v>
      </c>
      <c r="M905" s="424" t="s">
        <v>685</v>
      </c>
      <c r="N905" s="426" t="s">
        <v>3481</v>
      </c>
      <c r="O905" s="376" t="s">
        <v>386</v>
      </c>
      <c r="P905" s="424" t="s">
        <v>1139</v>
      </c>
      <c r="Q905" s="424" t="s">
        <v>806</v>
      </c>
      <c r="R905" s="24" t="s">
        <v>540</v>
      </c>
      <c r="S905" s="24" t="s">
        <v>2760</v>
      </c>
      <c r="T905" s="24" t="s">
        <v>103</v>
      </c>
      <c r="U905" s="29">
        <v>46098</v>
      </c>
      <c r="V905" s="29">
        <v>46098</v>
      </c>
      <c r="X905" s="29">
        <v>46106</v>
      </c>
      <c r="Y905" s="24" t="s">
        <v>784</v>
      </c>
      <c r="AJ905" s="29">
        <v>46108</v>
      </c>
      <c r="AK905" s="29">
        <v>46108</v>
      </c>
      <c r="AL905" s="31">
        <v>46108</v>
      </c>
      <c r="AM905" s="31">
        <v>46108</v>
      </c>
      <c r="AN905" s="24" t="s">
        <v>3482</v>
      </c>
      <c r="AO905" s="29">
        <v>46108</v>
      </c>
      <c r="AP905" s="24" t="s">
        <v>2762</v>
      </c>
      <c r="AQ905" s="29">
        <v>46126</v>
      </c>
      <c r="AR905" s="24" t="s">
        <v>3483</v>
      </c>
      <c r="AS905" s="19" t="s">
        <v>540</v>
      </c>
    </row>
    <row r="906" spans="1:45" ht="15" customHeight="1">
      <c r="A906" s="24" t="s">
        <v>35</v>
      </c>
      <c r="B906" s="24" t="s">
        <v>340</v>
      </c>
      <c r="C906" s="103" t="str">
        <f>IF(ISBLANK(B906),"",_xlfn.XLOOKUP(B906,Recruiter!A:A,Recruiter!B:B))</f>
        <v>Harshitha</v>
      </c>
      <c r="D906" s="103" t="str">
        <f>IF(ISBLANK(A906),"",_xlfn.XLOOKUP(A906,'Requirement Overview'!C:C,'Requirement Overview'!E:E))</f>
        <v>Talme</v>
      </c>
      <c r="E906" s="103" t="str">
        <f>IF(ISBLANK(A906),"",_xlfn.XLOOKUP(A906,'Requirement Overview'!C:C,'Requirement Overview'!H:H))</f>
        <v>IT</v>
      </c>
      <c r="F906" s="77" t="str">
        <f>IF(ISBLANK(A906),"",_xlfn.XLOOKUP(A906,'Requirement Overview'!C:C,'Requirement Overview'!I:I))</f>
        <v>Windows system adminstrator</v>
      </c>
      <c r="G906" s="58" t="str">
        <f>IF(ISBLANK(A906),"",_xlfn.XLOOKUP(A906,'Requirement Overview'!C:C,'Requirement Overview'!G:G))</f>
        <v>EMIDS</v>
      </c>
      <c r="H906" s="421" t="s">
        <v>3484</v>
      </c>
      <c r="I906" s="424" t="s">
        <v>519</v>
      </c>
      <c r="J906" s="427" t="s">
        <v>3485</v>
      </c>
      <c r="K906" s="467">
        <v>7589158214</v>
      </c>
      <c r="L906" s="424" t="s">
        <v>305</v>
      </c>
      <c r="M906" s="424" t="s">
        <v>685</v>
      </c>
      <c r="N906" s="426" t="s">
        <v>3486</v>
      </c>
      <c r="O906" s="376" t="s">
        <v>434</v>
      </c>
      <c r="P906" s="424" t="s">
        <v>1720</v>
      </c>
      <c r="Q906" s="424" t="s">
        <v>806</v>
      </c>
      <c r="R906" s="24" t="s">
        <v>429</v>
      </c>
      <c r="S906" s="24" t="s">
        <v>360</v>
      </c>
      <c r="T906" s="24" t="s">
        <v>103</v>
      </c>
      <c r="U906" s="29">
        <v>46098</v>
      </c>
      <c r="V906" s="29">
        <v>46098</v>
      </c>
      <c r="X906" s="29">
        <v>46104</v>
      </c>
      <c r="Y906" s="24" t="s">
        <v>362</v>
      </c>
    </row>
    <row r="907" spans="1:45" ht="15" customHeight="1">
      <c r="A907" s="24" t="s">
        <v>35</v>
      </c>
      <c r="B907" s="24" t="s">
        <v>340</v>
      </c>
      <c r="C907" s="103" t="str">
        <f>IF(ISBLANK(B907),"",_xlfn.XLOOKUP(B907,Recruiter!A:A,Recruiter!B:B))</f>
        <v>Harshitha</v>
      </c>
      <c r="D907" s="103" t="str">
        <f>IF(ISBLANK(A907),"",_xlfn.XLOOKUP(A907,'Requirement Overview'!C:C,'Requirement Overview'!E:E))</f>
        <v>Talme</v>
      </c>
      <c r="E907" s="103" t="str">
        <f>IF(ISBLANK(A907),"",_xlfn.XLOOKUP(A907,'Requirement Overview'!C:C,'Requirement Overview'!H:H))</f>
        <v>IT</v>
      </c>
      <c r="F907" s="77" t="str">
        <f>IF(ISBLANK(A907),"",_xlfn.XLOOKUP(A907,'Requirement Overview'!C:C,'Requirement Overview'!I:I))</f>
        <v>Windows system adminstrator</v>
      </c>
      <c r="G907" s="58" t="str">
        <f>IF(ISBLANK(A907),"",_xlfn.XLOOKUP(A907,'Requirement Overview'!C:C,'Requirement Overview'!G:G))</f>
        <v>EMIDS</v>
      </c>
      <c r="H907" s="421" t="s">
        <v>3487</v>
      </c>
      <c r="I907" s="424" t="s">
        <v>3349</v>
      </c>
      <c r="J907" s="427" t="s">
        <v>3488</v>
      </c>
      <c r="K907" s="467">
        <v>7021475691</v>
      </c>
      <c r="L907" s="424" t="s">
        <v>305</v>
      </c>
      <c r="M907" s="424" t="s">
        <v>365</v>
      </c>
      <c r="N907" s="426" t="s">
        <v>3489</v>
      </c>
      <c r="O907" s="376" t="s">
        <v>367</v>
      </c>
      <c r="P907" s="424" t="s">
        <v>879</v>
      </c>
      <c r="Q907" s="424" t="s">
        <v>879</v>
      </c>
      <c r="R907" s="24" t="s">
        <v>386</v>
      </c>
      <c r="S907" s="24" t="s">
        <v>360</v>
      </c>
      <c r="T907" s="24" t="s">
        <v>103</v>
      </c>
      <c r="U907" s="29">
        <v>46098</v>
      </c>
      <c r="V907" s="29">
        <v>46098</v>
      </c>
      <c r="X907" s="29">
        <v>46105</v>
      </c>
      <c r="Y907" s="24" t="s">
        <v>362</v>
      </c>
    </row>
    <row r="908" spans="1:45" ht="15" customHeight="1">
      <c r="A908" s="24" t="s">
        <v>35</v>
      </c>
      <c r="B908" s="24" t="s">
        <v>340</v>
      </c>
      <c r="C908" s="103" t="str">
        <f>IF(ISBLANK(B908),"",_xlfn.XLOOKUP(B908,Recruiter!A:A,Recruiter!B:B))</f>
        <v>Harshitha</v>
      </c>
      <c r="D908" s="103" t="str">
        <f>IF(ISBLANK(A908),"",_xlfn.XLOOKUP(A908,'Requirement Overview'!C:C,'Requirement Overview'!E:E))</f>
        <v>Talme</v>
      </c>
      <c r="E908" s="103" t="str">
        <f>IF(ISBLANK(A908),"",_xlfn.XLOOKUP(A908,'Requirement Overview'!C:C,'Requirement Overview'!H:H))</f>
        <v>IT</v>
      </c>
      <c r="F908" s="77" t="str">
        <f>IF(ISBLANK(A908),"",_xlfn.XLOOKUP(A908,'Requirement Overview'!C:C,'Requirement Overview'!I:I))</f>
        <v>Windows system adminstrator</v>
      </c>
      <c r="G908" s="58" t="str">
        <f>IF(ISBLANK(A908),"",_xlfn.XLOOKUP(A908,'Requirement Overview'!C:C,'Requirement Overview'!G:G))</f>
        <v>EMIDS</v>
      </c>
      <c r="H908" s="421" t="s">
        <v>3490</v>
      </c>
      <c r="I908" s="424" t="s">
        <v>3491</v>
      </c>
      <c r="J908" s="427" t="s">
        <v>3492</v>
      </c>
      <c r="K908" s="467">
        <v>9096480907</v>
      </c>
      <c r="L908" s="424" t="s">
        <v>404</v>
      </c>
      <c r="M908" s="424" t="s">
        <v>379</v>
      </c>
      <c r="N908" s="426" t="s">
        <v>3493</v>
      </c>
      <c r="O908" s="376" t="s">
        <v>407</v>
      </c>
      <c r="P908" s="424" t="s">
        <v>569</v>
      </c>
      <c r="Q908" s="424" t="s">
        <v>879</v>
      </c>
      <c r="R908" s="24" t="s">
        <v>540</v>
      </c>
      <c r="S908" s="24" t="s">
        <v>601</v>
      </c>
      <c r="T908" s="24" t="s">
        <v>103</v>
      </c>
      <c r="U908" s="29">
        <v>46101</v>
      </c>
      <c r="V908" s="29">
        <v>46101</v>
      </c>
    </row>
    <row r="909" spans="1:45" ht="15" customHeight="1">
      <c r="A909" s="24" t="s">
        <v>35</v>
      </c>
      <c r="B909" s="24" t="s">
        <v>340</v>
      </c>
      <c r="C909" s="103" t="str">
        <f>IF(ISBLANK(B909),"",_xlfn.XLOOKUP(B909,Recruiter!A:A,Recruiter!B:B))</f>
        <v>Harshitha</v>
      </c>
      <c r="D909" s="103" t="str">
        <f>IF(ISBLANK(A909),"",_xlfn.XLOOKUP(A909,'Requirement Overview'!C:C,'Requirement Overview'!E:E))</f>
        <v>Talme</v>
      </c>
      <c r="E909" s="103" t="str">
        <f>IF(ISBLANK(A909),"",_xlfn.XLOOKUP(A909,'Requirement Overview'!C:C,'Requirement Overview'!H:H))</f>
        <v>IT</v>
      </c>
      <c r="F909" s="77" t="str">
        <f>IF(ISBLANK(A909),"",_xlfn.XLOOKUP(A909,'Requirement Overview'!C:C,'Requirement Overview'!I:I))</f>
        <v>Windows system adminstrator</v>
      </c>
      <c r="G909" s="58" t="str">
        <f>IF(ISBLANK(A909),"",_xlfn.XLOOKUP(A909,'Requirement Overview'!C:C,'Requirement Overview'!G:G))</f>
        <v>EMIDS</v>
      </c>
      <c r="H909" s="421" t="s">
        <v>3494</v>
      </c>
      <c r="I909" s="424" t="s">
        <v>519</v>
      </c>
      <c r="J909" s="427" t="s">
        <v>3495</v>
      </c>
      <c r="K909" s="467">
        <v>9643968488</v>
      </c>
      <c r="L909" s="424" t="s">
        <v>330</v>
      </c>
      <c r="M909" s="424" t="s">
        <v>371</v>
      </c>
      <c r="N909" s="426" t="s">
        <v>3496</v>
      </c>
      <c r="O909" s="376" t="s">
        <v>434</v>
      </c>
      <c r="P909" s="424" t="s">
        <v>1055</v>
      </c>
      <c r="Q909" s="424" t="s">
        <v>806</v>
      </c>
      <c r="R909" s="24" t="s">
        <v>407</v>
      </c>
      <c r="S909" s="24" t="s">
        <v>601</v>
      </c>
      <c r="T909" s="24" t="s">
        <v>103</v>
      </c>
      <c r="U909" s="29">
        <v>46101</v>
      </c>
      <c r="V909" s="29">
        <v>46101</v>
      </c>
    </row>
    <row r="910" spans="1:45" ht="15" customHeight="1">
      <c r="A910" s="24" t="s">
        <v>140</v>
      </c>
      <c r="B910" s="24" t="s">
        <v>236</v>
      </c>
      <c r="C910" s="103" t="str">
        <f>IF(ISBLANK(B910),"",_xlfn.XLOOKUP(B910,Recruiter!A:A,Recruiter!B:B))</f>
        <v>Pooja</v>
      </c>
      <c r="D910" s="103" t="str">
        <f>IF(ISBLANK(A910),"",_xlfn.XLOOKUP(A910,'Requirement Overview'!C:C,'Requirement Overview'!E:E))</f>
        <v>Talme</v>
      </c>
      <c r="E910" s="103" t="str">
        <f>IF(ISBLANK(A910),"",_xlfn.XLOOKUP(A910,'Requirement Overview'!C:C,'Requirement Overview'!H:H))</f>
        <v>Non - IT</v>
      </c>
      <c r="F910" s="77" t="str">
        <f>IF(ISBLANK(A910),"",_xlfn.XLOOKUP(A910,'Requirement Overview'!C:C,'Requirement Overview'!I:I))</f>
        <v>Production Operator</v>
      </c>
      <c r="G910" s="58" t="str">
        <f>IF(ISBLANK(A910),"",_xlfn.XLOOKUP(A910,'Requirement Overview'!C:C,'Requirement Overview'!G:G))</f>
        <v>Micron</v>
      </c>
      <c r="H910" s="301" t="s">
        <v>3497</v>
      </c>
      <c r="I910" s="3" t="s">
        <v>497</v>
      </c>
      <c r="J910" s="59"/>
      <c r="L910" s="3" t="s">
        <v>3322</v>
      </c>
      <c r="M910" s="3" t="s">
        <v>3337</v>
      </c>
      <c r="P910" s="3" t="s">
        <v>3234</v>
      </c>
      <c r="Q910" s="24" t="s">
        <v>3268</v>
      </c>
      <c r="S910" s="24" t="s">
        <v>601</v>
      </c>
      <c r="T910" s="24" t="s">
        <v>103</v>
      </c>
      <c r="U910" s="29">
        <v>46099</v>
      </c>
      <c r="V910" s="29">
        <v>46099</v>
      </c>
    </row>
    <row r="911" spans="1:45" ht="15" customHeight="1">
      <c r="A911" s="24" t="s">
        <v>140</v>
      </c>
      <c r="B911" s="24" t="s">
        <v>236</v>
      </c>
      <c r="C911" s="103" t="str">
        <f>IF(ISBLANK(B911),"",_xlfn.XLOOKUP(B911,Recruiter!A:A,Recruiter!B:B))</f>
        <v>Pooja</v>
      </c>
      <c r="D911" s="103" t="str">
        <f>IF(ISBLANK(A911),"",_xlfn.XLOOKUP(A911,'Requirement Overview'!C:C,'Requirement Overview'!E:E))</f>
        <v>Talme</v>
      </c>
      <c r="E911" s="103" t="str">
        <f>IF(ISBLANK(A911),"",_xlfn.XLOOKUP(A911,'Requirement Overview'!C:C,'Requirement Overview'!H:H))</f>
        <v>Non - IT</v>
      </c>
      <c r="F911" s="77" t="str">
        <f>IF(ISBLANK(A911),"",_xlfn.XLOOKUP(A911,'Requirement Overview'!C:C,'Requirement Overview'!I:I))</f>
        <v>Production Operator</v>
      </c>
      <c r="G911" s="58" t="str">
        <f>IF(ISBLANK(A911),"",_xlfn.XLOOKUP(A911,'Requirement Overview'!C:C,'Requirement Overview'!G:G))</f>
        <v>Micron</v>
      </c>
      <c r="H911" s="301" t="s">
        <v>3498</v>
      </c>
      <c r="I911" s="3" t="s">
        <v>262</v>
      </c>
      <c r="J911" s="59"/>
      <c r="L911" s="3" t="s">
        <v>733</v>
      </c>
      <c r="M911" s="3" t="s">
        <v>923</v>
      </c>
      <c r="P911" s="3" t="s">
        <v>3335</v>
      </c>
      <c r="Q911" s="24" t="s">
        <v>3268</v>
      </c>
      <c r="S911" s="24" t="s">
        <v>601</v>
      </c>
      <c r="T911" s="24" t="s">
        <v>103</v>
      </c>
      <c r="U911" s="29">
        <v>46099</v>
      </c>
      <c r="V911" s="29">
        <v>46099</v>
      </c>
    </row>
    <row r="912" spans="1:45" ht="15" customHeight="1">
      <c r="A912" s="24" t="s">
        <v>143</v>
      </c>
      <c r="B912" s="24" t="s">
        <v>236</v>
      </c>
      <c r="C912" s="103" t="str">
        <f>IF(ISBLANK(B912),"",_xlfn.XLOOKUP(B912,Recruiter!A:A,Recruiter!B:B))</f>
        <v>Pooja</v>
      </c>
      <c r="D912" s="103" t="str">
        <f>IF(ISBLANK(A912),"",_xlfn.XLOOKUP(A912,'Requirement Overview'!C:C,'Requirement Overview'!E:E))</f>
        <v>Talme</v>
      </c>
      <c r="E912" s="103" t="str">
        <f>IF(ISBLANK(A912),"",_xlfn.XLOOKUP(A912,'Requirement Overview'!C:C,'Requirement Overview'!H:H))</f>
        <v>Non - IT</v>
      </c>
      <c r="F912" s="77" t="str">
        <f>IF(ISBLANK(A912),"",_xlfn.XLOOKUP(A912,'Requirement Overview'!C:C,'Requirement Overview'!I:I))</f>
        <v>Manufacturing ITI</v>
      </c>
      <c r="G912" s="58" t="str">
        <f>IF(ISBLANK(A912),"",_xlfn.XLOOKUP(A912,'Requirement Overview'!C:C,'Requirement Overview'!G:G))</f>
        <v>Micron</v>
      </c>
      <c r="H912" s="301" t="s">
        <v>3499</v>
      </c>
      <c r="I912" s="3" t="s">
        <v>497</v>
      </c>
      <c r="J912" s="59"/>
      <c r="L912" s="3" t="s">
        <v>3220</v>
      </c>
      <c r="M912" s="3" t="s">
        <v>3500</v>
      </c>
      <c r="P912" s="3" t="s">
        <v>1055</v>
      </c>
      <c r="Q912" s="24" t="s">
        <v>3268</v>
      </c>
      <c r="S912" s="24" t="s">
        <v>601</v>
      </c>
      <c r="T912" s="24" t="s">
        <v>103</v>
      </c>
      <c r="U912" s="29">
        <v>46099</v>
      </c>
      <c r="V912" s="29">
        <v>46099</v>
      </c>
    </row>
    <row r="913" spans="1:22" ht="15" customHeight="1">
      <c r="A913" s="24" t="s">
        <v>143</v>
      </c>
      <c r="B913" s="24" t="s">
        <v>236</v>
      </c>
      <c r="C913" s="103" t="str">
        <f>IF(ISBLANK(B913),"",_xlfn.XLOOKUP(B913,Recruiter!A:A,Recruiter!B:B))</f>
        <v>Pooja</v>
      </c>
      <c r="D913" s="103" t="str">
        <f>IF(ISBLANK(A913),"",_xlfn.XLOOKUP(A913,'Requirement Overview'!C:C,'Requirement Overview'!E:E))</f>
        <v>Talme</v>
      </c>
      <c r="E913" s="103" t="str">
        <f>IF(ISBLANK(A913),"",_xlfn.XLOOKUP(A913,'Requirement Overview'!C:C,'Requirement Overview'!H:H))</f>
        <v>Non - IT</v>
      </c>
      <c r="F913" s="77" t="str">
        <f>IF(ISBLANK(A913),"",_xlfn.XLOOKUP(A913,'Requirement Overview'!C:C,'Requirement Overview'!I:I))</f>
        <v>Manufacturing ITI</v>
      </c>
      <c r="G913" s="58" t="str">
        <f>IF(ISBLANK(A913),"",_xlfn.XLOOKUP(A913,'Requirement Overview'!C:C,'Requirement Overview'!G:G))</f>
        <v>Micron</v>
      </c>
      <c r="H913" s="301" t="s">
        <v>3382</v>
      </c>
      <c r="I913" s="3" t="s">
        <v>3501</v>
      </c>
      <c r="J913" s="59"/>
      <c r="L913" s="3" t="s">
        <v>3220</v>
      </c>
      <c r="M913" s="3" t="s">
        <v>1253</v>
      </c>
      <c r="P913" s="3" t="s">
        <v>3370</v>
      </c>
      <c r="Q913" s="24" t="s">
        <v>3268</v>
      </c>
      <c r="S913" s="24" t="s">
        <v>601</v>
      </c>
      <c r="T913" s="24" t="s">
        <v>103</v>
      </c>
      <c r="U913" s="29">
        <v>46099</v>
      </c>
      <c r="V913" s="29">
        <v>46099</v>
      </c>
    </row>
    <row r="914" spans="1:22" ht="15" customHeight="1">
      <c r="A914" s="24" t="s">
        <v>143</v>
      </c>
      <c r="B914" s="24" t="s">
        <v>236</v>
      </c>
      <c r="C914" s="103" t="str">
        <f>IF(ISBLANK(B914),"",_xlfn.XLOOKUP(B914,Recruiter!A:A,Recruiter!B:B))</f>
        <v>Pooja</v>
      </c>
      <c r="D914" s="103" t="str">
        <f>IF(ISBLANK(A914),"",_xlfn.XLOOKUP(A914,'Requirement Overview'!C:C,'Requirement Overview'!E:E))</f>
        <v>Talme</v>
      </c>
      <c r="E914" s="103" t="str">
        <f>IF(ISBLANK(A914),"",_xlfn.XLOOKUP(A914,'Requirement Overview'!C:C,'Requirement Overview'!H:H))</f>
        <v>Non - IT</v>
      </c>
      <c r="F914" s="77" t="str">
        <f>IF(ISBLANK(A914),"",_xlfn.XLOOKUP(A914,'Requirement Overview'!C:C,'Requirement Overview'!I:I))</f>
        <v>Manufacturing ITI</v>
      </c>
      <c r="G914" s="58" t="str">
        <f>IF(ISBLANK(A914),"",_xlfn.XLOOKUP(A914,'Requirement Overview'!C:C,'Requirement Overview'!G:G))</f>
        <v>Micron</v>
      </c>
      <c r="H914" s="301" t="s">
        <v>3502</v>
      </c>
      <c r="I914" s="3" t="s">
        <v>497</v>
      </c>
      <c r="J914" s="59"/>
      <c r="L914" s="3" t="s">
        <v>3220</v>
      </c>
      <c r="M914" s="3" t="s">
        <v>514</v>
      </c>
      <c r="P914" s="3" t="s">
        <v>3338</v>
      </c>
      <c r="Q914" s="24" t="s">
        <v>3268</v>
      </c>
      <c r="S914" s="24" t="s">
        <v>601</v>
      </c>
      <c r="T914" s="24" t="s">
        <v>103</v>
      </c>
      <c r="U914" s="29">
        <v>46099</v>
      </c>
      <c r="V914" s="29">
        <v>46099</v>
      </c>
    </row>
    <row r="915" spans="1:22" ht="15" customHeight="1">
      <c r="A915" s="24" t="s">
        <v>140</v>
      </c>
      <c r="B915" s="24" t="s">
        <v>236</v>
      </c>
      <c r="C915" s="103" t="str">
        <f>IF(ISBLANK(B915),"",_xlfn.XLOOKUP(B915,Recruiter!A:A,Recruiter!B:B))</f>
        <v>Pooja</v>
      </c>
      <c r="D915" s="103" t="str">
        <f>IF(ISBLANK(A915),"",_xlfn.XLOOKUP(A915,'Requirement Overview'!C:C,'Requirement Overview'!E:E))</f>
        <v>Talme</v>
      </c>
      <c r="E915" s="103" t="str">
        <f>IF(ISBLANK(A915),"",_xlfn.XLOOKUP(A915,'Requirement Overview'!C:C,'Requirement Overview'!H:H))</f>
        <v>Non - IT</v>
      </c>
      <c r="F915" s="77" t="str">
        <f>IF(ISBLANK(A915),"",_xlfn.XLOOKUP(A915,'Requirement Overview'!C:C,'Requirement Overview'!I:I))</f>
        <v>Production Operator</v>
      </c>
      <c r="G915" s="58" t="str">
        <f>IF(ISBLANK(A915),"",_xlfn.XLOOKUP(A915,'Requirement Overview'!C:C,'Requirement Overview'!G:G))</f>
        <v>Micron</v>
      </c>
      <c r="H915" s="369" t="s">
        <v>3503</v>
      </c>
      <c r="I915" s="3" t="s">
        <v>497</v>
      </c>
      <c r="J915" s="59"/>
      <c r="L915" s="3" t="s">
        <v>3322</v>
      </c>
      <c r="M915" s="3" t="s">
        <v>3334</v>
      </c>
      <c r="P915" s="3" t="s">
        <v>3504</v>
      </c>
      <c r="Q915" s="24" t="s">
        <v>3268</v>
      </c>
      <c r="S915" s="24" t="s">
        <v>601</v>
      </c>
      <c r="T915" s="24" t="s">
        <v>103</v>
      </c>
      <c r="U915" s="29">
        <v>46099</v>
      </c>
      <c r="V915" s="29">
        <v>46099</v>
      </c>
    </row>
    <row r="916" spans="1:22" ht="15" customHeight="1">
      <c r="A916" s="24" t="s">
        <v>143</v>
      </c>
      <c r="B916" s="24" t="s">
        <v>236</v>
      </c>
      <c r="C916" s="103" t="str">
        <f>IF(ISBLANK(B916),"",_xlfn.XLOOKUP(B916,Recruiter!A:A,Recruiter!B:B))</f>
        <v>Pooja</v>
      </c>
      <c r="D916" s="103" t="str">
        <f>IF(ISBLANK(A916),"",_xlfn.XLOOKUP(A916,'Requirement Overview'!C:C,'Requirement Overview'!E:E))</f>
        <v>Talme</v>
      </c>
      <c r="E916" s="103" t="str">
        <f>IF(ISBLANK(A916),"",_xlfn.XLOOKUP(A916,'Requirement Overview'!C:C,'Requirement Overview'!H:H))</f>
        <v>Non - IT</v>
      </c>
      <c r="F916" s="77" t="str">
        <f>IF(ISBLANK(A916),"",_xlfn.XLOOKUP(A916,'Requirement Overview'!C:C,'Requirement Overview'!I:I))</f>
        <v>Manufacturing ITI</v>
      </c>
      <c r="G916" s="58" t="str">
        <f>IF(ISBLANK(A916),"",_xlfn.XLOOKUP(A916,'Requirement Overview'!C:C,'Requirement Overview'!G:G))</f>
        <v>Micron</v>
      </c>
      <c r="H916" s="301" t="s">
        <v>3505</v>
      </c>
      <c r="I916" s="3" t="s">
        <v>497</v>
      </c>
      <c r="J916" s="59"/>
      <c r="L916" s="46" t="s">
        <v>733</v>
      </c>
      <c r="M916" s="3" t="s">
        <v>1253</v>
      </c>
      <c r="P916" s="3" t="s">
        <v>268</v>
      </c>
      <c r="Q916" s="24" t="s">
        <v>3268</v>
      </c>
      <c r="S916" s="24" t="s">
        <v>601</v>
      </c>
      <c r="T916" s="24" t="s">
        <v>103</v>
      </c>
      <c r="U916" s="29">
        <v>46101</v>
      </c>
      <c r="V916" s="29">
        <v>46101</v>
      </c>
    </row>
    <row r="917" spans="1:22" ht="15" customHeight="1">
      <c r="A917" s="24" t="s">
        <v>143</v>
      </c>
      <c r="B917" s="24" t="s">
        <v>236</v>
      </c>
      <c r="C917" s="103" t="str">
        <f>IF(ISBLANK(B917),"",_xlfn.XLOOKUP(B917,Recruiter!A:A,Recruiter!B:B))</f>
        <v>Pooja</v>
      </c>
      <c r="D917" s="103" t="str">
        <f>IF(ISBLANK(A917),"",_xlfn.XLOOKUP(A917,'Requirement Overview'!C:C,'Requirement Overview'!E:E))</f>
        <v>Talme</v>
      </c>
      <c r="E917" s="103" t="str">
        <f>IF(ISBLANK(A917),"",_xlfn.XLOOKUP(A917,'Requirement Overview'!C:C,'Requirement Overview'!H:H))</f>
        <v>Non - IT</v>
      </c>
      <c r="F917" s="77" t="str">
        <f>IF(ISBLANK(A917),"",_xlfn.XLOOKUP(A917,'Requirement Overview'!C:C,'Requirement Overview'!I:I))</f>
        <v>Manufacturing ITI</v>
      </c>
      <c r="G917" s="58" t="str">
        <f>IF(ISBLANK(A917),"",_xlfn.XLOOKUP(A917,'Requirement Overview'!C:C,'Requirement Overview'!G:G))</f>
        <v>Micron</v>
      </c>
      <c r="H917" s="301" t="s">
        <v>3506</v>
      </c>
      <c r="I917" s="3" t="s">
        <v>497</v>
      </c>
      <c r="J917" s="59"/>
      <c r="L917" s="46" t="s">
        <v>733</v>
      </c>
      <c r="M917" s="3" t="s">
        <v>2048</v>
      </c>
      <c r="P917" s="3" t="s">
        <v>3234</v>
      </c>
      <c r="Q917" s="24" t="s">
        <v>3268</v>
      </c>
      <c r="S917" s="24" t="s">
        <v>601</v>
      </c>
      <c r="T917" s="24" t="s">
        <v>103</v>
      </c>
      <c r="U917" s="29">
        <v>46101</v>
      </c>
      <c r="V917" s="29">
        <v>46101</v>
      </c>
    </row>
    <row r="918" spans="1:22" ht="15" customHeight="1">
      <c r="A918" s="24" t="s">
        <v>143</v>
      </c>
      <c r="B918" s="24" t="s">
        <v>236</v>
      </c>
      <c r="C918" s="103" t="str">
        <f>IF(ISBLANK(B918),"",_xlfn.XLOOKUP(B918,Recruiter!A:A,Recruiter!B:B))</f>
        <v>Pooja</v>
      </c>
      <c r="D918" s="103" t="str">
        <f>IF(ISBLANK(A918),"",_xlfn.XLOOKUP(A918,'Requirement Overview'!C:C,'Requirement Overview'!E:E))</f>
        <v>Talme</v>
      </c>
      <c r="E918" s="103" t="str">
        <f>IF(ISBLANK(A918),"",_xlfn.XLOOKUP(A918,'Requirement Overview'!C:C,'Requirement Overview'!H:H))</f>
        <v>Non - IT</v>
      </c>
      <c r="F918" s="77" t="str">
        <f>IF(ISBLANK(A918),"",_xlfn.XLOOKUP(A918,'Requirement Overview'!C:C,'Requirement Overview'!I:I))</f>
        <v>Manufacturing ITI</v>
      </c>
      <c r="G918" s="58" t="str">
        <f>IF(ISBLANK(A918),"",_xlfn.XLOOKUP(A918,'Requirement Overview'!C:C,'Requirement Overview'!G:G))</f>
        <v>Micron</v>
      </c>
      <c r="H918" s="301" t="s">
        <v>3507</v>
      </c>
      <c r="I918" s="3" t="s">
        <v>497</v>
      </c>
      <c r="J918" s="59"/>
      <c r="L918" s="46" t="s">
        <v>733</v>
      </c>
      <c r="M918" s="3" t="s">
        <v>3334</v>
      </c>
      <c r="P918" s="3" t="s">
        <v>3335</v>
      </c>
      <c r="Q918" s="24" t="s">
        <v>3268</v>
      </c>
      <c r="S918" s="24" t="s">
        <v>601</v>
      </c>
      <c r="T918" s="24" t="s">
        <v>103</v>
      </c>
      <c r="U918" s="29">
        <v>46101</v>
      </c>
      <c r="V918" s="29">
        <v>46101</v>
      </c>
    </row>
    <row r="919" spans="1:22" ht="15" customHeight="1">
      <c r="A919" s="24" t="s">
        <v>143</v>
      </c>
      <c r="B919" s="24" t="s">
        <v>236</v>
      </c>
      <c r="C919" s="103" t="str">
        <f>IF(ISBLANK(B919),"",_xlfn.XLOOKUP(B919,Recruiter!A:A,Recruiter!B:B))</f>
        <v>Pooja</v>
      </c>
      <c r="D919" s="103" t="str">
        <f>IF(ISBLANK(A919),"",_xlfn.XLOOKUP(A919,'Requirement Overview'!C:C,'Requirement Overview'!E:E))</f>
        <v>Talme</v>
      </c>
      <c r="E919" s="103" t="str">
        <f>IF(ISBLANK(A919),"",_xlfn.XLOOKUP(A919,'Requirement Overview'!C:C,'Requirement Overview'!H:H))</f>
        <v>Non - IT</v>
      </c>
      <c r="F919" s="77" t="str">
        <f>IF(ISBLANK(A919),"",_xlfn.XLOOKUP(A919,'Requirement Overview'!C:C,'Requirement Overview'!I:I))</f>
        <v>Manufacturing ITI</v>
      </c>
      <c r="G919" s="58" t="str">
        <f>IF(ISBLANK(A919),"",_xlfn.XLOOKUP(A919,'Requirement Overview'!C:C,'Requirement Overview'!G:G))</f>
        <v>Micron</v>
      </c>
      <c r="H919" s="301" t="s">
        <v>3508</v>
      </c>
      <c r="I919" s="3" t="s">
        <v>497</v>
      </c>
      <c r="J919" s="59"/>
      <c r="L919" s="46" t="s">
        <v>733</v>
      </c>
      <c r="M919" s="3" t="s">
        <v>3509</v>
      </c>
      <c r="P919" s="3" t="s">
        <v>3431</v>
      </c>
      <c r="Q919" s="24" t="s">
        <v>3268</v>
      </c>
      <c r="S919" s="24" t="s">
        <v>601</v>
      </c>
      <c r="T919" s="24" t="s">
        <v>103</v>
      </c>
      <c r="U919" s="29">
        <v>46101</v>
      </c>
      <c r="V919" s="29">
        <v>46101</v>
      </c>
    </row>
    <row r="920" spans="1:22" ht="15" customHeight="1">
      <c r="A920" s="24" t="s">
        <v>143</v>
      </c>
      <c r="B920" s="24" t="s">
        <v>236</v>
      </c>
      <c r="C920" s="103" t="str">
        <f>IF(ISBLANK(B920),"",_xlfn.XLOOKUP(B920,Recruiter!A:A,Recruiter!B:B))</f>
        <v>Pooja</v>
      </c>
      <c r="D920" s="103" t="str">
        <f>IF(ISBLANK(A920),"",_xlfn.XLOOKUP(A920,'Requirement Overview'!C:C,'Requirement Overview'!E:E))</f>
        <v>Talme</v>
      </c>
      <c r="E920" s="103" t="str">
        <f>IF(ISBLANK(A920),"",_xlfn.XLOOKUP(A920,'Requirement Overview'!C:C,'Requirement Overview'!H:H))</f>
        <v>Non - IT</v>
      </c>
      <c r="F920" s="77" t="str">
        <f>IF(ISBLANK(A920),"",_xlfn.XLOOKUP(A920,'Requirement Overview'!C:C,'Requirement Overview'!I:I))</f>
        <v>Manufacturing ITI</v>
      </c>
      <c r="G920" s="58" t="str">
        <f>IF(ISBLANK(A920),"",_xlfn.XLOOKUP(A920,'Requirement Overview'!C:C,'Requirement Overview'!G:G))</f>
        <v>Micron</v>
      </c>
      <c r="H920" s="288" t="s">
        <v>3510</v>
      </c>
      <c r="I920" s="46" t="s">
        <v>519</v>
      </c>
      <c r="J920" s="59"/>
      <c r="L920" s="46" t="s">
        <v>733</v>
      </c>
      <c r="M920" s="24" t="s">
        <v>1219</v>
      </c>
      <c r="P920" s="24" t="s">
        <v>3511</v>
      </c>
      <c r="Q920" s="24" t="s">
        <v>3268</v>
      </c>
      <c r="S920" s="24" t="s">
        <v>601</v>
      </c>
      <c r="T920" s="24" t="s">
        <v>103</v>
      </c>
      <c r="U920" s="29">
        <v>46104</v>
      </c>
      <c r="V920" s="29">
        <v>46104</v>
      </c>
    </row>
    <row r="921" spans="1:22" ht="15" customHeight="1">
      <c r="A921" s="24" t="s">
        <v>140</v>
      </c>
      <c r="B921" s="24" t="s">
        <v>236</v>
      </c>
      <c r="C921" s="103" t="str">
        <f>IF(ISBLANK(B921),"",_xlfn.XLOOKUP(B921,Recruiter!A:A,Recruiter!B:B))</f>
        <v>Pooja</v>
      </c>
      <c r="D921" s="103" t="str">
        <f>IF(ISBLANK(A921),"",_xlfn.XLOOKUP(A921,'Requirement Overview'!C:C,'Requirement Overview'!E:E))</f>
        <v>Talme</v>
      </c>
      <c r="E921" s="103" t="str">
        <f>IF(ISBLANK(A921),"",_xlfn.XLOOKUP(A921,'Requirement Overview'!C:C,'Requirement Overview'!H:H))</f>
        <v>Non - IT</v>
      </c>
      <c r="F921" s="77" t="str">
        <f>IF(ISBLANK(A921),"",_xlfn.XLOOKUP(A921,'Requirement Overview'!C:C,'Requirement Overview'!I:I))</f>
        <v>Production Operator</v>
      </c>
      <c r="G921" s="58" t="str">
        <f>IF(ISBLANK(A921),"",_xlfn.XLOOKUP(A921,'Requirement Overview'!C:C,'Requirement Overview'!G:G))</f>
        <v>Micron</v>
      </c>
      <c r="H921" s="303" t="s">
        <v>3512</v>
      </c>
      <c r="I921" s="3" t="s">
        <v>262</v>
      </c>
      <c r="J921" s="59"/>
      <c r="L921" s="3" t="s">
        <v>3220</v>
      </c>
      <c r="M921" s="3" t="s">
        <v>3390</v>
      </c>
      <c r="P921" s="3" t="s">
        <v>3234</v>
      </c>
      <c r="Q921" s="24" t="s">
        <v>3268</v>
      </c>
      <c r="S921" s="24" t="s">
        <v>601</v>
      </c>
      <c r="T921" s="24" t="s">
        <v>103</v>
      </c>
      <c r="U921" s="29">
        <v>46104</v>
      </c>
      <c r="V921" s="29">
        <v>46104</v>
      </c>
    </row>
    <row r="922" spans="1:22" ht="15" customHeight="1">
      <c r="A922" s="24" t="s">
        <v>140</v>
      </c>
      <c r="B922" s="24" t="s">
        <v>236</v>
      </c>
      <c r="C922" s="103" t="str">
        <f>IF(ISBLANK(B922),"",_xlfn.XLOOKUP(B922,Recruiter!A:A,Recruiter!B:B))</f>
        <v>Pooja</v>
      </c>
      <c r="D922" s="103" t="str">
        <f>IF(ISBLANK(A922),"",_xlfn.XLOOKUP(A922,'Requirement Overview'!C:C,'Requirement Overview'!E:E))</f>
        <v>Talme</v>
      </c>
      <c r="E922" s="103" t="str">
        <f>IF(ISBLANK(A922),"",_xlfn.XLOOKUP(A922,'Requirement Overview'!C:C,'Requirement Overview'!H:H))</f>
        <v>Non - IT</v>
      </c>
      <c r="F922" s="77" t="str">
        <f>IF(ISBLANK(A922),"",_xlfn.XLOOKUP(A922,'Requirement Overview'!C:C,'Requirement Overview'!I:I))</f>
        <v>Production Operator</v>
      </c>
      <c r="G922" s="58" t="str">
        <f>IF(ISBLANK(A922),"",_xlfn.XLOOKUP(A922,'Requirement Overview'!C:C,'Requirement Overview'!G:G))</f>
        <v>Micron</v>
      </c>
      <c r="H922" s="301" t="s">
        <v>3513</v>
      </c>
      <c r="I922" s="3" t="s">
        <v>519</v>
      </c>
      <c r="J922" s="59"/>
      <c r="L922" s="3" t="s">
        <v>3220</v>
      </c>
      <c r="M922" s="3" t="s">
        <v>978</v>
      </c>
      <c r="P922" s="3" t="s">
        <v>569</v>
      </c>
      <c r="Q922" s="24" t="s">
        <v>3268</v>
      </c>
      <c r="S922" s="24" t="s">
        <v>601</v>
      </c>
      <c r="T922" s="24" t="s">
        <v>103</v>
      </c>
      <c r="U922" s="29">
        <v>46104</v>
      </c>
      <c r="V922" s="29">
        <v>46104</v>
      </c>
    </row>
    <row r="923" spans="1:22" ht="15" customHeight="1">
      <c r="A923" s="24" t="s">
        <v>143</v>
      </c>
      <c r="B923" s="24" t="s">
        <v>236</v>
      </c>
      <c r="C923" s="103" t="str">
        <f>IF(ISBLANK(B923),"",_xlfn.XLOOKUP(B923,Recruiter!A:A,Recruiter!B:B))</f>
        <v>Pooja</v>
      </c>
      <c r="D923" s="103" t="str">
        <f>IF(ISBLANK(A923),"",_xlfn.XLOOKUP(A923,'Requirement Overview'!C:C,'Requirement Overview'!E:E))</f>
        <v>Talme</v>
      </c>
      <c r="E923" s="103" t="str">
        <f>IF(ISBLANK(A923),"",_xlfn.XLOOKUP(A923,'Requirement Overview'!C:C,'Requirement Overview'!H:H))</f>
        <v>Non - IT</v>
      </c>
      <c r="F923" s="77" t="str">
        <f>IF(ISBLANK(A923),"",_xlfn.XLOOKUP(A923,'Requirement Overview'!C:C,'Requirement Overview'!I:I))</f>
        <v>Manufacturing ITI</v>
      </c>
      <c r="G923" s="58" t="str">
        <f>IF(ISBLANK(A923),"",_xlfn.XLOOKUP(A923,'Requirement Overview'!C:C,'Requirement Overview'!G:G))</f>
        <v>Micron</v>
      </c>
      <c r="H923" s="301" t="s">
        <v>3514</v>
      </c>
      <c r="I923" s="3" t="s">
        <v>497</v>
      </c>
      <c r="J923" s="59"/>
      <c r="L923" s="3" t="s">
        <v>733</v>
      </c>
      <c r="M923" s="3" t="s">
        <v>978</v>
      </c>
      <c r="P923" s="3" t="s">
        <v>3515</v>
      </c>
      <c r="Q923" s="24" t="s">
        <v>3268</v>
      </c>
      <c r="S923" s="24" t="s">
        <v>601</v>
      </c>
      <c r="T923" s="24" t="s">
        <v>103</v>
      </c>
      <c r="U923" s="29">
        <v>46104</v>
      </c>
      <c r="V923" s="29">
        <v>46104</v>
      </c>
    </row>
    <row r="924" spans="1:22" ht="15" customHeight="1">
      <c r="A924" s="24" t="s">
        <v>143</v>
      </c>
      <c r="B924" s="24" t="s">
        <v>236</v>
      </c>
      <c r="C924" s="103" t="str">
        <f>IF(ISBLANK(B924),"",_xlfn.XLOOKUP(B924,Recruiter!A:A,Recruiter!B:B))</f>
        <v>Pooja</v>
      </c>
      <c r="D924" s="103" t="str">
        <f>IF(ISBLANK(A924),"",_xlfn.XLOOKUP(A924,'Requirement Overview'!C:C,'Requirement Overview'!E:E))</f>
        <v>Talme</v>
      </c>
      <c r="E924" s="103" t="str">
        <f>IF(ISBLANK(A924),"",_xlfn.XLOOKUP(A924,'Requirement Overview'!C:C,'Requirement Overview'!H:H))</f>
        <v>Non - IT</v>
      </c>
      <c r="F924" s="77" t="str">
        <f>IF(ISBLANK(A924),"",_xlfn.XLOOKUP(A924,'Requirement Overview'!C:C,'Requirement Overview'!I:I))</f>
        <v>Manufacturing ITI</v>
      </c>
      <c r="G924" s="58" t="str">
        <f>IF(ISBLANK(A924),"",_xlfn.XLOOKUP(A924,'Requirement Overview'!C:C,'Requirement Overview'!G:G))</f>
        <v>Micron</v>
      </c>
      <c r="H924" s="301" t="s">
        <v>3516</v>
      </c>
      <c r="I924" s="3" t="s">
        <v>519</v>
      </c>
      <c r="J924" s="59"/>
      <c r="L924" s="3" t="s">
        <v>733</v>
      </c>
      <c r="M924" s="3" t="s">
        <v>978</v>
      </c>
      <c r="P924" s="3" t="s">
        <v>879</v>
      </c>
      <c r="Q924" s="24" t="s">
        <v>3268</v>
      </c>
      <c r="S924" s="24" t="s">
        <v>601</v>
      </c>
      <c r="T924" s="24" t="s">
        <v>103</v>
      </c>
      <c r="U924" s="29">
        <v>46104</v>
      </c>
      <c r="V924" s="29">
        <v>46104</v>
      </c>
    </row>
    <row r="925" spans="1:22" ht="15" customHeight="1">
      <c r="A925" s="24" t="s">
        <v>35</v>
      </c>
      <c r="B925" s="24" t="s">
        <v>520</v>
      </c>
      <c r="C925" s="103" t="str">
        <f>IF(ISBLANK(B925),"",_xlfn.XLOOKUP(B925,Recruiter!A:A,Recruiter!B:B))</f>
        <v>Narthana</v>
      </c>
      <c r="D925" s="84" t="str">
        <f>IF(ISBLANK(A925),"",_xlfn.XLOOKUP(A925,'Requirement Overview'!C:C,'Requirement Overview'!E:E))</f>
        <v>Talme</v>
      </c>
      <c r="E925" s="84" t="str">
        <f>IF(ISBLANK(A925),"",_xlfn.XLOOKUP(A925,'Requirement Overview'!C:C,'Requirement Overview'!H:H))</f>
        <v>IT</v>
      </c>
      <c r="F925" s="19" t="str">
        <f>IF(ISBLANK(A925),"",_xlfn.XLOOKUP(A925,'Requirement Overview'!C:C,'Requirement Overview'!I:I))</f>
        <v>Windows system adminstrator</v>
      </c>
      <c r="G925" s="24" t="str">
        <f>IF(ISBLANK(A925),"",_xlfn.XLOOKUP(A925,'Requirement Overview'!C:C,'Requirement Overview'!G:G))</f>
        <v>EMIDS</v>
      </c>
      <c r="H925" s="92" t="s">
        <v>3517</v>
      </c>
      <c r="I925" s="92" t="s">
        <v>674</v>
      </c>
      <c r="J925" s="48" t="s">
        <v>3518</v>
      </c>
      <c r="K925" s="48">
        <v>9964455598</v>
      </c>
      <c r="L925" s="92" t="s">
        <v>311</v>
      </c>
      <c r="M925" s="92" t="s">
        <v>2184</v>
      </c>
      <c r="N925" s="48" t="s">
        <v>3519</v>
      </c>
      <c r="O925" s="92" t="s">
        <v>386</v>
      </c>
      <c r="P925" s="92" t="s">
        <v>268</v>
      </c>
      <c r="Q925" s="92" t="s">
        <v>268</v>
      </c>
      <c r="R925" s="48" t="s">
        <v>540</v>
      </c>
      <c r="S925" s="24" t="s">
        <v>601</v>
      </c>
      <c r="T925" s="24" t="s">
        <v>103</v>
      </c>
      <c r="U925" s="29">
        <v>46104</v>
      </c>
      <c r="V925" s="29">
        <v>46104</v>
      </c>
    </row>
    <row r="926" spans="1:22" ht="15" customHeight="1">
      <c r="A926" s="24" t="s">
        <v>35</v>
      </c>
      <c r="B926" s="24" t="s">
        <v>520</v>
      </c>
      <c r="C926" s="103" t="str">
        <f>IF(ISBLANK(B926),"",_xlfn.XLOOKUP(B926,Recruiter!A:A,Recruiter!B:B))</f>
        <v>Narthana</v>
      </c>
      <c r="D926" s="84" t="str">
        <f>IF(ISBLANK(A926),"",_xlfn.XLOOKUP(A926,'Requirement Overview'!C:C,'Requirement Overview'!E:E))</f>
        <v>Talme</v>
      </c>
      <c r="E926" s="84" t="str">
        <f>IF(ISBLANK(A926),"",_xlfn.XLOOKUP(A926,'Requirement Overview'!C:C,'Requirement Overview'!H:H))</f>
        <v>IT</v>
      </c>
      <c r="F926" s="19" t="str">
        <f>IF(ISBLANK(A926),"",_xlfn.XLOOKUP(A926,'Requirement Overview'!C:C,'Requirement Overview'!I:I))</f>
        <v>Windows system adminstrator</v>
      </c>
      <c r="G926" s="24" t="str">
        <f>IF(ISBLANK(A926),"",_xlfn.XLOOKUP(A926,'Requirement Overview'!C:C,'Requirement Overview'!G:G))</f>
        <v>EMIDS</v>
      </c>
      <c r="H926" s="92" t="s">
        <v>3520</v>
      </c>
      <c r="I926" s="92" t="s">
        <v>3521</v>
      </c>
      <c r="J926" s="48" t="s">
        <v>3522</v>
      </c>
      <c r="K926" s="48">
        <v>9966364966</v>
      </c>
      <c r="L926" s="92" t="s">
        <v>305</v>
      </c>
      <c r="M926" s="92" t="s">
        <v>533</v>
      </c>
      <c r="N926" s="92" t="s">
        <v>2324</v>
      </c>
      <c r="O926" s="92" t="s">
        <v>382</v>
      </c>
      <c r="P926" s="92" t="s">
        <v>268</v>
      </c>
      <c r="Q926" s="92" t="s">
        <v>268</v>
      </c>
      <c r="R926" s="92" t="s">
        <v>1608</v>
      </c>
      <c r="S926" s="24" t="s">
        <v>601</v>
      </c>
      <c r="T926" s="24" t="s">
        <v>103</v>
      </c>
      <c r="U926" s="29">
        <v>46104</v>
      </c>
      <c r="V926" s="29">
        <v>46104</v>
      </c>
    </row>
    <row r="927" spans="1:22" ht="15" customHeight="1">
      <c r="A927" s="24" t="s">
        <v>35</v>
      </c>
      <c r="B927" s="24" t="s">
        <v>520</v>
      </c>
      <c r="C927" s="103" t="str">
        <f>IF(ISBLANK(B927),"",_xlfn.XLOOKUP(B927,Recruiter!A:A,Recruiter!B:B))</f>
        <v>Narthana</v>
      </c>
      <c r="D927" s="84" t="str">
        <f>IF(ISBLANK(A927),"",_xlfn.XLOOKUP(A927,'Requirement Overview'!C:C,'Requirement Overview'!E:E))</f>
        <v>Talme</v>
      </c>
      <c r="E927" s="84" t="str">
        <f>IF(ISBLANK(A927),"",_xlfn.XLOOKUP(A927,'Requirement Overview'!C:C,'Requirement Overview'!H:H))</f>
        <v>IT</v>
      </c>
      <c r="F927" s="19" t="str">
        <f>IF(ISBLANK(A927),"",_xlfn.XLOOKUP(A927,'Requirement Overview'!C:C,'Requirement Overview'!I:I))</f>
        <v>Windows system adminstrator</v>
      </c>
      <c r="G927" s="24" t="str">
        <f>IF(ISBLANK(A927),"",_xlfn.XLOOKUP(A927,'Requirement Overview'!C:C,'Requirement Overview'!G:G))</f>
        <v>EMIDS</v>
      </c>
      <c r="H927" s="315" t="s">
        <v>3523</v>
      </c>
      <c r="I927" s="92" t="s">
        <v>3524</v>
      </c>
      <c r="J927" s="48" t="s">
        <v>3525</v>
      </c>
      <c r="K927" s="48">
        <v>7893040822</v>
      </c>
      <c r="L927" s="92" t="s">
        <v>305</v>
      </c>
      <c r="M927" s="48" t="s">
        <v>379</v>
      </c>
      <c r="N927" s="48" t="s">
        <v>400</v>
      </c>
      <c r="O927" s="48" t="s">
        <v>424</v>
      </c>
      <c r="P927" s="48" t="s">
        <v>268</v>
      </c>
      <c r="Q927" s="48" t="s">
        <v>268</v>
      </c>
      <c r="R927" s="48" t="s">
        <v>540</v>
      </c>
      <c r="S927" s="24" t="s">
        <v>601</v>
      </c>
      <c r="T927" s="24" t="s">
        <v>103</v>
      </c>
      <c r="U927" s="29">
        <v>46104</v>
      </c>
      <c r="V927" s="29">
        <v>46104</v>
      </c>
    </row>
    <row r="928" spans="1:22" ht="15" customHeight="1">
      <c r="A928" s="24" t="s">
        <v>35</v>
      </c>
      <c r="B928" s="24" t="s">
        <v>520</v>
      </c>
      <c r="C928" s="103" t="str">
        <f>IF(ISBLANK(B928),"",_xlfn.XLOOKUP(B928,Recruiter!A:A,Recruiter!B:B))</f>
        <v>Narthana</v>
      </c>
      <c r="D928" s="84" t="str">
        <f>IF(ISBLANK(A928),"",_xlfn.XLOOKUP(A928,'Requirement Overview'!C:C,'Requirement Overview'!E:E))</f>
        <v>Talme</v>
      </c>
      <c r="E928" s="84" t="str">
        <f>IF(ISBLANK(A928),"",_xlfn.XLOOKUP(A928,'Requirement Overview'!C:C,'Requirement Overview'!H:H))</f>
        <v>IT</v>
      </c>
      <c r="F928" s="19" t="str">
        <f>IF(ISBLANK(A928),"",_xlfn.XLOOKUP(A928,'Requirement Overview'!C:C,'Requirement Overview'!I:I))</f>
        <v>Windows system adminstrator</v>
      </c>
      <c r="G928" s="24" t="str">
        <f>IF(ISBLANK(A928),"",_xlfn.XLOOKUP(A928,'Requirement Overview'!C:C,'Requirement Overview'!G:G))</f>
        <v>EMIDS</v>
      </c>
      <c r="H928" s="48" t="s">
        <v>3526</v>
      </c>
      <c r="I928" s="92" t="s">
        <v>674</v>
      </c>
      <c r="J928" s="48" t="s">
        <v>3527</v>
      </c>
      <c r="K928" s="48">
        <v>8179050997</v>
      </c>
      <c r="L928" s="92" t="s">
        <v>305</v>
      </c>
      <c r="M928" s="48" t="s">
        <v>2276</v>
      </c>
      <c r="N928" s="48" t="s">
        <v>400</v>
      </c>
      <c r="O928" s="48" t="s">
        <v>3528</v>
      </c>
      <c r="P928" s="48" t="s">
        <v>268</v>
      </c>
      <c r="Q928" s="48" t="s">
        <v>268</v>
      </c>
      <c r="R928" s="92" t="s">
        <v>1608</v>
      </c>
      <c r="S928" s="24" t="s">
        <v>601</v>
      </c>
      <c r="T928" s="24" t="s">
        <v>103</v>
      </c>
      <c r="U928" s="29">
        <v>46104</v>
      </c>
      <c r="V928" s="29">
        <v>46104</v>
      </c>
    </row>
    <row r="929" spans="1:45" ht="15" customHeight="1">
      <c r="A929" s="24" t="s">
        <v>35</v>
      </c>
      <c r="B929" s="24" t="s">
        <v>520</v>
      </c>
      <c r="C929" s="103" t="str">
        <f>IF(ISBLANK(B929),"",_xlfn.XLOOKUP(B929,Recruiter!A:A,Recruiter!B:B))</f>
        <v>Narthana</v>
      </c>
      <c r="D929" s="84" t="str">
        <f>IF(ISBLANK(A929),"",_xlfn.XLOOKUP(A929,'Requirement Overview'!C:C,'Requirement Overview'!E:E))</f>
        <v>Talme</v>
      </c>
      <c r="E929" s="84" t="str">
        <f>IF(ISBLANK(A929),"",_xlfn.XLOOKUP(A929,'Requirement Overview'!C:C,'Requirement Overview'!H:H))</f>
        <v>IT</v>
      </c>
      <c r="F929" s="19" t="str">
        <f>IF(ISBLANK(A929),"",_xlfn.XLOOKUP(A929,'Requirement Overview'!C:C,'Requirement Overview'!I:I))</f>
        <v>Windows system adminstrator</v>
      </c>
      <c r="G929" s="24" t="str">
        <f>IF(ISBLANK(A929),"",_xlfn.XLOOKUP(A929,'Requirement Overview'!C:C,'Requirement Overview'!G:G))</f>
        <v>EMIDS</v>
      </c>
      <c r="H929" s="48" t="s">
        <v>3529</v>
      </c>
      <c r="I929" s="92" t="s">
        <v>674</v>
      </c>
      <c r="J929" s="48" t="s">
        <v>3530</v>
      </c>
      <c r="K929" s="48">
        <v>7892564633</v>
      </c>
      <c r="L929" s="92" t="s">
        <v>311</v>
      </c>
      <c r="M929" s="48" t="s">
        <v>399</v>
      </c>
      <c r="N929" s="48" t="s">
        <v>3531</v>
      </c>
      <c r="O929" s="48" t="s">
        <v>3532</v>
      </c>
      <c r="P929" s="48" t="s">
        <v>268</v>
      </c>
      <c r="Q929" s="48" t="s">
        <v>268</v>
      </c>
      <c r="R929" s="48" t="s">
        <v>1608</v>
      </c>
      <c r="S929" s="24" t="s">
        <v>601</v>
      </c>
      <c r="T929" s="24" t="s">
        <v>103</v>
      </c>
      <c r="U929" s="29">
        <v>46104</v>
      </c>
      <c r="V929" s="29">
        <v>46104</v>
      </c>
    </row>
    <row r="930" spans="1:45" ht="15" customHeight="1">
      <c r="A930" s="24" t="s">
        <v>35</v>
      </c>
      <c r="B930" s="24" t="s">
        <v>520</v>
      </c>
      <c r="C930" s="103" t="str">
        <f>IF(ISBLANK(B930),"",_xlfn.XLOOKUP(B930,Recruiter!A:A,Recruiter!B:B))</f>
        <v>Narthana</v>
      </c>
      <c r="D930" s="84" t="str">
        <f>IF(ISBLANK(A930),"",_xlfn.XLOOKUP(A930,'Requirement Overview'!C:C,'Requirement Overview'!E:E))</f>
        <v>Talme</v>
      </c>
      <c r="E930" s="84" t="str">
        <f>IF(ISBLANK(A930),"",_xlfn.XLOOKUP(A930,'Requirement Overview'!C:C,'Requirement Overview'!H:H))</f>
        <v>IT</v>
      </c>
      <c r="F930" s="19" t="str">
        <f>IF(ISBLANK(A930),"",_xlfn.XLOOKUP(A930,'Requirement Overview'!C:C,'Requirement Overview'!I:I))</f>
        <v>Windows system adminstrator</v>
      </c>
      <c r="G930" s="24" t="str">
        <f>IF(ISBLANK(A930),"",_xlfn.XLOOKUP(A930,'Requirement Overview'!C:C,'Requirement Overview'!G:G))</f>
        <v>EMIDS</v>
      </c>
      <c r="H930" s="48" t="s">
        <v>3533</v>
      </c>
      <c r="I930" s="92" t="s">
        <v>3534</v>
      </c>
      <c r="J930" s="296" t="s">
        <v>3535</v>
      </c>
      <c r="K930" s="48">
        <v>7901542784</v>
      </c>
      <c r="L930" s="92" t="s">
        <v>305</v>
      </c>
      <c r="M930" s="48" t="s">
        <v>405</v>
      </c>
      <c r="N930" s="48" t="s">
        <v>3536</v>
      </c>
      <c r="O930" s="48" t="s">
        <v>1579</v>
      </c>
      <c r="P930" s="48" t="s">
        <v>268</v>
      </c>
      <c r="Q930" s="48" t="s">
        <v>268</v>
      </c>
      <c r="R930" s="48" t="s">
        <v>382</v>
      </c>
      <c r="S930" s="24" t="s">
        <v>601</v>
      </c>
      <c r="T930" s="24" t="s">
        <v>103</v>
      </c>
      <c r="U930" s="29">
        <v>46104</v>
      </c>
      <c r="V930" s="29">
        <v>46104</v>
      </c>
    </row>
    <row r="931" spans="1:45" ht="15" customHeight="1">
      <c r="A931" s="24" t="s">
        <v>35</v>
      </c>
      <c r="B931" s="24" t="s">
        <v>520</v>
      </c>
      <c r="C931" s="103" t="str">
        <f>IF(ISBLANK(B931),"",_xlfn.XLOOKUP(B931,Recruiter!A:A,Recruiter!B:B))</f>
        <v>Narthana</v>
      </c>
      <c r="D931" s="84" t="str">
        <f>IF(ISBLANK(A931),"",_xlfn.XLOOKUP(A931,'Requirement Overview'!C:C,'Requirement Overview'!E:E))</f>
        <v>Talme</v>
      </c>
      <c r="E931" s="84" t="str">
        <f>IF(ISBLANK(A931),"",_xlfn.XLOOKUP(A931,'Requirement Overview'!C:C,'Requirement Overview'!H:H))</f>
        <v>IT</v>
      </c>
      <c r="F931" s="19" t="str">
        <f>IF(ISBLANK(A931),"",_xlfn.XLOOKUP(A931,'Requirement Overview'!C:C,'Requirement Overview'!I:I))</f>
        <v>Windows system adminstrator</v>
      </c>
      <c r="G931" s="24" t="str">
        <f>IF(ISBLANK(A931),"",_xlfn.XLOOKUP(A931,'Requirement Overview'!C:C,'Requirement Overview'!G:G))</f>
        <v>EMIDS</v>
      </c>
      <c r="H931" s="48" t="s">
        <v>3537</v>
      </c>
      <c r="I931" s="92" t="s">
        <v>674</v>
      </c>
      <c r="J931" s="48" t="s">
        <v>3538</v>
      </c>
      <c r="K931" s="48">
        <v>8210866070</v>
      </c>
      <c r="L931" s="92" t="s">
        <v>311</v>
      </c>
      <c r="M931" s="48" t="s">
        <v>414</v>
      </c>
      <c r="N931" s="48" t="s">
        <v>3539</v>
      </c>
      <c r="O931" s="48" t="s">
        <v>3540</v>
      </c>
      <c r="P931" s="48" t="s">
        <v>806</v>
      </c>
      <c r="Q931" s="48" t="s">
        <v>806</v>
      </c>
      <c r="R931" s="48" t="s">
        <v>382</v>
      </c>
      <c r="S931" s="24" t="s">
        <v>601</v>
      </c>
      <c r="T931" s="24" t="s">
        <v>103</v>
      </c>
      <c r="U931" s="29">
        <v>46104</v>
      </c>
      <c r="V931" s="29">
        <v>46104</v>
      </c>
    </row>
    <row r="932" spans="1:45" ht="15" customHeight="1">
      <c r="A932" s="24" t="s">
        <v>35</v>
      </c>
      <c r="B932" s="24" t="s">
        <v>520</v>
      </c>
      <c r="C932" s="103" t="str">
        <f>IF(ISBLANK(B932),"",_xlfn.XLOOKUP(B932,Recruiter!A:A,Recruiter!B:B))</f>
        <v>Narthana</v>
      </c>
      <c r="D932" s="84" t="str">
        <f>IF(ISBLANK(A932),"",_xlfn.XLOOKUP(A932,'Requirement Overview'!C:C,'Requirement Overview'!E:E))</f>
        <v>Talme</v>
      </c>
      <c r="E932" s="84" t="str">
        <f>IF(ISBLANK(A932),"",_xlfn.XLOOKUP(A932,'Requirement Overview'!C:C,'Requirement Overview'!H:H))</f>
        <v>IT</v>
      </c>
      <c r="F932" s="19" t="str">
        <f>IF(ISBLANK(A932),"",_xlfn.XLOOKUP(A932,'Requirement Overview'!C:C,'Requirement Overview'!I:I))</f>
        <v>Windows system adminstrator</v>
      </c>
      <c r="G932" s="24" t="str">
        <f>IF(ISBLANK(A932),"",_xlfn.XLOOKUP(A932,'Requirement Overview'!C:C,'Requirement Overview'!G:G))</f>
        <v>EMIDS</v>
      </c>
      <c r="H932" s="48" t="s">
        <v>3541</v>
      </c>
      <c r="I932" s="92" t="s">
        <v>674</v>
      </c>
      <c r="J932" s="48" t="s">
        <v>3542</v>
      </c>
      <c r="K932" s="48" t="s">
        <v>3543</v>
      </c>
      <c r="L932" s="92" t="s">
        <v>421</v>
      </c>
      <c r="M932" s="48" t="s">
        <v>351</v>
      </c>
      <c r="N932" s="48" t="s">
        <v>3544</v>
      </c>
      <c r="O932" s="48" t="s">
        <v>368</v>
      </c>
      <c r="P932" s="48" t="s">
        <v>1139</v>
      </c>
      <c r="Q932" s="48" t="s">
        <v>268</v>
      </c>
      <c r="R932" s="48" t="s">
        <v>540</v>
      </c>
      <c r="S932" s="24" t="s">
        <v>601</v>
      </c>
      <c r="T932" s="24" t="s">
        <v>103</v>
      </c>
      <c r="U932" s="29">
        <v>46104</v>
      </c>
      <c r="V932" s="29">
        <v>46104</v>
      </c>
    </row>
    <row r="933" spans="1:45" ht="15" customHeight="1">
      <c r="A933" s="47" t="s">
        <v>35</v>
      </c>
      <c r="B933" s="47" t="s">
        <v>340</v>
      </c>
      <c r="C933" s="103" t="str">
        <f>IF(ISBLANK(B933),"",_xlfn.XLOOKUP(B933,Recruiter!A:A,Recruiter!B:B))</f>
        <v>Harshitha</v>
      </c>
      <c r="D933" s="433" t="str">
        <f>IF(ISBLANK(A933),"",_xlfn.XLOOKUP(A933,'Requirement Overview'!C:C,'Requirement Overview'!E:E))</f>
        <v>Talme</v>
      </c>
      <c r="E933" s="433" t="str">
        <f>IF(ISBLANK(A933),"",_xlfn.XLOOKUP(A933,'Requirement Overview'!C:C,'Requirement Overview'!H:H))</f>
        <v>IT</v>
      </c>
      <c r="F933" s="434" t="str">
        <f>IF(ISBLANK(A933),"",_xlfn.XLOOKUP(A933,'Requirement Overview'!C:C,'Requirement Overview'!I:I))</f>
        <v>Windows system adminstrator</v>
      </c>
      <c r="G933" s="255" t="str">
        <f>IF(ISBLANK(A933),"",_xlfn.XLOOKUP(A933,'Requirement Overview'!C:C,'Requirement Overview'!G:G))</f>
        <v>EMIDS</v>
      </c>
      <c r="H933" s="435" t="s">
        <v>3545</v>
      </c>
      <c r="I933" s="436" t="s">
        <v>3263</v>
      </c>
      <c r="J933" s="437" t="s">
        <v>3546</v>
      </c>
      <c r="K933" s="465">
        <v>7715014785</v>
      </c>
      <c r="L933" s="438" t="s">
        <v>330</v>
      </c>
      <c r="M933" s="438" t="s">
        <v>351</v>
      </c>
      <c r="N933" s="439" t="s">
        <v>3547</v>
      </c>
      <c r="O933" s="466" t="s">
        <v>540</v>
      </c>
      <c r="P933" s="438" t="s">
        <v>1374</v>
      </c>
      <c r="Q933" s="438" t="s">
        <v>879</v>
      </c>
      <c r="R933" s="47" t="s">
        <v>1144</v>
      </c>
      <c r="S933" s="47" t="s">
        <v>360</v>
      </c>
      <c r="T933" s="47" t="s">
        <v>103</v>
      </c>
      <c r="U933" s="118">
        <v>46104</v>
      </c>
      <c r="V933" s="118">
        <v>46104</v>
      </c>
      <c r="W933" s="47"/>
      <c r="X933" s="118">
        <v>46111</v>
      </c>
      <c r="Y933" s="47" t="s">
        <v>362</v>
      </c>
      <c r="Z933" s="47"/>
      <c r="AA933" s="47"/>
      <c r="AB933" s="47"/>
      <c r="AC933" s="47"/>
      <c r="AD933" s="47"/>
    </row>
    <row r="934" spans="1:45" ht="15" customHeight="1">
      <c r="A934" s="24" t="s">
        <v>35</v>
      </c>
      <c r="B934" s="24" t="s">
        <v>340</v>
      </c>
      <c r="C934" s="103" t="str">
        <f>IF(ISBLANK(B934),"",_xlfn.XLOOKUP(B934,Recruiter!A:A,Recruiter!B:B))</f>
        <v>Harshitha</v>
      </c>
      <c r="D934" s="103" t="str">
        <f>IF(ISBLANK(A934),"",_xlfn.XLOOKUP(A934,'Requirement Overview'!C:C,'Requirement Overview'!E:E))</f>
        <v>Talme</v>
      </c>
      <c r="E934" s="103" t="str">
        <f>IF(ISBLANK(A934),"",_xlfn.XLOOKUP(A934,'Requirement Overview'!C:C,'Requirement Overview'!H:H))</f>
        <v>IT</v>
      </c>
      <c r="F934" s="77" t="str">
        <f>IF(ISBLANK(A934),"",_xlfn.XLOOKUP(A934,'Requirement Overview'!C:C,'Requirement Overview'!I:I))</f>
        <v>Windows system adminstrator</v>
      </c>
      <c r="G934" s="58" t="str">
        <f>IF(ISBLANK(A934),"",_xlfn.XLOOKUP(A934,'Requirement Overview'!C:C,'Requirement Overview'!G:G))</f>
        <v>EMIDS</v>
      </c>
      <c r="H934" s="421" t="s">
        <v>3548</v>
      </c>
      <c r="I934" s="422" t="s">
        <v>519</v>
      </c>
      <c r="J934" s="423" t="s">
        <v>3549</v>
      </c>
      <c r="K934" s="467">
        <v>8050004850</v>
      </c>
      <c r="L934" s="424" t="s">
        <v>794</v>
      </c>
      <c r="M934" s="424" t="s">
        <v>395</v>
      </c>
      <c r="N934" s="425" t="s">
        <v>3550</v>
      </c>
      <c r="O934" s="376" t="s">
        <v>381</v>
      </c>
      <c r="P934" s="424" t="s">
        <v>268</v>
      </c>
      <c r="Q934" s="424" t="s">
        <v>268</v>
      </c>
      <c r="R934" s="24" t="s">
        <v>368</v>
      </c>
      <c r="S934" s="24" t="s">
        <v>270</v>
      </c>
      <c r="T934" s="24" t="s">
        <v>103</v>
      </c>
      <c r="U934" s="29">
        <v>46104</v>
      </c>
      <c r="V934" s="29">
        <v>46104</v>
      </c>
    </row>
    <row r="935" spans="1:45" ht="15" customHeight="1">
      <c r="A935" s="24" t="s">
        <v>35</v>
      </c>
      <c r="B935" s="24" t="s">
        <v>340</v>
      </c>
      <c r="C935" s="103" t="str">
        <f>IF(ISBLANK(B935),"",_xlfn.XLOOKUP(B935,Recruiter!A:A,Recruiter!B:B))</f>
        <v>Harshitha</v>
      </c>
      <c r="D935" s="103" t="str">
        <f>IF(ISBLANK(A935),"",_xlfn.XLOOKUP(A935,'Requirement Overview'!C:C,'Requirement Overview'!E:E))</f>
        <v>Talme</v>
      </c>
      <c r="E935" s="103" t="str">
        <f>IF(ISBLANK(A935),"",_xlfn.XLOOKUP(A935,'Requirement Overview'!C:C,'Requirement Overview'!H:H))</f>
        <v>IT</v>
      </c>
      <c r="F935" s="77" t="str">
        <f>IF(ISBLANK(A935),"",_xlfn.XLOOKUP(A935,'Requirement Overview'!C:C,'Requirement Overview'!I:I))</f>
        <v>Windows system adminstrator</v>
      </c>
      <c r="G935" s="58" t="str">
        <f>IF(ISBLANK(A935),"",_xlfn.XLOOKUP(A935,'Requirement Overview'!C:C,'Requirement Overview'!G:G))</f>
        <v>EMIDS</v>
      </c>
      <c r="H935" s="421" t="s">
        <v>3551</v>
      </c>
      <c r="I935" s="422" t="s">
        <v>519</v>
      </c>
      <c r="J935" s="423" t="s">
        <v>3552</v>
      </c>
      <c r="K935" s="467">
        <v>7368878215</v>
      </c>
      <c r="L935" s="424" t="s">
        <v>378</v>
      </c>
      <c r="M935" s="424" t="s">
        <v>395</v>
      </c>
      <c r="N935" s="426" t="s">
        <v>3553</v>
      </c>
      <c r="O935" s="376" t="s">
        <v>730</v>
      </c>
      <c r="P935" s="424" t="s">
        <v>3554</v>
      </c>
      <c r="Q935" s="424" t="s">
        <v>806</v>
      </c>
      <c r="R935" s="24" t="s">
        <v>429</v>
      </c>
      <c r="S935" s="24" t="s">
        <v>270</v>
      </c>
      <c r="T935" s="24" t="s">
        <v>103</v>
      </c>
      <c r="U935" s="29">
        <v>46104</v>
      </c>
      <c r="V935" s="29">
        <v>46104</v>
      </c>
    </row>
    <row r="936" spans="1:45" ht="15" customHeight="1">
      <c r="A936" s="24" t="s">
        <v>35</v>
      </c>
      <c r="B936" s="24" t="s">
        <v>340</v>
      </c>
      <c r="C936" s="103" t="str">
        <f>IF(ISBLANK(B936),"",_xlfn.XLOOKUP(B936,Recruiter!A:A,Recruiter!B:B))</f>
        <v>Harshitha</v>
      </c>
      <c r="D936" s="103" t="str">
        <f>IF(ISBLANK(A936),"",_xlfn.XLOOKUP(A936,'Requirement Overview'!C:C,'Requirement Overview'!E:E))</f>
        <v>Talme</v>
      </c>
      <c r="E936" s="103" t="str">
        <f>IF(ISBLANK(A936),"",_xlfn.XLOOKUP(A936,'Requirement Overview'!C:C,'Requirement Overview'!H:H))</f>
        <v>IT</v>
      </c>
      <c r="F936" s="77" t="str">
        <f>IF(ISBLANK(A936),"",_xlfn.XLOOKUP(A936,'Requirement Overview'!C:C,'Requirement Overview'!I:I))</f>
        <v>Windows system adminstrator</v>
      </c>
      <c r="G936" s="58" t="str">
        <f>IF(ISBLANK(A936),"",_xlfn.XLOOKUP(A936,'Requirement Overview'!C:C,'Requirement Overview'!G:G))</f>
        <v>EMIDS</v>
      </c>
      <c r="H936" s="421" t="s">
        <v>3555</v>
      </c>
      <c r="I936" s="422" t="s">
        <v>519</v>
      </c>
      <c r="J936" s="423" t="s">
        <v>3556</v>
      </c>
      <c r="K936" s="467">
        <v>7997887862</v>
      </c>
      <c r="L936" s="424" t="s">
        <v>305</v>
      </c>
      <c r="M936" s="424" t="s">
        <v>2276</v>
      </c>
      <c r="N936" s="425" t="s">
        <v>400</v>
      </c>
      <c r="O936" s="376" t="s">
        <v>801</v>
      </c>
      <c r="P936" s="424" t="s">
        <v>268</v>
      </c>
      <c r="Q936" s="424" t="s">
        <v>268</v>
      </c>
      <c r="R936" s="24" t="s">
        <v>589</v>
      </c>
      <c r="S936" s="24" t="s">
        <v>360</v>
      </c>
      <c r="T936" s="24" t="s">
        <v>103</v>
      </c>
      <c r="U936" s="29">
        <v>46104</v>
      </c>
      <c r="V936" s="29">
        <v>46104</v>
      </c>
      <c r="X936" s="29">
        <v>46112</v>
      </c>
      <c r="Y936" s="24" t="s">
        <v>362</v>
      </c>
    </row>
    <row r="937" spans="1:45" ht="15" customHeight="1">
      <c r="A937" s="24" t="s">
        <v>35</v>
      </c>
      <c r="B937" s="24" t="s">
        <v>340</v>
      </c>
      <c r="C937" s="103" t="str">
        <f>IF(ISBLANK(B937),"",_xlfn.XLOOKUP(B937,Recruiter!A:A,Recruiter!B:B))</f>
        <v>Harshitha</v>
      </c>
      <c r="D937" s="103" t="str">
        <f>IF(ISBLANK(A937),"",_xlfn.XLOOKUP(A937,'Requirement Overview'!C:C,'Requirement Overview'!E:E))</f>
        <v>Talme</v>
      </c>
      <c r="E937" s="103" t="str">
        <f>IF(ISBLANK(A937),"",_xlfn.XLOOKUP(A937,'Requirement Overview'!C:C,'Requirement Overview'!H:H))</f>
        <v>IT</v>
      </c>
      <c r="F937" s="77" t="str">
        <f>IF(ISBLANK(A937),"",_xlfn.XLOOKUP(A937,'Requirement Overview'!C:C,'Requirement Overview'!I:I))</f>
        <v>Windows system adminstrator</v>
      </c>
      <c r="G937" s="58" t="str">
        <f>IF(ISBLANK(A937),"",_xlfn.XLOOKUP(A937,'Requirement Overview'!C:C,'Requirement Overview'!G:G))</f>
        <v>EMIDS</v>
      </c>
      <c r="H937" s="421" t="s">
        <v>3557</v>
      </c>
      <c r="I937" s="422" t="s">
        <v>519</v>
      </c>
      <c r="J937" s="423" t="s">
        <v>3558</v>
      </c>
      <c r="K937" s="467">
        <v>7276123078</v>
      </c>
      <c r="L937" s="424" t="s">
        <v>421</v>
      </c>
      <c r="M937" s="424" t="s">
        <v>390</v>
      </c>
      <c r="N937" s="426" t="s">
        <v>3559</v>
      </c>
      <c r="O937" s="376" t="s">
        <v>1644</v>
      </c>
      <c r="P937" s="424" t="s">
        <v>569</v>
      </c>
      <c r="Q937" s="424" t="s">
        <v>879</v>
      </c>
      <c r="R937" s="24" t="s">
        <v>540</v>
      </c>
      <c r="S937" s="24" t="s">
        <v>270</v>
      </c>
      <c r="T937" s="24" t="s">
        <v>103</v>
      </c>
      <c r="U937" s="29">
        <v>46104</v>
      </c>
      <c r="V937" s="29">
        <v>46104</v>
      </c>
    </row>
    <row r="938" spans="1:45" ht="15" customHeight="1">
      <c r="A938" s="24" t="s">
        <v>35</v>
      </c>
      <c r="B938" s="24" t="s">
        <v>340</v>
      </c>
      <c r="C938" s="103" t="str">
        <f>IF(ISBLANK(B938),"",_xlfn.XLOOKUP(B938,Recruiter!A:A,Recruiter!B:B))</f>
        <v>Harshitha</v>
      </c>
      <c r="D938" s="103" t="str">
        <f>IF(ISBLANK(A938),"",_xlfn.XLOOKUP(A938,'Requirement Overview'!C:C,'Requirement Overview'!E:E))</f>
        <v>Talme</v>
      </c>
      <c r="E938" s="103" t="str">
        <f>IF(ISBLANK(A938),"",_xlfn.XLOOKUP(A938,'Requirement Overview'!C:C,'Requirement Overview'!H:H))</f>
        <v>IT</v>
      </c>
      <c r="F938" s="77" t="str">
        <f>IF(ISBLANK(A938),"",_xlfn.XLOOKUP(A938,'Requirement Overview'!C:C,'Requirement Overview'!I:I))</f>
        <v>Windows system adminstrator</v>
      </c>
      <c r="G938" s="58" t="str">
        <f>IF(ISBLANK(A938),"",_xlfn.XLOOKUP(A938,'Requirement Overview'!C:C,'Requirement Overview'!G:G))</f>
        <v>EMIDS</v>
      </c>
      <c r="H938" s="421" t="s">
        <v>3560</v>
      </c>
      <c r="I938" s="422" t="s">
        <v>519</v>
      </c>
      <c r="J938" s="423" t="s">
        <v>3561</v>
      </c>
      <c r="K938" s="467">
        <v>8918414473</v>
      </c>
      <c r="L938" s="424" t="s">
        <v>305</v>
      </c>
      <c r="M938" s="424" t="s">
        <v>405</v>
      </c>
      <c r="N938" s="426" t="s">
        <v>2507</v>
      </c>
      <c r="O938" s="376" t="s">
        <v>3562</v>
      </c>
      <c r="P938" s="424" t="s">
        <v>1139</v>
      </c>
      <c r="Q938" s="424" t="s">
        <v>268</v>
      </c>
      <c r="R938" s="24" t="s">
        <v>407</v>
      </c>
      <c r="S938" s="24" t="s">
        <v>3127</v>
      </c>
      <c r="T938" s="24" t="s">
        <v>103</v>
      </c>
      <c r="U938" s="29">
        <v>46104</v>
      </c>
      <c r="V938" s="29">
        <v>46104</v>
      </c>
      <c r="X938" s="29">
        <v>46113</v>
      </c>
      <c r="Y938" s="24" t="s">
        <v>784</v>
      </c>
      <c r="AJ938" s="636">
        <v>46114</v>
      </c>
      <c r="AK938" s="29">
        <v>46114</v>
      </c>
      <c r="AL938" s="31">
        <v>46114</v>
      </c>
      <c r="AM938" s="31">
        <v>46114</v>
      </c>
      <c r="AN938" s="24" t="s">
        <v>2761</v>
      </c>
      <c r="AO938" s="29">
        <v>46114</v>
      </c>
      <c r="AP938" s="24" t="s">
        <v>2762</v>
      </c>
      <c r="AQ938" s="29">
        <v>46115</v>
      </c>
      <c r="AR938" s="24" t="s">
        <v>3127</v>
      </c>
      <c r="AS938" s="19" t="s">
        <v>1644</v>
      </c>
    </row>
    <row r="939" spans="1:45" ht="15" customHeight="1">
      <c r="A939" s="24" t="s">
        <v>35</v>
      </c>
      <c r="B939" s="24" t="s">
        <v>340</v>
      </c>
      <c r="C939" s="103" t="str">
        <f>IF(ISBLANK(B939),"",_xlfn.XLOOKUP(B939,Recruiter!A:A,Recruiter!B:B))</f>
        <v>Harshitha</v>
      </c>
      <c r="D939" s="103" t="str">
        <f>IF(ISBLANK(A939),"",_xlfn.XLOOKUP(A939,'Requirement Overview'!C:C,'Requirement Overview'!E:E))</f>
        <v>Talme</v>
      </c>
      <c r="E939" s="103" t="str">
        <f>IF(ISBLANK(A939),"",_xlfn.XLOOKUP(A939,'Requirement Overview'!C:C,'Requirement Overview'!H:H))</f>
        <v>IT</v>
      </c>
      <c r="F939" s="77" t="str">
        <f>IF(ISBLANK(A939),"",_xlfn.XLOOKUP(A939,'Requirement Overview'!C:C,'Requirement Overview'!I:I))</f>
        <v>Windows system adminstrator</v>
      </c>
      <c r="G939" s="58" t="str">
        <f>IF(ISBLANK(A939),"",_xlfn.XLOOKUP(A939,'Requirement Overview'!C:C,'Requirement Overview'!G:G))</f>
        <v>EMIDS</v>
      </c>
      <c r="H939" s="421" t="s">
        <v>3563</v>
      </c>
      <c r="I939" s="424" t="s">
        <v>519</v>
      </c>
      <c r="J939" s="427" t="s">
        <v>3564</v>
      </c>
      <c r="K939" s="467" t="s">
        <v>3565</v>
      </c>
      <c r="L939" s="424" t="s">
        <v>305</v>
      </c>
      <c r="M939" s="424" t="s">
        <v>414</v>
      </c>
      <c r="N939" s="426" t="s">
        <v>3566</v>
      </c>
      <c r="O939" s="376" t="s">
        <v>589</v>
      </c>
      <c r="P939" s="424" t="s">
        <v>268</v>
      </c>
      <c r="Q939" s="424" t="s">
        <v>268</v>
      </c>
      <c r="R939" s="24" t="s">
        <v>1191</v>
      </c>
      <c r="S939" s="24" t="s">
        <v>270</v>
      </c>
      <c r="T939" s="24" t="s">
        <v>103</v>
      </c>
      <c r="U939" s="29">
        <v>46105</v>
      </c>
      <c r="V939" s="29">
        <v>46105</v>
      </c>
    </row>
    <row r="940" spans="1:45" ht="15" customHeight="1">
      <c r="A940" s="24" t="s">
        <v>35</v>
      </c>
      <c r="B940" s="24" t="s">
        <v>340</v>
      </c>
      <c r="C940" s="103" t="str">
        <f>IF(ISBLANK(B940),"",_xlfn.XLOOKUP(B940,Recruiter!A:A,Recruiter!B:B))</f>
        <v>Harshitha</v>
      </c>
      <c r="D940" s="103" t="str">
        <f>IF(ISBLANK(A940),"",_xlfn.XLOOKUP(A940,'Requirement Overview'!C:C,'Requirement Overview'!E:E))</f>
        <v>Talme</v>
      </c>
      <c r="E940" s="103" t="str">
        <f>IF(ISBLANK(A940),"",_xlfn.XLOOKUP(A940,'Requirement Overview'!C:C,'Requirement Overview'!H:H))</f>
        <v>IT</v>
      </c>
      <c r="F940" s="77" t="str">
        <f>IF(ISBLANK(A940),"",_xlfn.XLOOKUP(A940,'Requirement Overview'!C:C,'Requirement Overview'!I:I))</f>
        <v>Windows system adminstrator</v>
      </c>
      <c r="G940" s="58" t="str">
        <f>IF(ISBLANK(A940),"",_xlfn.XLOOKUP(A940,'Requirement Overview'!C:C,'Requirement Overview'!G:G))</f>
        <v>EMIDS</v>
      </c>
      <c r="H940" s="421" t="s">
        <v>3567</v>
      </c>
      <c r="I940" s="424" t="s">
        <v>519</v>
      </c>
      <c r="J940" s="427" t="s">
        <v>3568</v>
      </c>
      <c r="K940" s="467">
        <v>6382448143</v>
      </c>
      <c r="L940" s="424" t="s">
        <v>305</v>
      </c>
      <c r="M940" s="424" t="s">
        <v>3569</v>
      </c>
      <c r="N940" s="426" t="s">
        <v>3110</v>
      </c>
      <c r="O940" s="376" t="s">
        <v>374</v>
      </c>
      <c r="P940" s="424" t="s">
        <v>1128</v>
      </c>
      <c r="Q940" s="424" t="s">
        <v>268</v>
      </c>
      <c r="R940" s="24" t="s">
        <v>540</v>
      </c>
      <c r="S940" s="24" t="s">
        <v>270</v>
      </c>
      <c r="T940" s="24" t="s">
        <v>103</v>
      </c>
      <c r="U940" s="29">
        <v>46105</v>
      </c>
      <c r="V940" s="29">
        <v>46105</v>
      </c>
    </row>
    <row r="941" spans="1:45" ht="15" customHeight="1">
      <c r="A941" s="24" t="s">
        <v>35</v>
      </c>
      <c r="B941" s="24" t="s">
        <v>340</v>
      </c>
      <c r="C941" s="103" t="str">
        <f>IF(ISBLANK(B941),"",_xlfn.XLOOKUP(B941,Recruiter!A:A,Recruiter!B:B))</f>
        <v>Harshitha</v>
      </c>
      <c r="D941" s="103" t="str">
        <f>IF(ISBLANK(A941),"",_xlfn.XLOOKUP(A941,'Requirement Overview'!C:C,'Requirement Overview'!E:E))</f>
        <v>Talme</v>
      </c>
      <c r="E941" s="103" t="str">
        <f>IF(ISBLANK(A941),"",_xlfn.XLOOKUP(A941,'Requirement Overview'!C:C,'Requirement Overview'!H:H))</f>
        <v>IT</v>
      </c>
      <c r="F941" s="77" t="str">
        <f>IF(ISBLANK(A941),"",_xlfn.XLOOKUP(A941,'Requirement Overview'!C:C,'Requirement Overview'!I:I))</f>
        <v>Windows system adminstrator</v>
      </c>
      <c r="G941" s="58" t="str">
        <f>IF(ISBLANK(A941),"",_xlfn.XLOOKUP(A941,'Requirement Overview'!C:C,'Requirement Overview'!G:G))</f>
        <v>EMIDS</v>
      </c>
      <c r="H941" s="421" t="s">
        <v>3570</v>
      </c>
      <c r="I941" s="424" t="s">
        <v>519</v>
      </c>
      <c r="J941" s="427" t="s">
        <v>3571</v>
      </c>
      <c r="K941" s="467">
        <v>6360562593</v>
      </c>
      <c r="L941" s="424" t="s">
        <v>421</v>
      </c>
      <c r="M941" s="424" t="s">
        <v>351</v>
      </c>
      <c r="N941" s="426" t="s">
        <v>3572</v>
      </c>
      <c r="O941" s="376" t="s">
        <v>589</v>
      </c>
      <c r="P941" s="424" t="s">
        <v>268</v>
      </c>
      <c r="Q941" s="424" t="s">
        <v>268</v>
      </c>
      <c r="R941" s="24" t="s">
        <v>1144</v>
      </c>
      <c r="S941" s="24" t="s">
        <v>270</v>
      </c>
      <c r="T941" s="24" t="s">
        <v>103</v>
      </c>
      <c r="U941" s="29">
        <v>46105</v>
      </c>
      <c r="V941" s="29">
        <v>46105</v>
      </c>
    </row>
    <row r="942" spans="1:45" ht="15" customHeight="1">
      <c r="A942" s="24" t="s">
        <v>143</v>
      </c>
      <c r="B942" s="24" t="s">
        <v>236</v>
      </c>
      <c r="C942" s="103" t="str">
        <f>IF(ISBLANK(B942),"",_xlfn.XLOOKUP(B942,Recruiter!A:A,Recruiter!B:B))</f>
        <v>Pooja</v>
      </c>
      <c r="D942" s="103" t="str">
        <f>IF(ISBLANK(A942),"",_xlfn.XLOOKUP(A942,'Requirement Overview'!C:C,'Requirement Overview'!E:E))</f>
        <v>Talme</v>
      </c>
      <c r="E942" s="103" t="str">
        <f>IF(ISBLANK(A942),"",_xlfn.XLOOKUP(A942,'Requirement Overview'!C:C,'Requirement Overview'!H:H))</f>
        <v>Non - IT</v>
      </c>
      <c r="F942" s="77" t="str">
        <f>IF(ISBLANK(A942),"",_xlfn.XLOOKUP(A942,'Requirement Overview'!C:C,'Requirement Overview'!I:I))</f>
        <v>Manufacturing ITI</v>
      </c>
      <c r="G942" s="58" t="str">
        <f>IF(ISBLANK(A942),"",_xlfn.XLOOKUP(A942,'Requirement Overview'!C:C,'Requirement Overview'!G:G))</f>
        <v>Micron</v>
      </c>
      <c r="H942" s="301" t="s">
        <v>3573</v>
      </c>
      <c r="I942" s="3" t="s">
        <v>497</v>
      </c>
      <c r="J942" s="59"/>
      <c r="L942" s="3" t="s">
        <v>3220</v>
      </c>
      <c r="M942" s="3" t="s">
        <v>978</v>
      </c>
      <c r="P942" s="3" t="s">
        <v>3431</v>
      </c>
      <c r="Q942" s="24" t="s">
        <v>3268</v>
      </c>
      <c r="S942" s="24" t="s">
        <v>601</v>
      </c>
      <c r="T942" s="24" t="s">
        <v>103</v>
      </c>
      <c r="U942" s="29">
        <v>46105</v>
      </c>
      <c r="V942" s="29">
        <v>46105</v>
      </c>
    </row>
    <row r="943" spans="1:45" ht="15" customHeight="1">
      <c r="A943" s="24" t="s">
        <v>143</v>
      </c>
      <c r="B943" s="24" t="s">
        <v>236</v>
      </c>
      <c r="C943" s="103" t="str">
        <f>IF(ISBLANK(B943),"",_xlfn.XLOOKUP(B943,Recruiter!A:A,Recruiter!B:B))</f>
        <v>Pooja</v>
      </c>
      <c r="D943" s="103" t="str">
        <f>IF(ISBLANK(A943),"",_xlfn.XLOOKUP(A943,'Requirement Overview'!C:C,'Requirement Overview'!E:E))</f>
        <v>Talme</v>
      </c>
      <c r="E943" s="103" t="str">
        <f>IF(ISBLANK(A943),"",_xlfn.XLOOKUP(A943,'Requirement Overview'!C:C,'Requirement Overview'!H:H))</f>
        <v>Non - IT</v>
      </c>
      <c r="F943" s="77" t="str">
        <f>IF(ISBLANK(A943),"",_xlfn.XLOOKUP(A943,'Requirement Overview'!C:C,'Requirement Overview'!I:I))</f>
        <v>Manufacturing ITI</v>
      </c>
      <c r="G943" s="58" t="str">
        <f>IF(ISBLANK(A943),"",_xlfn.XLOOKUP(A943,'Requirement Overview'!C:C,'Requirement Overview'!G:G))</f>
        <v>Micron</v>
      </c>
      <c r="H943" s="301" t="s">
        <v>3574</v>
      </c>
      <c r="I943" s="3" t="s">
        <v>519</v>
      </c>
      <c r="J943" s="59"/>
      <c r="L943" s="3" t="s">
        <v>3220</v>
      </c>
      <c r="M943" s="3" t="s">
        <v>978</v>
      </c>
      <c r="P943" s="3" t="s">
        <v>1374</v>
      </c>
      <c r="Q943" s="24" t="s">
        <v>3268</v>
      </c>
      <c r="S943" s="24" t="s">
        <v>601</v>
      </c>
      <c r="T943" s="24" t="s">
        <v>103</v>
      </c>
      <c r="U943" s="29">
        <v>46105</v>
      </c>
      <c r="V943" s="29">
        <v>46105</v>
      </c>
    </row>
    <row r="944" spans="1:45" ht="15" customHeight="1">
      <c r="A944" s="24" t="s">
        <v>143</v>
      </c>
      <c r="B944" s="24" t="s">
        <v>236</v>
      </c>
      <c r="C944" s="103" t="str">
        <f>IF(ISBLANK(B944),"",_xlfn.XLOOKUP(B944,Recruiter!A:A,Recruiter!B:B))</f>
        <v>Pooja</v>
      </c>
      <c r="D944" s="103" t="str">
        <f>IF(ISBLANK(A944),"",_xlfn.XLOOKUP(A944,'Requirement Overview'!C:C,'Requirement Overview'!E:E))</f>
        <v>Talme</v>
      </c>
      <c r="E944" s="103" t="str">
        <f>IF(ISBLANK(A944),"",_xlfn.XLOOKUP(A944,'Requirement Overview'!C:C,'Requirement Overview'!H:H))</f>
        <v>Non - IT</v>
      </c>
      <c r="F944" s="77" t="str">
        <f>IF(ISBLANK(A944),"",_xlfn.XLOOKUP(A944,'Requirement Overview'!C:C,'Requirement Overview'!I:I))</f>
        <v>Manufacturing ITI</v>
      </c>
      <c r="G944" s="58" t="str">
        <f>IF(ISBLANK(A944),"",_xlfn.XLOOKUP(A944,'Requirement Overview'!C:C,'Requirement Overview'!G:G))</f>
        <v>Micron</v>
      </c>
      <c r="H944" s="301" t="s">
        <v>3575</v>
      </c>
      <c r="I944" s="3" t="s">
        <v>497</v>
      </c>
      <c r="J944" s="59"/>
      <c r="L944" s="3" t="s">
        <v>3220</v>
      </c>
      <c r="M944" s="3" t="s">
        <v>978</v>
      </c>
      <c r="P944" s="3" t="s">
        <v>3310</v>
      </c>
      <c r="Q944" s="24" t="s">
        <v>3268</v>
      </c>
      <c r="S944" s="24" t="s">
        <v>601</v>
      </c>
      <c r="T944" s="24" t="s">
        <v>103</v>
      </c>
      <c r="U944" s="29">
        <v>46105</v>
      </c>
      <c r="V944" s="29">
        <v>46105</v>
      </c>
    </row>
    <row r="945" spans="1:31" ht="15" customHeight="1">
      <c r="A945" s="24" t="s">
        <v>143</v>
      </c>
      <c r="B945" s="24" t="s">
        <v>236</v>
      </c>
      <c r="C945" s="103" t="str">
        <f>IF(ISBLANK(B945),"",_xlfn.XLOOKUP(B945,Recruiter!A:A,Recruiter!B:B))</f>
        <v>Pooja</v>
      </c>
      <c r="D945" s="103" t="str">
        <f>IF(ISBLANK(A945),"",_xlfn.XLOOKUP(A945,'Requirement Overview'!C:C,'Requirement Overview'!E:E))</f>
        <v>Talme</v>
      </c>
      <c r="E945" s="103" t="str">
        <f>IF(ISBLANK(A945),"",_xlfn.XLOOKUP(A945,'Requirement Overview'!C:C,'Requirement Overview'!H:H))</f>
        <v>Non - IT</v>
      </c>
      <c r="F945" s="77" t="str">
        <f>IF(ISBLANK(A945),"",_xlfn.XLOOKUP(A945,'Requirement Overview'!C:C,'Requirement Overview'!I:I))</f>
        <v>Manufacturing ITI</v>
      </c>
      <c r="G945" s="58" t="str">
        <f>IF(ISBLANK(A945),"",_xlfn.XLOOKUP(A945,'Requirement Overview'!C:C,'Requirement Overview'!G:G))</f>
        <v>Micron</v>
      </c>
      <c r="H945" s="301" t="s">
        <v>3576</v>
      </c>
      <c r="I945" s="3" t="s">
        <v>497</v>
      </c>
      <c r="J945" s="59"/>
      <c r="L945" s="3" t="s">
        <v>3220</v>
      </c>
      <c r="M945" s="3" t="s">
        <v>514</v>
      </c>
      <c r="P945" s="3" t="s">
        <v>3316</v>
      </c>
      <c r="Q945" s="24" t="s">
        <v>3268</v>
      </c>
      <c r="S945" s="24" t="s">
        <v>601</v>
      </c>
      <c r="T945" s="24" t="s">
        <v>103</v>
      </c>
      <c r="U945" s="29">
        <v>46105</v>
      </c>
      <c r="V945" s="29">
        <v>46105</v>
      </c>
    </row>
    <row r="946" spans="1:31" ht="15" customHeight="1">
      <c r="A946" s="24" t="s">
        <v>140</v>
      </c>
      <c r="B946" s="24" t="s">
        <v>236</v>
      </c>
      <c r="C946" s="103" t="str">
        <f>IF(ISBLANK(B946),"",_xlfn.XLOOKUP(B946,Recruiter!A:A,Recruiter!B:B))</f>
        <v>Pooja</v>
      </c>
      <c r="D946" s="103" t="str">
        <f>IF(ISBLANK(A946),"",_xlfn.XLOOKUP(A946,'Requirement Overview'!C:C,'Requirement Overview'!E:E))</f>
        <v>Talme</v>
      </c>
      <c r="E946" s="103" t="str">
        <f>IF(ISBLANK(A946),"",_xlfn.XLOOKUP(A946,'Requirement Overview'!C:C,'Requirement Overview'!H:H))</f>
        <v>Non - IT</v>
      </c>
      <c r="F946" s="77" t="str">
        <f>IF(ISBLANK(A946),"",_xlfn.XLOOKUP(A946,'Requirement Overview'!C:C,'Requirement Overview'!I:I))</f>
        <v>Production Operator</v>
      </c>
      <c r="G946" s="58" t="str">
        <f>IF(ISBLANK(A946),"",_xlfn.XLOOKUP(A946,'Requirement Overview'!C:C,'Requirement Overview'!G:G))</f>
        <v>Micron</v>
      </c>
      <c r="H946" s="3" t="s">
        <v>3577</v>
      </c>
      <c r="I946" s="3" t="s">
        <v>519</v>
      </c>
      <c r="J946" s="59"/>
      <c r="L946" s="3" t="s">
        <v>733</v>
      </c>
      <c r="M946" s="3" t="s">
        <v>1219</v>
      </c>
      <c r="P946" s="3" t="s">
        <v>3431</v>
      </c>
      <c r="Q946" s="24" t="s">
        <v>3268</v>
      </c>
      <c r="S946" s="24" t="s">
        <v>601</v>
      </c>
      <c r="T946" s="24" t="s">
        <v>103</v>
      </c>
      <c r="U946" s="29">
        <v>46105</v>
      </c>
      <c r="V946" s="29">
        <v>46105</v>
      </c>
    </row>
    <row r="947" spans="1:31" ht="15" customHeight="1">
      <c r="A947" s="24" t="s">
        <v>140</v>
      </c>
      <c r="B947" s="24" t="s">
        <v>236</v>
      </c>
      <c r="C947" s="103" t="str">
        <f>IF(ISBLANK(B947),"",_xlfn.XLOOKUP(B947,Recruiter!A:A,Recruiter!B:B))</f>
        <v>Pooja</v>
      </c>
      <c r="D947" s="103" t="str">
        <f>IF(ISBLANK(A947),"",_xlfn.XLOOKUP(A947,'Requirement Overview'!C:C,'Requirement Overview'!E:E))</f>
        <v>Talme</v>
      </c>
      <c r="E947" s="103" t="str">
        <f>IF(ISBLANK(A947),"",_xlfn.XLOOKUP(A947,'Requirement Overview'!C:C,'Requirement Overview'!H:H))</f>
        <v>Non - IT</v>
      </c>
      <c r="F947" s="77" t="str">
        <f>IF(ISBLANK(A947),"",_xlfn.XLOOKUP(A947,'Requirement Overview'!C:C,'Requirement Overview'!I:I))</f>
        <v>Production Operator</v>
      </c>
      <c r="G947" s="58" t="str">
        <f>IF(ISBLANK(A947),"",_xlfn.XLOOKUP(A947,'Requirement Overview'!C:C,'Requirement Overview'!G:G))</f>
        <v>Micron</v>
      </c>
      <c r="H947" s="3" t="s">
        <v>3578</v>
      </c>
      <c r="I947" s="3" t="s">
        <v>262</v>
      </c>
      <c r="J947" s="59"/>
      <c r="L947" s="3" t="s">
        <v>733</v>
      </c>
      <c r="M947" s="3" t="s">
        <v>499</v>
      </c>
      <c r="P947" s="3" t="s">
        <v>1702</v>
      </c>
      <c r="Q947" s="24" t="s">
        <v>3268</v>
      </c>
      <c r="S947" s="24" t="s">
        <v>601</v>
      </c>
      <c r="T947" s="24" t="s">
        <v>103</v>
      </c>
      <c r="U947" s="29">
        <v>46105</v>
      </c>
      <c r="V947" s="29">
        <v>46105</v>
      </c>
    </row>
    <row r="948" spans="1:31" ht="15" customHeight="1">
      <c r="A948" s="24" t="s">
        <v>140</v>
      </c>
      <c r="B948" s="24" t="s">
        <v>236</v>
      </c>
      <c r="C948" s="103" t="str">
        <f>IF(ISBLANK(B948),"",_xlfn.XLOOKUP(B948,Recruiter!A:A,Recruiter!B:B))</f>
        <v>Pooja</v>
      </c>
      <c r="D948" s="103" t="str">
        <f>IF(ISBLANK(A948),"",_xlfn.XLOOKUP(A948,'Requirement Overview'!C:C,'Requirement Overview'!E:E))</f>
        <v>Talme</v>
      </c>
      <c r="E948" s="103" t="str">
        <f>IF(ISBLANK(A948),"",_xlfn.XLOOKUP(A948,'Requirement Overview'!C:C,'Requirement Overview'!H:H))</f>
        <v>Non - IT</v>
      </c>
      <c r="F948" s="77" t="str">
        <f>IF(ISBLANK(A948),"",_xlfn.XLOOKUP(A948,'Requirement Overview'!C:C,'Requirement Overview'!I:I))</f>
        <v>Production Operator</v>
      </c>
      <c r="G948" s="58" t="str">
        <f>IF(ISBLANK(A948),"",_xlfn.XLOOKUP(A948,'Requirement Overview'!C:C,'Requirement Overview'!G:G))</f>
        <v>Micron</v>
      </c>
      <c r="H948" s="3" t="s">
        <v>3579</v>
      </c>
      <c r="I948" s="3" t="s">
        <v>1403</v>
      </c>
      <c r="J948" s="59"/>
      <c r="L948" s="3" t="s">
        <v>733</v>
      </c>
      <c r="M948" s="3" t="s">
        <v>3377</v>
      </c>
      <c r="P948" s="3" t="s">
        <v>1702</v>
      </c>
      <c r="Q948" s="24" t="s">
        <v>3268</v>
      </c>
      <c r="S948" s="24" t="s">
        <v>601</v>
      </c>
      <c r="T948" s="24" t="s">
        <v>103</v>
      </c>
      <c r="U948" s="29">
        <v>46105</v>
      </c>
      <c r="V948" s="29">
        <v>46105</v>
      </c>
    </row>
    <row r="949" spans="1:31" ht="15" customHeight="1">
      <c r="A949" s="24" t="s">
        <v>140</v>
      </c>
      <c r="B949" s="24" t="s">
        <v>236</v>
      </c>
      <c r="C949" s="103" t="str">
        <f>IF(ISBLANK(B949),"",_xlfn.XLOOKUP(B949,Recruiter!A:A,Recruiter!B:B))</f>
        <v>Pooja</v>
      </c>
      <c r="D949" s="103" t="str">
        <f>IF(ISBLANK(A949),"",_xlfn.XLOOKUP(A949,'Requirement Overview'!C:C,'Requirement Overview'!E:E))</f>
        <v>Talme</v>
      </c>
      <c r="E949" s="103" t="str">
        <f>IF(ISBLANK(A949),"",_xlfn.XLOOKUP(A949,'Requirement Overview'!C:C,'Requirement Overview'!H:H))</f>
        <v>Non - IT</v>
      </c>
      <c r="F949" s="77" t="str">
        <f>IF(ISBLANK(A949),"",_xlfn.XLOOKUP(A949,'Requirement Overview'!C:C,'Requirement Overview'!I:I))</f>
        <v>Production Operator</v>
      </c>
      <c r="G949" s="58" t="str">
        <f>IF(ISBLANK(A949),"",_xlfn.XLOOKUP(A949,'Requirement Overview'!C:C,'Requirement Overview'!G:G))</f>
        <v>Micron</v>
      </c>
      <c r="H949" s="3" t="s">
        <v>3580</v>
      </c>
      <c r="I949" s="3" t="s">
        <v>497</v>
      </c>
      <c r="J949" s="59"/>
      <c r="L949" s="3" t="s">
        <v>733</v>
      </c>
      <c r="M949" s="3" t="s">
        <v>3581</v>
      </c>
      <c r="P949" s="3" t="s">
        <v>3582</v>
      </c>
      <c r="Q949" s="24" t="s">
        <v>3268</v>
      </c>
      <c r="S949" s="24" t="s">
        <v>601</v>
      </c>
      <c r="T949" s="24" t="s">
        <v>103</v>
      </c>
      <c r="U949" s="29">
        <v>46105</v>
      </c>
      <c r="V949" s="29">
        <v>46105</v>
      </c>
    </row>
    <row r="950" spans="1:31" ht="15" customHeight="1">
      <c r="A950" s="24" t="s">
        <v>143</v>
      </c>
      <c r="B950" s="24" t="s">
        <v>236</v>
      </c>
      <c r="C950" s="103" t="str">
        <f>IF(ISBLANK(B950),"",_xlfn.XLOOKUP(B950,Recruiter!A:A,Recruiter!B:B))</f>
        <v>Pooja</v>
      </c>
      <c r="D950" s="103" t="str">
        <f>IF(ISBLANK(A950),"",_xlfn.XLOOKUP(A950,'Requirement Overview'!C:C,'Requirement Overview'!E:E))</f>
        <v>Talme</v>
      </c>
      <c r="E950" s="103" t="str">
        <f>IF(ISBLANK(A950),"",_xlfn.XLOOKUP(A950,'Requirement Overview'!C:C,'Requirement Overview'!H:H))</f>
        <v>Non - IT</v>
      </c>
      <c r="F950" s="77" t="str">
        <f>IF(ISBLANK(A950),"",_xlfn.XLOOKUP(A950,'Requirement Overview'!C:C,'Requirement Overview'!I:I))</f>
        <v>Manufacturing ITI</v>
      </c>
      <c r="G950" s="58" t="str">
        <f>IF(ISBLANK(A950),"",_xlfn.XLOOKUP(A950,'Requirement Overview'!C:C,'Requirement Overview'!G:G))</f>
        <v>Micron</v>
      </c>
      <c r="H950" s="3" t="s">
        <v>3583</v>
      </c>
      <c r="I950" s="3" t="s">
        <v>519</v>
      </c>
      <c r="J950" s="59"/>
      <c r="L950" s="3" t="s">
        <v>3385</v>
      </c>
      <c r="M950" s="3" t="s">
        <v>978</v>
      </c>
      <c r="P950" s="3" t="s">
        <v>1702</v>
      </c>
      <c r="Q950" s="24" t="s">
        <v>3268</v>
      </c>
      <c r="S950" s="24" t="s">
        <v>601</v>
      </c>
      <c r="T950" s="24" t="s">
        <v>103</v>
      </c>
      <c r="U950" s="29">
        <v>46106</v>
      </c>
      <c r="V950" s="29">
        <v>46106</v>
      </c>
    </row>
    <row r="951" spans="1:31" ht="15" customHeight="1">
      <c r="A951" s="24" t="s">
        <v>140</v>
      </c>
      <c r="B951" s="24" t="s">
        <v>236</v>
      </c>
      <c r="C951" s="103" t="str">
        <f>IF(ISBLANK(B951),"",_xlfn.XLOOKUP(B951,Recruiter!A:A,Recruiter!B:B))</f>
        <v>Pooja</v>
      </c>
      <c r="D951" s="103" t="str">
        <f>IF(ISBLANK(A951),"",_xlfn.XLOOKUP(A951,'Requirement Overview'!C:C,'Requirement Overview'!E:E))</f>
        <v>Talme</v>
      </c>
      <c r="E951" s="103" t="str">
        <f>IF(ISBLANK(A951),"",_xlfn.XLOOKUP(A951,'Requirement Overview'!C:C,'Requirement Overview'!H:H))</f>
        <v>Non - IT</v>
      </c>
      <c r="F951" s="77" t="str">
        <f>IF(ISBLANK(A951),"",_xlfn.XLOOKUP(A951,'Requirement Overview'!C:C,'Requirement Overview'!I:I))</f>
        <v>Production Operator</v>
      </c>
      <c r="G951" s="58" t="str">
        <f>IF(ISBLANK(A951),"",_xlfn.XLOOKUP(A951,'Requirement Overview'!C:C,'Requirement Overview'!G:G))</f>
        <v>Micron</v>
      </c>
      <c r="H951" s="301" t="s">
        <v>3584</v>
      </c>
      <c r="I951" s="3" t="s">
        <v>519</v>
      </c>
      <c r="J951" s="59"/>
      <c r="L951" s="3" t="s">
        <v>733</v>
      </c>
      <c r="M951" s="3" t="s">
        <v>3585</v>
      </c>
      <c r="P951" s="3" t="s">
        <v>3586</v>
      </c>
      <c r="Q951" s="24" t="s">
        <v>3268</v>
      </c>
      <c r="S951" s="24" t="s">
        <v>601</v>
      </c>
      <c r="T951" s="24" t="s">
        <v>103</v>
      </c>
      <c r="U951" s="29">
        <v>46106</v>
      </c>
      <c r="V951" s="29">
        <v>46106</v>
      </c>
    </row>
    <row r="952" spans="1:31" ht="15" customHeight="1">
      <c r="A952" s="24" t="s">
        <v>140</v>
      </c>
      <c r="B952" s="24" t="s">
        <v>236</v>
      </c>
      <c r="C952" s="103" t="str">
        <f>IF(ISBLANK(B952),"",_xlfn.XLOOKUP(B952,Recruiter!A:A,Recruiter!B:B))</f>
        <v>Pooja</v>
      </c>
      <c r="D952" s="103" t="str">
        <f>IF(ISBLANK(A952),"",_xlfn.XLOOKUP(A952,'Requirement Overview'!C:C,'Requirement Overview'!E:E))</f>
        <v>Talme</v>
      </c>
      <c r="E952" s="103" t="str">
        <f>IF(ISBLANK(A952),"",_xlfn.XLOOKUP(A952,'Requirement Overview'!C:C,'Requirement Overview'!H:H))</f>
        <v>Non - IT</v>
      </c>
      <c r="F952" s="77" t="str">
        <f>IF(ISBLANK(A952),"",_xlfn.XLOOKUP(A952,'Requirement Overview'!C:C,'Requirement Overview'!I:I))</f>
        <v>Production Operator</v>
      </c>
      <c r="G952" s="58" t="str">
        <f>IF(ISBLANK(A952),"",_xlfn.XLOOKUP(A952,'Requirement Overview'!C:C,'Requirement Overview'!G:G))</f>
        <v>Micron</v>
      </c>
      <c r="H952" s="301" t="s">
        <v>3587</v>
      </c>
      <c r="I952" s="3" t="s">
        <v>497</v>
      </c>
      <c r="J952" s="59"/>
      <c r="L952" s="3" t="s">
        <v>733</v>
      </c>
      <c r="M952" s="3" t="s">
        <v>978</v>
      </c>
      <c r="P952" s="3" t="s">
        <v>3588</v>
      </c>
      <c r="Q952" s="24" t="s">
        <v>3268</v>
      </c>
      <c r="S952" s="24" t="s">
        <v>601</v>
      </c>
      <c r="T952" s="24" t="s">
        <v>103</v>
      </c>
      <c r="U952" s="29">
        <v>46106</v>
      </c>
      <c r="V952" s="29">
        <v>46106</v>
      </c>
    </row>
    <row r="953" spans="1:31" ht="15" customHeight="1">
      <c r="A953" s="24" t="s">
        <v>140</v>
      </c>
      <c r="B953" s="24" t="s">
        <v>236</v>
      </c>
      <c r="C953" s="103" t="str">
        <f>IF(ISBLANK(B953),"",_xlfn.XLOOKUP(B953,Recruiter!A:A,Recruiter!B:B))</f>
        <v>Pooja</v>
      </c>
      <c r="D953" s="103" t="str">
        <f>IF(ISBLANK(A953),"",_xlfn.XLOOKUP(A953,'Requirement Overview'!C:C,'Requirement Overview'!E:E))</f>
        <v>Talme</v>
      </c>
      <c r="E953" s="103" t="str">
        <f>IF(ISBLANK(A953),"",_xlfn.XLOOKUP(A953,'Requirement Overview'!C:C,'Requirement Overview'!H:H))</f>
        <v>Non - IT</v>
      </c>
      <c r="F953" s="77" t="str">
        <f>IF(ISBLANK(A953),"",_xlfn.XLOOKUP(A953,'Requirement Overview'!C:C,'Requirement Overview'!I:I))</f>
        <v>Production Operator</v>
      </c>
      <c r="G953" s="58" t="str">
        <f>IF(ISBLANK(A953),"",_xlfn.XLOOKUP(A953,'Requirement Overview'!C:C,'Requirement Overview'!G:G))</f>
        <v>Micron</v>
      </c>
      <c r="H953" s="3" t="s">
        <v>3589</v>
      </c>
      <c r="I953" s="3" t="s">
        <v>519</v>
      </c>
      <c r="J953" s="59"/>
      <c r="L953" s="3" t="s">
        <v>733</v>
      </c>
      <c r="M953" s="3" t="s">
        <v>3590</v>
      </c>
      <c r="P953" s="3" t="s">
        <v>569</v>
      </c>
      <c r="Q953" s="24" t="s">
        <v>3268</v>
      </c>
      <c r="S953" s="24" t="s">
        <v>601</v>
      </c>
      <c r="T953" s="24" t="s">
        <v>103</v>
      </c>
      <c r="U953" s="29">
        <v>46106</v>
      </c>
      <c r="V953" s="29">
        <v>46106</v>
      </c>
    </row>
    <row r="954" spans="1:31" ht="15" customHeight="1">
      <c r="A954" s="24" t="s">
        <v>140</v>
      </c>
      <c r="B954" s="24" t="s">
        <v>236</v>
      </c>
      <c r="C954" s="103" t="str">
        <f>IF(ISBLANK(B954),"",_xlfn.XLOOKUP(B954,Recruiter!A:A,Recruiter!B:B))</f>
        <v>Pooja</v>
      </c>
      <c r="D954" s="103" t="str">
        <f>IF(ISBLANK(A954),"",_xlfn.XLOOKUP(A954,'Requirement Overview'!C:C,'Requirement Overview'!E:E))</f>
        <v>Talme</v>
      </c>
      <c r="E954" s="103" t="str">
        <f>IF(ISBLANK(A954),"",_xlfn.XLOOKUP(A954,'Requirement Overview'!C:C,'Requirement Overview'!H:H))</f>
        <v>Non - IT</v>
      </c>
      <c r="F954" s="77" t="str">
        <f>IF(ISBLANK(A954),"",_xlfn.XLOOKUP(A954,'Requirement Overview'!C:C,'Requirement Overview'!I:I))</f>
        <v>Production Operator</v>
      </c>
      <c r="G954" s="58" t="str">
        <f>IF(ISBLANK(A954),"",_xlfn.XLOOKUP(A954,'Requirement Overview'!C:C,'Requirement Overview'!G:G))</f>
        <v>Micron</v>
      </c>
      <c r="H954" s="3" t="s">
        <v>3591</v>
      </c>
      <c r="I954" s="3" t="s">
        <v>262</v>
      </c>
      <c r="J954" s="59"/>
      <c r="L954" s="3" t="s">
        <v>733</v>
      </c>
      <c r="M954" s="3" t="s">
        <v>3592</v>
      </c>
      <c r="P954" s="3" t="s">
        <v>3504</v>
      </c>
      <c r="Q954" s="24" t="s">
        <v>3268</v>
      </c>
      <c r="S954" s="24" t="s">
        <v>601</v>
      </c>
      <c r="T954" s="24" t="s">
        <v>103</v>
      </c>
      <c r="U954" s="29">
        <v>46106</v>
      </c>
      <c r="V954" s="29">
        <v>46106</v>
      </c>
    </row>
    <row r="955" spans="1:31" ht="15" customHeight="1">
      <c r="A955" s="24" t="s">
        <v>140</v>
      </c>
      <c r="B955" s="24" t="s">
        <v>236</v>
      </c>
      <c r="C955" s="103" t="str">
        <f>IF(ISBLANK(B955),"",_xlfn.XLOOKUP(B955,Recruiter!A:A,Recruiter!B:B))</f>
        <v>Pooja</v>
      </c>
      <c r="D955" s="103" t="str">
        <f>IF(ISBLANK(A955),"",_xlfn.XLOOKUP(A955,'Requirement Overview'!C:C,'Requirement Overview'!E:E))</f>
        <v>Talme</v>
      </c>
      <c r="E955" s="103" t="str">
        <f>IF(ISBLANK(A955),"",_xlfn.XLOOKUP(A955,'Requirement Overview'!C:C,'Requirement Overview'!H:H))</f>
        <v>Non - IT</v>
      </c>
      <c r="F955" s="77" t="str">
        <f>IF(ISBLANK(A955),"",_xlfn.XLOOKUP(A955,'Requirement Overview'!C:C,'Requirement Overview'!I:I))</f>
        <v>Production Operator</v>
      </c>
      <c r="G955" s="58" t="str">
        <f>IF(ISBLANK(A955),"",_xlfn.XLOOKUP(A955,'Requirement Overview'!C:C,'Requirement Overview'!G:G))</f>
        <v>Micron</v>
      </c>
      <c r="H955" s="3" t="s">
        <v>3593</v>
      </c>
      <c r="I955" s="3" t="s">
        <v>303</v>
      </c>
      <c r="J955" s="59"/>
      <c r="L955" s="3" t="s">
        <v>733</v>
      </c>
      <c r="M955" s="3" t="s">
        <v>499</v>
      </c>
      <c r="P955" s="3" t="s">
        <v>3338</v>
      </c>
      <c r="Q955" s="24" t="s">
        <v>3268</v>
      </c>
      <c r="S955" s="24" t="s">
        <v>601</v>
      </c>
      <c r="T955" s="24" t="s">
        <v>103</v>
      </c>
      <c r="U955" s="29">
        <v>46106</v>
      </c>
      <c r="V955" s="29">
        <v>46106</v>
      </c>
    </row>
    <row r="956" spans="1:31" ht="15" customHeight="1">
      <c r="A956" s="24" t="s">
        <v>140</v>
      </c>
      <c r="B956" s="24" t="s">
        <v>236</v>
      </c>
      <c r="C956" s="103" t="str">
        <f>IF(ISBLANK(B956),"",_xlfn.XLOOKUP(B956,Recruiter!A:A,Recruiter!B:B))</f>
        <v>Pooja</v>
      </c>
      <c r="D956" s="103" t="str">
        <f>IF(ISBLANK(A956),"",_xlfn.XLOOKUP(A956,'Requirement Overview'!C:C,'Requirement Overview'!E:E))</f>
        <v>Talme</v>
      </c>
      <c r="E956" s="103" t="str">
        <f>IF(ISBLANK(A956),"",_xlfn.XLOOKUP(A956,'Requirement Overview'!C:C,'Requirement Overview'!H:H))</f>
        <v>Non - IT</v>
      </c>
      <c r="F956" s="77" t="str">
        <f>IF(ISBLANK(A956),"",_xlfn.XLOOKUP(A956,'Requirement Overview'!C:C,'Requirement Overview'!I:I))</f>
        <v>Production Operator</v>
      </c>
      <c r="G956" s="58" t="str">
        <f>IF(ISBLANK(A956),"",_xlfn.XLOOKUP(A956,'Requirement Overview'!C:C,'Requirement Overview'!G:G))</f>
        <v>Micron</v>
      </c>
      <c r="H956" s="3" t="s">
        <v>3594</v>
      </c>
      <c r="I956" s="3" t="s">
        <v>519</v>
      </c>
      <c r="J956" s="59"/>
      <c r="L956" s="3" t="s">
        <v>733</v>
      </c>
      <c r="M956" s="3" t="s">
        <v>499</v>
      </c>
      <c r="P956" s="3" t="s">
        <v>3431</v>
      </c>
      <c r="Q956" s="24" t="s">
        <v>3268</v>
      </c>
      <c r="S956" s="24" t="s">
        <v>601</v>
      </c>
      <c r="T956" s="24" t="s">
        <v>103</v>
      </c>
      <c r="U956" s="29">
        <v>46106</v>
      </c>
      <c r="V956" s="29">
        <v>46106</v>
      </c>
    </row>
    <row r="957" spans="1:31" ht="15" customHeight="1">
      <c r="A957" s="51" t="s">
        <v>140</v>
      </c>
      <c r="B957" s="51" t="s">
        <v>236</v>
      </c>
      <c r="C957" s="104" t="str">
        <f>IF(ISBLANK(B957),"",_xlfn.XLOOKUP(B957,Recruiter!A:A,Recruiter!B:B))</f>
        <v>Pooja</v>
      </c>
      <c r="D957" s="104" t="str">
        <f>IF(ISBLANK(A957),"",_xlfn.XLOOKUP(A957,'Requirement Overview'!C:C,'Requirement Overview'!E:E))</f>
        <v>Talme</v>
      </c>
      <c r="E957" s="104" t="str">
        <f>IF(ISBLANK(A957),"",_xlfn.XLOOKUP(A957,'Requirement Overview'!C:C,'Requirement Overview'!H:H))</f>
        <v>Non - IT</v>
      </c>
      <c r="F957" s="445" t="str">
        <f>IF(ISBLANK(A957),"",_xlfn.XLOOKUP(A957,'Requirement Overview'!C:C,'Requirement Overview'!I:I))</f>
        <v>Production Operator</v>
      </c>
      <c r="G957" s="62" t="str">
        <f>IF(ISBLANK(A957),"",_xlfn.XLOOKUP(A957,'Requirement Overview'!C:C,'Requirement Overview'!G:G))</f>
        <v>Micron</v>
      </c>
      <c r="H957" s="50" t="s">
        <v>277</v>
      </c>
      <c r="I957" s="50" t="s">
        <v>519</v>
      </c>
      <c r="J957" s="225"/>
      <c r="K957" s="51"/>
      <c r="L957" s="50" t="s">
        <v>733</v>
      </c>
      <c r="M957" s="50" t="s">
        <v>1801</v>
      </c>
      <c r="N957" s="51"/>
      <c r="O957" s="51"/>
      <c r="P957" s="50" t="s">
        <v>3595</v>
      </c>
      <c r="Q957" s="51" t="s">
        <v>3268</v>
      </c>
      <c r="R957" s="51"/>
      <c r="S957" s="51" t="s">
        <v>601</v>
      </c>
      <c r="T957" s="51" t="s">
        <v>103</v>
      </c>
      <c r="U957" s="89">
        <v>46106</v>
      </c>
      <c r="V957" s="89">
        <v>46106</v>
      </c>
      <c r="W957" s="51"/>
      <c r="X957" s="51"/>
      <c r="Y957" s="51"/>
      <c r="Z957" s="51"/>
      <c r="AA957" s="51"/>
      <c r="AB957" s="51"/>
      <c r="AC957" s="51"/>
      <c r="AD957" s="51"/>
    </row>
    <row r="958" spans="1:31" ht="15" customHeight="1">
      <c r="A958" s="702" t="s">
        <v>140</v>
      </c>
      <c r="B958" s="702" t="s">
        <v>258</v>
      </c>
      <c r="C958" s="103" t="str">
        <f>IF(ISBLANK(B958),"",_xlfn.XLOOKUP(B958,Recruiter!A:A,Recruiter!B:B))</f>
        <v>Bhoomika</v>
      </c>
      <c r="D958" s="487" t="str">
        <f>IF(ISBLANK(A958),"",_xlfn.XLOOKUP(A958,'Requirement Overview'!C:C,'Requirement Overview'!E:E))</f>
        <v>Talme</v>
      </c>
      <c r="E958" s="487" t="str">
        <f>IF(ISBLANK(A958),"",_xlfn.XLOOKUP(A958,'Requirement Overview'!C:C,'Requirement Overview'!H:H))</f>
        <v>Non - IT</v>
      </c>
      <c r="F958" s="476" t="str">
        <f>IF(ISBLANK(A958),"",_xlfn.XLOOKUP(A958,'Requirement Overview'!C:C,'Requirement Overview'!I:I))</f>
        <v>Production Operator</v>
      </c>
      <c r="G958" s="702" t="str">
        <f>IF(ISBLANK(A958),"",_xlfn.XLOOKUP(A958,'Requirement Overview'!C:C,'Requirement Overview'!G:G))</f>
        <v>Micron</v>
      </c>
      <c r="H958" s="488" t="s">
        <v>3596</v>
      </c>
      <c r="I958" s="702" t="s">
        <v>519</v>
      </c>
      <c r="J958" s="476"/>
      <c r="K958" s="702"/>
      <c r="L958" s="702" t="s">
        <v>3322</v>
      </c>
      <c r="M958" s="702" t="s">
        <v>514</v>
      </c>
      <c r="N958" s="702"/>
      <c r="O958" s="702"/>
      <c r="P958" s="702" t="s">
        <v>3234</v>
      </c>
      <c r="Q958" s="702" t="s">
        <v>3234</v>
      </c>
      <c r="R958" s="702"/>
      <c r="S958" s="702" t="s">
        <v>375</v>
      </c>
      <c r="T958" s="702" t="s">
        <v>103</v>
      </c>
      <c r="U958" s="489">
        <v>46099</v>
      </c>
      <c r="V958" s="489">
        <v>46099</v>
      </c>
      <c r="W958" s="702"/>
      <c r="X958" s="702"/>
      <c r="Y958" s="702"/>
      <c r="Z958" s="702"/>
      <c r="AA958" s="702"/>
      <c r="AB958" s="702"/>
      <c r="AC958" s="702"/>
      <c r="AD958" s="702"/>
      <c r="AE958" s="46"/>
    </row>
    <row r="959" spans="1:31" ht="15" customHeight="1">
      <c r="A959" s="702" t="s">
        <v>143</v>
      </c>
      <c r="B959" s="702" t="s">
        <v>258</v>
      </c>
      <c r="C959" s="103" t="str">
        <f>IF(ISBLANK(B959),"",_xlfn.XLOOKUP(B959,Recruiter!A:A,Recruiter!B:B))</f>
        <v>Bhoomika</v>
      </c>
      <c r="D959" s="487" t="str">
        <f>IF(ISBLANK(A959),"",_xlfn.XLOOKUP(A959,'Requirement Overview'!C:C,'Requirement Overview'!E:E))</f>
        <v>Talme</v>
      </c>
      <c r="E959" s="487" t="str">
        <f>IF(ISBLANK(A959),"",_xlfn.XLOOKUP(A959,'Requirement Overview'!C:C,'Requirement Overview'!H:H))</f>
        <v>Non - IT</v>
      </c>
      <c r="F959" s="476" t="str">
        <f>IF(ISBLANK(A959),"",_xlfn.XLOOKUP(A959,'Requirement Overview'!C:C,'Requirement Overview'!I:I))</f>
        <v>Manufacturing ITI</v>
      </c>
      <c r="G959" s="702" t="str">
        <f>IF(ISBLANK(A959),"",_xlfn.XLOOKUP(A959,'Requirement Overview'!C:C,'Requirement Overview'!G:G))</f>
        <v>Micron</v>
      </c>
      <c r="H959" s="488" t="s">
        <v>3597</v>
      </c>
      <c r="I959" s="702" t="s">
        <v>1933</v>
      </c>
      <c r="J959" s="476"/>
      <c r="K959" s="702"/>
      <c r="L959" s="702" t="s">
        <v>3220</v>
      </c>
      <c r="M959" s="702" t="s">
        <v>1253</v>
      </c>
      <c r="N959" s="702"/>
      <c r="O959" s="702"/>
      <c r="P959" s="702" t="s">
        <v>3338</v>
      </c>
      <c r="Q959" s="702" t="s">
        <v>3234</v>
      </c>
      <c r="R959" s="702"/>
      <c r="S959" s="702" t="s">
        <v>375</v>
      </c>
      <c r="T959" s="702" t="s">
        <v>103</v>
      </c>
      <c r="U959" s="489">
        <v>46099</v>
      </c>
      <c r="V959" s="489">
        <v>46099</v>
      </c>
      <c r="W959" s="702"/>
      <c r="X959" s="702"/>
      <c r="Y959" s="702"/>
      <c r="Z959" s="702"/>
      <c r="AA959" s="702"/>
      <c r="AB959" s="702"/>
      <c r="AC959" s="702"/>
      <c r="AD959" s="702"/>
      <c r="AE959" s="46"/>
    </row>
    <row r="960" spans="1:31" ht="15" customHeight="1">
      <c r="A960" s="702" t="s">
        <v>150</v>
      </c>
      <c r="B960" s="702" t="s">
        <v>258</v>
      </c>
      <c r="C960" s="103" t="str">
        <f>IF(ISBLANK(B960),"",_xlfn.XLOOKUP(B960,Recruiter!A:A,Recruiter!B:B))</f>
        <v>Bhoomika</v>
      </c>
      <c r="D960" s="487" t="str">
        <f>IF(ISBLANK(A960),"",_xlfn.XLOOKUP(A960,'Requirement Overview'!C:C,'Requirement Overview'!E:E))</f>
        <v>Talme</v>
      </c>
      <c r="E960" s="487" t="str">
        <f>IF(ISBLANK(A960),"",_xlfn.XLOOKUP(A960,'Requirement Overview'!C:C,'Requirement Overview'!H:H))</f>
        <v>IT</v>
      </c>
      <c r="F960" s="476" t="str">
        <f>IF(ISBLANK(A960),"",_xlfn.XLOOKUP(A960,'Requirement Overview'!C:C,'Requirement Overview'!I:I))</f>
        <v>Embedded Software Developer -1</v>
      </c>
      <c r="G960" s="702" t="str">
        <f>IF(ISBLANK(A960),"",_xlfn.XLOOKUP(A960,'Requirement Overview'!C:C,'Requirement Overview'!G:G))</f>
        <v>LTTS</v>
      </c>
      <c r="H960" s="470" t="s">
        <v>3598</v>
      </c>
      <c r="I960" s="702" t="s">
        <v>262</v>
      </c>
      <c r="J960" s="478" t="s">
        <v>3599</v>
      </c>
      <c r="K960" s="702">
        <v>9997445993</v>
      </c>
      <c r="L960" s="702" t="s">
        <v>311</v>
      </c>
      <c r="M960" s="702" t="s">
        <v>279</v>
      </c>
      <c r="N960" s="702" t="s">
        <v>2741</v>
      </c>
      <c r="O960" s="702" t="s">
        <v>715</v>
      </c>
      <c r="P960" s="702" t="s">
        <v>268</v>
      </c>
      <c r="Q960" s="702" t="s">
        <v>268</v>
      </c>
      <c r="R960" s="702" t="s">
        <v>541</v>
      </c>
      <c r="S960" s="702" t="s">
        <v>601</v>
      </c>
      <c r="T960" s="702" t="s">
        <v>103</v>
      </c>
      <c r="U960" s="489">
        <v>46101</v>
      </c>
      <c r="V960" s="489">
        <v>46101</v>
      </c>
      <c r="W960" s="702"/>
      <c r="X960" s="702"/>
      <c r="Y960" s="702"/>
      <c r="Z960" s="702"/>
      <c r="AA960" s="702"/>
      <c r="AB960" s="702"/>
      <c r="AC960" s="702"/>
      <c r="AD960" s="702"/>
      <c r="AE960" s="46"/>
    </row>
    <row r="961" spans="1:31" ht="15" customHeight="1">
      <c r="A961" s="702" t="s">
        <v>115</v>
      </c>
      <c r="B961" s="702" t="s">
        <v>258</v>
      </c>
      <c r="C961" s="103" t="str">
        <f>IF(ISBLANK(B961),"",_xlfn.XLOOKUP(B961,Recruiter!A:A,Recruiter!B:B))</f>
        <v>Bhoomika</v>
      </c>
      <c r="D961" s="487" t="str">
        <f>IF(ISBLANK(A961),"",_xlfn.XLOOKUP(A961,'Requirement Overview'!C:C,'Requirement Overview'!E:E))</f>
        <v>Talme</v>
      </c>
      <c r="E961" s="487" t="str">
        <f>IF(ISBLANK(A961),"",_xlfn.XLOOKUP(A961,'Requirement Overview'!C:C,'Requirement Overview'!H:H))</f>
        <v>IT</v>
      </c>
      <c r="F961" s="476" t="str">
        <f>IF(ISBLANK(A961),"",_xlfn.XLOOKUP(A961,'Requirement Overview'!C:C,'Requirement Overview'!I:I))</f>
        <v>Developer - Angular &amp; Node Js</v>
      </c>
      <c r="G961" s="702" t="str">
        <f>IF(ISBLANK(A961),"",_xlfn.XLOOKUP(A961,'Requirement Overview'!C:C,'Requirement Overview'!G:G))</f>
        <v>Viditha</v>
      </c>
      <c r="H961" s="485" t="s">
        <v>3600</v>
      </c>
      <c r="I961" s="702" t="s">
        <v>262</v>
      </c>
      <c r="J961" s="478" t="s">
        <v>3601</v>
      </c>
      <c r="K961" s="702">
        <v>9844815069</v>
      </c>
      <c r="L961" s="702" t="s">
        <v>311</v>
      </c>
      <c r="M961" s="702" t="s">
        <v>279</v>
      </c>
      <c r="N961" s="702" t="s">
        <v>3602</v>
      </c>
      <c r="O961" s="702" t="s">
        <v>3603</v>
      </c>
      <c r="P961" s="702" t="s">
        <v>268</v>
      </c>
      <c r="Q961" s="702" t="s">
        <v>1078</v>
      </c>
      <c r="R961" s="702" t="s">
        <v>374</v>
      </c>
      <c r="S961" s="702" t="s">
        <v>270</v>
      </c>
      <c r="T961" s="702" t="s">
        <v>103</v>
      </c>
      <c r="U961" s="489">
        <v>46104</v>
      </c>
      <c r="V961" s="489">
        <v>46104</v>
      </c>
      <c r="W961" s="702"/>
      <c r="X961" s="702"/>
      <c r="Y961" s="702"/>
      <c r="Z961" s="702"/>
      <c r="AA961" s="702"/>
      <c r="AB961" s="702"/>
      <c r="AC961" s="702"/>
      <c r="AD961" s="702"/>
      <c r="AE961" s="46"/>
    </row>
    <row r="962" spans="1:31" ht="15" customHeight="1">
      <c r="A962" s="702" t="s">
        <v>115</v>
      </c>
      <c r="B962" s="702" t="s">
        <v>258</v>
      </c>
      <c r="C962" s="103" t="str">
        <f>IF(ISBLANK(B962),"",_xlfn.XLOOKUP(B962,Recruiter!A:A,Recruiter!B:B))</f>
        <v>Bhoomika</v>
      </c>
      <c r="D962" s="487" t="str">
        <f>IF(ISBLANK(A962),"",_xlfn.XLOOKUP(A962,'Requirement Overview'!C:C,'Requirement Overview'!E:E))</f>
        <v>Talme</v>
      </c>
      <c r="E962" s="487" t="str">
        <f>IF(ISBLANK(A962),"",_xlfn.XLOOKUP(A962,'Requirement Overview'!C:C,'Requirement Overview'!H:H))</f>
        <v>IT</v>
      </c>
      <c r="F962" s="476" t="str">
        <f>IF(ISBLANK(A962),"",_xlfn.XLOOKUP(A962,'Requirement Overview'!C:C,'Requirement Overview'!I:I))</f>
        <v>Developer - Angular &amp; Node Js</v>
      </c>
      <c r="G962" s="702" t="str">
        <f>IF(ISBLANK(A962),"",_xlfn.XLOOKUP(A962,'Requirement Overview'!C:C,'Requirement Overview'!G:G))</f>
        <v>Viditha</v>
      </c>
      <c r="H962" s="485" t="s">
        <v>3604</v>
      </c>
      <c r="I962" s="702" t="s">
        <v>262</v>
      </c>
      <c r="J962" s="478" t="s">
        <v>3605</v>
      </c>
      <c r="K962" s="702">
        <v>7019155088</v>
      </c>
      <c r="L962" s="702" t="s">
        <v>311</v>
      </c>
      <c r="M962" s="702" t="s">
        <v>1284</v>
      </c>
      <c r="N962" s="702" t="s">
        <v>3606</v>
      </c>
      <c r="O962" s="702" t="s">
        <v>678</v>
      </c>
      <c r="P962" s="702" t="s">
        <v>268</v>
      </c>
      <c r="Q962" s="702" t="s">
        <v>1078</v>
      </c>
      <c r="R962" s="702" t="s">
        <v>374</v>
      </c>
      <c r="S962" s="702" t="s">
        <v>270</v>
      </c>
      <c r="T962" s="702" t="s">
        <v>103</v>
      </c>
      <c r="U962" s="489">
        <v>46104</v>
      </c>
      <c r="V962" s="489">
        <v>46104</v>
      </c>
      <c r="W962" s="702"/>
      <c r="X962" s="702"/>
      <c r="Y962" s="702"/>
      <c r="Z962" s="702"/>
      <c r="AA962" s="702"/>
      <c r="AB962" s="702"/>
      <c r="AC962" s="702"/>
      <c r="AD962" s="702"/>
      <c r="AE962" s="46"/>
    </row>
    <row r="963" spans="1:31" ht="15" customHeight="1">
      <c r="A963" s="702" t="s">
        <v>115</v>
      </c>
      <c r="B963" s="702" t="s">
        <v>258</v>
      </c>
      <c r="C963" s="103" t="str">
        <f>IF(ISBLANK(B963),"",_xlfn.XLOOKUP(B963,Recruiter!A:A,Recruiter!B:B))</f>
        <v>Bhoomika</v>
      </c>
      <c r="D963" s="487" t="str">
        <f>IF(ISBLANK(A963),"",_xlfn.XLOOKUP(A963,'Requirement Overview'!C:C,'Requirement Overview'!E:E))</f>
        <v>Talme</v>
      </c>
      <c r="E963" s="487" t="str">
        <f>IF(ISBLANK(A963),"",_xlfn.XLOOKUP(A963,'Requirement Overview'!C:C,'Requirement Overview'!H:H))</f>
        <v>IT</v>
      </c>
      <c r="F963" s="476" t="str">
        <f>IF(ISBLANK(A963),"",_xlfn.XLOOKUP(A963,'Requirement Overview'!C:C,'Requirement Overview'!I:I))</f>
        <v>Developer - Angular &amp; Node Js</v>
      </c>
      <c r="G963" s="702" t="str">
        <f>IF(ISBLANK(A963),"",_xlfn.XLOOKUP(A963,'Requirement Overview'!C:C,'Requirement Overview'!G:G))</f>
        <v>Viditha</v>
      </c>
      <c r="H963" s="485" t="s">
        <v>3607</v>
      </c>
      <c r="I963" s="702" t="s">
        <v>262</v>
      </c>
      <c r="J963" s="478" t="s">
        <v>3608</v>
      </c>
      <c r="K963" s="702">
        <v>9663475101</v>
      </c>
      <c r="L963" s="702" t="s">
        <v>311</v>
      </c>
      <c r="M963" s="702" t="s">
        <v>1454</v>
      </c>
      <c r="N963" s="702" t="s">
        <v>3609</v>
      </c>
      <c r="O963" s="702" t="s">
        <v>373</v>
      </c>
      <c r="P963" s="702" t="s">
        <v>268</v>
      </c>
      <c r="Q963" s="702" t="s">
        <v>1078</v>
      </c>
      <c r="R963" s="702" t="s">
        <v>374</v>
      </c>
      <c r="S963" s="702" t="s">
        <v>270</v>
      </c>
      <c r="T963" s="702" t="s">
        <v>103</v>
      </c>
      <c r="U963" s="489">
        <v>46104</v>
      </c>
      <c r="V963" s="489">
        <v>46104</v>
      </c>
      <c r="W963" s="702"/>
      <c r="X963" s="702"/>
      <c r="Y963" s="702"/>
      <c r="Z963" s="702"/>
      <c r="AA963" s="702"/>
      <c r="AB963" s="702"/>
      <c r="AC963" s="702"/>
      <c r="AD963" s="702"/>
      <c r="AE963" s="46"/>
    </row>
    <row r="964" spans="1:31" ht="15" customHeight="1">
      <c r="A964" s="702" t="s">
        <v>115</v>
      </c>
      <c r="B964" s="702" t="s">
        <v>258</v>
      </c>
      <c r="C964" s="103" t="str">
        <f>IF(ISBLANK(B964),"",_xlfn.XLOOKUP(B964,Recruiter!A:A,Recruiter!B:B))</f>
        <v>Bhoomika</v>
      </c>
      <c r="D964" s="487" t="str">
        <f>IF(ISBLANK(A964),"",_xlfn.XLOOKUP(A964,'Requirement Overview'!C:C,'Requirement Overview'!E:E))</f>
        <v>Talme</v>
      </c>
      <c r="E964" s="487" t="str">
        <f>IF(ISBLANK(A964),"",_xlfn.XLOOKUP(A964,'Requirement Overview'!C:C,'Requirement Overview'!H:H))</f>
        <v>IT</v>
      </c>
      <c r="F964" s="476" t="str">
        <f>IF(ISBLANK(A964),"",_xlfn.XLOOKUP(A964,'Requirement Overview'!C:C,'Requirement Overview'!I:I))</f>
        <v>Developer - Angular &amp; Node Js</v>
      </c>
      <c r="G964" s="702" t="str">
        <f>IF(ISBLANK(A964),"",_xlfn.XLOOKUP(A964,'Requirement Overview'!C:C,'Requirement Overview'!G:G))</f>
        <v>Viditha</v>
      </c>
      <c r="H964" s="702" t="s">
        <v>3610</v>
      </c>
      <c r="I964" s="702" t="s">
        <v>3611</v>
      </c>
      <c r="J964" s="478" t="s">
        <v>3612</v>
      </c>
      <c r="K964" s="702">
        <v>9481357563</v>
      </c>
      <c r="L964" s="702" t="s">
        <v>311</v>
      </c>
      <c r="M964" s="702" t="s">
        <v>1454</v>
      </c>
      <c r="N964" s="702" t="s">
        <v>400</v>
      </c>
      <c r="O964" s="702" t="s">
        <v>434</v>
      </c>
      <c r="P964" s="702" t="s">
        <v>1292</v>
      </c>
      <c r="Q964" s="702" t="s">
        <v>1078</v>
      </c>
      <c r="R964" s="702" t="s">
        <v>374</v>
      </c>
      <c r="S964" s="702" t="s">
        <v>270</v>
      </c>
      <c r="T964" s="702" t="s">
        <v>103</v>
      </c>
      <c r="U964" s="489">
        <v>46104</v>
      </c>
      <c r="V964" s="489">
        <v>46104</v>
      </c>
      <c r="W964" s="702"/>
      <c r="X964" s="702"/>
      <c r="Y964" s="702"/>
      <c r="Z964" s="702"/>
      <c r="AA964" s="702"/>
      <c r="AB964" s="702"/>
      <c r="AC964" s="702"/>
      <c r="AD964" s="702"/>
      <c r="AE964" s="46"/>
    </row>
    <row r="965" spans="1:31" ht="15" customHeight="1">
      <c r="A965" s="702" t="s">
        <v>140</v>
      </c>
      <c r="B965" s="702" t="s">
        <v>258</v>
      </c>
      <c r="C965" s="103" t="str">
        <f>IF(ISBLANK(B965),"",_xlfn.XLOOKUP(B965,Recruiter!A:A,Recruiter!B:B))</f>
        <v>Bhoomika</v>
      </c>
      <c r="D965" s="487" t="str">
        <f>IF(ISBLANK(A965),"",_xlfn.XLOOKUP(A965,'Requirement Overview'!C:C,'Requirement Overview'!E:E))</f>
        <v>Talme</v>
      </c>
      <c r="E965" s="487" t="str">
        <f>IF(ISBLANK(A965),"",_xlfn.XLOOKUP(A965,'Requirement Overview'!C:C,'Requirement Overview'!H:H))</f>
        <v>Non - IT</v>
      </c>
      <c r="F965" s="476" t="str">
        <f>IF(ISBLANK(A965),"",_xlfn.XLOOKUP(A965,'Requirement Overview'!C:C,'Requirement Overview'!I:I))</f>
        <v>Production Operator</v>
      </c>
      <c r="G965" s="702" t="str">
        <f>IF(ISBLANK(A965),"",_xlfn.XLOOKUP(A965,'Requirement Overview'!C:C,'Requirement Overview'!G:G))</f>
        <v>Micron</v>
      </c>
      <c r="H965" s="702" t="s">
        <v>3613</v>
      </c>
      <c r="I965" s="702" t="s">
        <v>497</v>
      </c>
      <c r="J965" s="476"/>
      <c r="K965" s="702"/>
      <c r="L965" s="470" t="s">
        <v>733</v>
      </c>
      <c r="M965" s="702" t="s">
        <v>3614</v>
      </c>
      <c r="N965" s="702"/>
      <c r="O965" s="702"/>
      <c r="P965" s="702" t="s">
        <v>1237</v>
      </c>
      <c r="Q965" s="702" t="s">
        <v>3234</v>
      </c>
      <c r="R965" s="702"/>
      <c r="S965" s="702" t="s">
        <v>375</v>
      </c>
      <c r="T965" s="702" t="s">
        <v>103</v>
      </c>
      <c r="U965" s="489">
        <v>46105</v>
      </c>
      <c r="V965" s="489">
        <v>46105</v>
      </c>
      <c r="W965" s="702"/>
      <c r="X965" s="702"/>
      <c r="Y965" s="702"/>
      <c r="Z965" s="702"/>
      <c r="AA965" s="702"/>
      <c r="AB965" s="702"/>
      <c r="AC965" s="702"/>
      <c r="AD965" s="702"/>
      <c r="AE965" s="46"/>
    </row>
    <row r="966" spans="1:31" ht="15" customHeight="1">
      <c r="A966" s="702" t="s">
        <v>140</v>
      </c>
      <c r="B966" s="702" t="s">
        <v>258</v>
      </c>
      <c r="C966" s="103" t="str">
        <f>IF(ISBLANK(B966),"",_xlfn.XLOOKUP(B966,Recruiter!A:A,Recruiter!B:B))</f>
        <v>Bhoomika</v>
      </c>
      <c r="D966" s="487" t="str">
        <f>IF(ISBLANK(A966),"",_xlfn.XLOOKUP(A966,'Requirement Overview'!C:C,'Requirement Overview'!E:E))</f>
        <v>Talme</v>
      </c>
      <c r="E966" s="487" t="str">
        <f>IF(ISBLANK(A966),"",_xlfn.XLOOKUP(A966,'Requirement Overview'!C:C,'Requirement Overview'!H:H))</f>
        <v>Non - IT</v>
      </c>
      <c r="F966" s="476" t="str">
        <f>IF(ISBLANK(A966),"",_xlfn.XLOOKUP(A966,'Requirement Overview'!C:C,'Requirement Overview'!I:I))</f>
        <v>Production Operator</v>
      </c>
      <c r="G966" s="702" t="str">
        <f>IF(ISBLANK(A966),"",_xlfn.XLOOKUP(A966,'Requirement Overview'!C:C,'Requirement Overview'!G:G))</f>
        <v>Micron</v>
      </c>
      <c r="H966" s="702" t="s">
        <v>3615</v>
      </c>
      <c r="I966" s="702" t="s">
        <v>497</v>
      </c>
      <c r="J966" s="476"/>
      <c r="K966" s="702"/>
      <c r="L966" s="470" t="s">
        <v>733</v>
      </c>
      <c r="M966" s="702" t="s">
        <v>3428</v>
      </c>
      <c r="N966" s="702"/>
      <c r="O966" s="702"/>
      <c r="P966" s="702" t="s">
        <v>3338</v>
      </c>
      <c r="Q966" s="702" t="s">
        <v>3234</v>
      </c>
      <c r="R966" s="702"/>
      <c r="S966" s="702" t="s">
        <v>375</v>
      </c>
      <c r="T966" s="702" t="s">
        <v>103</v>
      </c>
      <c r="U966" s="489">
        <v>46105</v>
      </c>
      <c r="V966" s="489">
        <v>46105</v>
      </c>
      <c r="W966" s="702"/>
      <c r="X966" s="702"/>
      <c r="Y966" s="702"/>
      <c r="Z966" s="702"/>
      <c r="AA966" s="702"/>
      <c r="AB966" s="702"/>
      <c r="AC966" s="702"/>
      <c r="AD966" s="702"/>
      <c r="AE966" s="46"/>
    </row>
    <row r="967" spans="1:31" ht="15" customHeight="1">
      <c r="A967" s="702" t="s">
        <v>140</v>
      </c>
      <c r="B967" s="702" t="s">
        <v>258</v>
      </c>
      <c r="C967" s="103" t="str">
        <f>IF(ISBLANK(B967),"",_xlfn.XLOOKUP(B967,Recruiter!A:A,Recruiter!B:B))</f>
        <v>Bhoomika</v>
      </c>
      <c r="D967" s="487" t="str">
        <f>IF(ISBLANK(A967),"",_xlfn.XLOOKUP(A967,'Requirement Overview'!C:C,'Requirement Overview'!E:E))</f>
        <v>Talme</v>
      </c>
      <c r="E967" s="487" t="str">
        <f>IF(ISBLANK(A967),"",_xlfn.XLOOKUP(A967,'Requirement Overview'!C:C,'Requirement Overview'!H:H))</f>
        <v>Non - IT</v>
      </c>
      <c r="F967" s="476" t="str">
        <f>IF(ISBLANK(A967),"",_xlfn.XLOOKUP(A967,'Requirement Overview'!C:C,'Requirement Overview'!I:I))</f>
        <v>Production Operator</v>
      </c>
      <c r="G967" s="702" t="str">
        <f>IF(ISBLANK(A967),"",_xlfn.XLOOKUP(A967,'Requirement Overview'!C:C,'Requirement Overview'!G:G))</f>
        <v>Micron</v>
      </c>
      <c r="H967" s="702" t="s">
        <v>3616</v>
      </c>
      <c r="I967" s="702" t="s">
        <v>262</v>
      </c>
      <c r="J967" s="476"/>
      <c r="K967" s="702"/>
      <c r="L967" s="470" t="s">
        <v>733</v>
      </c>
      <c r="M967" s="702" t="s">
        <v>1900</v>
      </c>
      <c r="N967" s="702"/>
      <c r="O967" s="702"/>
      <c r="P967" s="702" t="s">
        <v>1702</v>
      </c>
      <c r="Q967" s="702" t="s">
        <v>3234</v>
      </c>
      <c r="R967" s="702"/>
      <c r="S967" s="702" t="s">
        <v>375</v>
      </c>
      <c r="T967" s="702" t="s">
        <v>103</v>
      </c>
      <c r="U967" s="489">
        <v>46105</v>
      </c>
      <c r="V967" s="489">
        <v>46105</v>
      </c>
      <c r="W967" s="702"/>
      <c r="X967" s="702"/>
      <c r="Y967" s="702"/>
      <c r="Z967" s="702"/>
      <c r="AA967" s="702"/>
      <c r="AB967" s="702"/>
      <c r="AC967" s="702"/>
      <c r="AD967" s="702"/>
      <c r="AE967" s="46"/>
    </row>
    <row r="968" spans="1:31" ht="15" customHeight="1">
      <c r="A968" s="702" t="s">
        <v>140</v>
      </c>
      <c r="B968" s="702" t="s">
        <v>258</v>
      </c>
      <c r="C968" s="103" t="str">
        <f>IF(ISBLANK(B968),"",_xlfn.XLOOKUP(B968,Recruiter!A:A,Recruiter!B:B))</f>
        <v>Bhoomika</v>
      </c>
      <c r="D968" s="487" t="str">
        <f>IF(ISBLANK(A968),"",_xlfn.XLOOKUP(A968,'Requirement Overview'!C:C,'Requirement Overview'!E:E))</f>
        <v>Talme</v>
      </c>
      <c r="E968" s="487" t="str">
        <f>IF(ISBLANK(A968),"",_xlfn.XLOOKUP(A968,'Requirement Overview'!C:C,'Requirement Overview'!H:H))</f>
        <v>Non - IT</v>
      </c>
      <c r="F968" s="476" t="str">
        <f>IF(ISBLANK(A968),"",_xlfn.XLOOKUP(A968,'Requirement Overview'!C:C,'Requirement Overview'!I:I))</f>
        <v>Production Operator</v>
      </c>
      <c r="G968" s="702" t="str">
        <f>IF(ISBLANK(A968),"",_xlfn.XLOOKUP(A968,'Requirement Overview'!C:C,'Requirement Overview'!G:G))</f>
        <v>Micron</v>
      </c>
      <c r="H968" s="485" t="s">
        <v>3617</v>
      </c>
      <c r="I968" s="470" t="s">
        <v>3618</v>
      </c>
      <c r="J968" s="476"/>
      <c r="K968" s="702"/>
      <c r="L968" s="470" t="s">
        <v>733</v>
      </c>
      <c r="M968" s="470" t="s">
        <v>306</v>
      </c>
      <c r="N968" s="702"/>
      <c r="O968" s="702"/>
      <c r="P968" s="470" t="s">
        <v>3595</v>
      </c>
      <c r="Q968" s="702" t="s">
        <v>3234</v>
      </c>
      <c r="R968" s="702"/>
      <c r="S968" s="702" t="s">
        <v>375</v>
      </c>
      <c r="T968" s="702" t="s">
        <v>103</v>
      </c>
      <c r="U968" s="489">
        <v>46105</v>
      </c>
      <c r="V968" s="489">
        <v>46105</v>
      </c>
      <c r="W968" s="702"/>
      <c r="X968" s="702"/>
      <c r="Y968" s="702"/>
      <c r="Z968" s="702"/>
      <c r="AA968" s="702"/>
      <c r="AB968" s="702"/>
      <c r="AC968" s="702"/>
      <c r="AD968" s="702"/>
      <c r="AE968" s="46"/>
    </row>
    <row r="969" spans="1:31" ht="15" customHeight="1">
      <c r="A969" s="702" t="s">
        <v>140</v>
      </c>
      <c r="B969" s="702" t="s">
        <v>258</v>
      </c>
      <c r="C969" s="103" t="str">
        <f>IF(ISBLANK(B969),"",_xlfn.XLOOKUP(B969,Recruiter!A:A,Recruiter!B:B))</f>
        <v>Bhoomika</v>
      </c>
      <c r="D969" s="487" t="str">
        <f>IF(ISBLANK(A969),"",_xlfn.XLOOKUP(A969,'Requirement Overview'!C:C,'Requirement Overview'!E:E))</f>
        <v>Talme</v>
      </c>
      <c r="E969" s="487" t="str">
        <f>IF(ISBLANK(A969),"",_xlfn.XLOOKUP(A969,'Requirement Overview'!C:C,'Requirement Overview'!H:H))</f>
        <v>Non - IT</v>
      </c>
      <c r="F969" s="476" t="str">
        <f>IF(ISBLANK(A969),"",_xlfn.XLOOKUP(A969,'Requirement Overview'!C:C,'Requirement Overview'!I:I))</f>
        <v>Production Operator</v>
      </c>
      <c r="G969" s="702" t="str">
        <f>IF(ISBLANK(A969),"",_xlfn.XLOOKUP(A969,'Requirement Overview'!C:C,'Requirement Overview'!G:G))</f>
        <v>Micron</v>
      </c>
      <c r="H969" s="485" t="s">
        <v>3619</v>
      </c>
      <c r="I969" s="470" t="s">
        <v>262</v>
      </c>
      <c r="J969" s="476"/>
      <c r="K969" s="702"/>
      <c r="L969" s="470" t="s">
        <v>733</v>
      </c>
      <c r="M969" s="470" t="s">
        <v>279</v>
      </c>
      <c r="N969" s="702"/>
      <c r="O969" s="702"/>
      <c r="P969" s="470" t="s">
        <v>1055</v>
      </c>
      <c r="Q969" s="702" t="s">
        <v>3234</v>
      </c>
      <c r="R969" s="702"/>
      <c r="S969" s="702" t="s">
        <v>375</v>
      </c>
      <c r="T969" s="702" t="s">
        <v>103</v>
      </c>
      <c r="U969" s="489">
        <v>46106</v>
      </c>
      <c r="V969" s="489">
        <v>46106</v>
      </c>
      <c r="W969" s="702"/>
      <c r="X969" s="702"/>
      <c r="Y969" s="702"/>
      <c r="Z969" s="702"/>
      <c r="AA969" s="702"/>
      <c r="AB969" s="702"/>
      <c r="AC969" s="702"/>
      <c r="AD969" s="702"/>
      <c r="AE969" s="46"/>
    </row>
    <row r="970" spans="1:31" ht="15" customHeight="1">
      <c r="A970" s="702" t="s">
        <v>140</v>
      </c>
      <c r="B970" s="702" t="s">
        <v>258</v>
      </c>
      <c r="C970" s="103" t="str">
        <f>IF(ISBLANK(B970),"",_xlfn.XLOOKUP(B970,Recruiter!A:A,Recruiter!B:B))</f>
        <v>Bhoomika</v>
      </c>
      <c r="D970" s="487" t="str">
        <f>IF(ISBLANK(A970),"",_xlfn.XLOOKUP(A970,'Requirement Overview'!C:C,'Requirement Overview'!E:E))</f>
        <v>Talme</v>
      </c>
      <c r="E970" s="487" t="str">
        <f>IF(ISBLANK(A970),"",_xlfn.XLOOKUP(A970,'Requirement Overview'!C:C,'Requirement Overview'!H:H))</f>
        <v>Non - IT</v>
      </c>
      <c r="F970" s="476" t="str">
        <f>IF(ISBLANK(A970),"",_xlfn.XLOOKUP(A970,'Requirement Overview'!C:C,'Requirement Overview'!I:I))</f>
        <v>Production Operator</v>
      </c>
      <c r="G970" s="702" t="str">
        <f>IF(ISBLANK(A970),"",_xlfn.XLOOKUP(A970,'Requirement Overview'!C:C,'Requirement Overview'!G:G))</f>
        <v>Micron</v>
      </c>
      <c r="H970" s="485" t="s">
        <v>3620</v>
      </c>
      <c r="I970" s="470" t="s">
        <v>519</v>
      </c>
      <c r="J970" s="476"/>
      <c r="K970" s="702"/>
      <c r="L970" s="470" t="s">
        <v>733</v>
      </c>
      <c r="M970" s="470" t="s">
        <v>306</v>
      </c>
      <c r="N970" s="702"/>
      <c r="O970" s="702"/>
      <c r="P970" s="470" t="s">
        <v>3338</v>
      </c>
      <c r="Q970" s="702" t="s">
        <v>3234</v>
      </c>
      <c r="R970" s="702"/>
      <c r="S970" s="702" t="s">
        <v>375</v>
      </c>
      <c r="T970" s="702" t="s">
        <v>103</v>
      </c>
      <c r="U970" s="489">
        <v>46106</v>
      </c>
      <c r="V970" s="489">
        <v>46106</v>
      </c>
      <c r="W970" s="702"/>
      <c r="X970" s="702"/>
      <c r="Y970" s="702"/>
      <c r="Z970" s="702"/>
      <c r="AA970" s="702"/>
      <c r="AB970" s="702"/>
      <c r="AC970" s="702"/>
      <c r="AD970" s="702"/>
      <c r="AE970" s="46"/>
    </row>
    <row r="971" spans="1:31" ht="15" customHeight="1">
      <c r="A971" s="702" t="s">
        <v>140</v>
      </c>
      <c r="B971" s="702" t="s">
        <v>258</v>
      </c>
      <c r="C971" s="103" t="str">
        <f>IF(ISBLANK(B971),"",_xlfn.XLOOKUP(B971,Recruiter!A:A,Recruiter!B:B))</f>
        <v>Bhoomika</v>
      </c>
      <c r="D971" s="487" t="str">
        <f>IF(ISBLANK(A971),"",_xlfn.XLOOKUP(A971,'Requirement Overview'!C:C,'Requirement Overview'!E:E))</f>
        <v>Talme</v>
      </c>
      <c r="E971" s="487" t="str">
        <f>IF(ISBLANK(A971),"",_xlfn.XLOOKUP(A971,'Requirement Overview'!C:C,'Requirement Overview'!H:H))</f>
        <v>Non - IT</v>
      </c>
      <c r="F971" s="476" t="str">
        <f>IF(ISBLANK(A971),"",_xlfn.XLOOKUP(A971,'Requirement Overview'!C:C,'Requirement Overview'!I:I))</f>
        <v>Production Operator</v>
      </c>
      <c r="G971" s="702" t="str">
        <f>IF(ISBLANK(A971),"",_xlfn.XLOOKUP(A971,'Requirement Overview'!C:C,'Requirement Overview'!G:G))</f>
        <v>Micron</v>
      </c>
      <c r="H971" s="485" t="s">
        <v>3621</v>
      </c>
      <c r="I971" s="470" t="s">
        <v>262</v>
      </c>
      <c r="J971" s="476"/>
      <c r="K971" s="702"/>
      <c r="L971" s="470" t="s">
        <v>733</v>
      </c>
      <c r="M971" s="470" t="s">
        <v>265</v>
      </c>
      <c r="N971" s="702"/>
      <c r="O971" s="702"/>
      <c r="P971" s="470" t="s">
        <v>1702</v>
      </c>
      <c r="Q971" s="702" t="s">
        <v>3234</v>
      </c>
      <c r="R971" s="702"/>
      <c r="S971" s="702" t="s">
        <v>375</v>
      </c>
      <c r="T971" s="702" t="s">
        <v>103</v>
      </c>
      <c r="U971" s="489">
        <v>46106</v>
      </c>
      <c r="V971" s="489">
        <v>46106</v>
      </c>
      <c r="W971" s="702"/>
      <c r="X971" s="702"/>
      <c r="Y971" s="702"/>
      <c r="Z971" s="702"/>
      <c r="AA971" s="702"/>
      <c r="AB971" s="702"/>
      <c r="AC971" s="702"/>
      <c r="AD971" s="702"/>
      <c r="AE971" s="46"/>
    </row>
    <row r="972" spans="1:31" ht="15" customHeight="1">
      <c r="A972" s="702" t="s">
        <v>140</v>
      </c>
      <c r="B972" s="702" t="s">
        <v>258</v>
      </c>
      <c r="C972" s="103" t="str">
        <f>IF(ISBLANK(B972),"",_xlfn.XLOOKUP(B972,Recruiter!A:A,Recruiter!B:B))</f>
        <v>Bhoomika</v>
      </c>
      <c r="D972" s="487" t="str">
        <f>IF(ISBLANK(A972),"",_xlfn.XLOOKUP(A972,'Requirement Overview'!C:C,'Requirement Overview'!E:E))</f>
        <v>Talme</v>
      </c>
      <c r="E972" s="487" t="str">
        <f>IF(ISBLANK(A972),"",_xlfn.XLOOKUP(A972,'Requirement Overview'!C:C,'Requirement Overview'!H:H))</f>
        <v>Non - IT</v>
      </c>
      <c r="F972" s="476" t="str">
        <f>IF(ISBLANK(A972),"",_xlfn.XLOOKUP(A972,'Requirement Overview'!C:C,'Requirement Overview'!I:I))</f>
        <v>Production Operator</v>
      </c>
      <c r="G972" s="702" t="str">
        <f>IF(ISBLANK(A972),"",_xlfn.XLOOKUP(A972,'Requirement Overview'!C:C,'Requirement Overview'!G:G))</f>
        <v>Micron</v>
      </c>
      <c r="H972" s="485" t="s">
        <v>3622</v>
      </c>
      <c r="I972" s="470" t="s">
        <v>262</v>
      </c>
      <c r="J972" s="476"/>
      <c r="K972" s="702"/>
      <c r="L972" s="470" t="s">
        <v>733</v>
      </c>
      <c r="M972" s="470" t="s">
        <v>306</v>
      </c>
      <c r="N972" s="702"/>
      <c r="O972" s="702"/>
      <c r="P972" s="470" t="s">
        <v>3588</v>
      </c>
      <c r="Q972" s="702" t="s">
        <v>3234</v>
      </c>
      <c r="R972" s="702"/>
      <c r="S972" s="702" t="s">
        <v>375</v>
      </c>
      <c r="T972" s="702" t="s">
        <v>103</v>
      </c>
      <c r="U972" s="489">
        <v>46106</v>
      </c>
      <c r="V972" s="489">
        <v>46106</v>
      </c>
      <c r="W972" s="702"/>
      <c r="X972" s="702"/>
      <c r="Y972" s="702"/>
      <c r="Z972" s="702"/>
      <c r="AA972" s="702"/>
      <c r="AB972" s="702"/>
      <c r="AC972" s="702"/>
      <c r="AD972" s="702"/>
      <c r="AE972" s="46"/>
    </row>
    <row r="973" spans="1:31" ht="15" customHeight="1">
      <c r="A973" s="702" t="s">
        <v>140</v>
      </c>
      <c r="B973" s="702" t="s">
        <v>258</v>
      </c>
      <c r="C973" s="103" t="str">
        <f>IF(ISBLANK(B973),"",_xlfn.XLOOKUP(B973,Recruiter!A:A,Recruiter!B:B))</f>
        <v>Bhoomika</v>
      </c>
      <c r="D973" s="487" t="str">
        <f>IF(ISBLANK(A973),"",_xlfn.XLOOKUP(A973,'Requirement Overview'!C:C,'Requirement Overview'!E:E))</f>
        <v>Talme</v>
      </c>
      <c r="E973" s="487" t="str">
        <f>IF(ISBLANK(A973),"",_xlfn.XLOOKUP(A973,'Requirement Overview'!C:C,'Requirement Overview'!H:H))</f>
        <v>Non - IT</v>
      </c>
      <c r="F973" s="476" t="str">
        <f>IF(ISBLANK(A973),"",_xlfn.XLOOKUP(A973,'Requirement Overview'!C:C,'Requirement Overview'!I:I))</f>
        <v>Production Operator</v>
      </c>
      <c r="G973" s="702" t="str">
        <f>IF(ISBLANK(A973),"",_xlfn.XLOOKUP(A973,'Requirement Overview'!C:C,'Requirement Overview'!G:G))</f>
        <v>Micron</v>
      </c>
      <c r="H973" s="485" t="s">
        <v>3623</v>
      </c>
      <c r="I973" s="470" t="s">
        <v>519</v>
      </c>
      <c r="J973" s="476"/>
      <c r="K973" s="702"/>
      <c r="L973" s="470" t="s">
        <v>733</v>
      </c>
      <c r="M973" s="470" t="s">
        <v>306</v>
      </c>
      <c r="N973" s="702"/>
      <c r="O973" s="702"/>
      <c r="P973" s="470" t="s">
        <v>569</v>
      </c>
      <c r="Q973" s="702" t="s">
        <v>3234</v>
      </c>
      <c r="R973" s="702"/>
      <c r="S973" s="702" t="s">
        <v>375</v>
      </c>
      <c r="T973" s="702" t="s">
        <v>103</v>
      </c>
      <c r="U973" s="489">
        <v>46106</v>
      </c>
      <c r="V973" s="489">
        <v>46106</v>
      </c>
      <c r="W973" s="702"/>
      <c r="X973" s="702"/>
      <c r="Y973" s="702"/>
      <c r="Z973" s="702"/>
      <c r="AA973" s="702"/>
      <c r="AB973" s="702"/>
      <c r="AC973" s="702"/>
      <c r="AD973" s="702"/>
      <c r="AE973" s="46"/>
    </row>
    <row r="974" spans="1:31" ht="15" customHeight="1">
      <c r="A974" s="702" t="s">
        <v>164</v>
      </c>
      <c r="B974" s="702" t="s">
        <v>258</v>
      </c>
      <c r="C974" s="103" t="str">
        <f>IF(ISBLANK(B974),"",_xlfn.XLOOKUP(B974,Recruiter!A:A,Recruiter!B:B))</f>
        <v>Bhoomika</v>
      </c>
      <c r="D974" s="487" t="s">
        <v>25</v>
      </c>
      <c r="E974" s="487" t="s">
        <v>27</v>
      </c>
      <c r="F974" s="476" t="str">
        <f>IF(ISBLANK(A974),"",_xlfn.XLOOKUP(A974,'Requirement Overview'!C:C,'Requirement Overview'!I:I))</f>
        <v xml:space="preserve">Body in white </v>
      </c>
      <c r="G974" s="702" t="str">
        <f>IF(ISBLANK(A974),"",_xlfn.XLOOKUP(A974,'Requirement Overview'!C:C,'Requirement Overview'!G:G))</f>
        <v>LTTS</v>
      </c>
      <c r="H974" s="485" t="s">
        <v>3624</v>
      </c>
      <c r="I974" s="702"/>
      <c r="J974" s="476"/>
      <c r="K974" s="702">
        <v>9011354348</v>
      </c>
      <c r="L974" s="702"/>
      <c r="M974" s="702"/>
      <c r="N974" s="702"/>
      <c r="O974" s="702"/>
      <c r="P974" s="702"/>
      <c r="Q974" s="702"/>
      <c r="R974" s="702"/>
      <c r="S974" s="702" t="s">
        <v>518</v>
      </c>
      <c r="T974" s="702" t="s">
        <v>103</v>
      </c>
      <c r="U974" s="489">
        <v>46106</v>
      </c>
      <c r="V974" s="489">
        <v>46106</v>
      </c>
      <c r="W974" s="702"/>
      <c r="X974" s="702"/>
      <c r="Y974" s="702"/>
      <c r="Z974" s="702"/>
      <c r="AA974" s="702"/>
      <c r="AB974" s="702"/>
      <c r="AC974" s="702"/>
      <c r="AD974" s="702"/>
      <c r="AE974" s="46"/>
    </row>
    <row r="975" spans="1:31" ht="15" customHeight="1">
      <c r="A975" s="702" t="s">
        <v>164</v>
      </c>
      <c r="B975" s="702" t="s">
        <v>258</v>
      </c>
      <c r="C975" s="103" t="str">
        <f>IF(ISBLANK(B975),"",_xlfn.XLOOKUP(B975,Recruiter!A:A,Recruiter!B:B))</f>
        <v>Bhoomika</v>
      </c>
      <c r="D975" s="487" t="s">
        <v>25</v>
      </c>
      <c r="E975" s="487" t="s">
        <v>27</v>
      </c>
      <c r="F975" s="476" t="str">
        <f>IF(ISBLANK(A975),"",_xlfn.XLOOKUP(A975,'Requirement Overview'!C:C,'Requirement Overview'!I:I))</f>
        <v xml:space="preserve">Body in white </v>
      </c>
      <c r="G975" s="702" t="str">
        <f>IF(ISBLANK(A975),"",_xlfn.XLOOKUP(A975,'Requirement Overview'!C:C,'Requirement Overview'!G:G))</f>
        <v>LTTS</v>
      </c>
      <c r="H975" s="485" t="s">
        <v>3625</v>
      </c>
      <c r="I975" s="702"/>
      <c r="J975" s="476"/>
      <c r="K975" s="702">
        <v>9481718808</v>
      </c>
      <c r="L975" s="702"/>
      <c r="M975" s="702"/>
      <c r="N975" s="702"/>
      <c r="O975" s="702"/>
      <c r="P975" s="702"/>
      <c r="Q975" s="702"/>
      <c r="R975" s="702"/>
      <c r="S975" s="702" t="s">
        <v>518</v>
      </c>
      <c r="T975" s="702" t="s">
        <v>103</v>
      </c>
      <c r="U975" s="489">
        <v>46106</v>
      </c>
      <c r="V975" s="489">
        <v>46106</v>
      </c>
      <c r="W975" s="702"/>
      <c r="X975" s="702"/>
      <c r="Y975" s="702"/>
      <c r="Z975" s="702"/>
      <c r="AA975" s="702"/>
      <c r="AB975" s="702"/>
      <c r="AC975" s="702"/>
      <c r="AD975" s="702"/>
      <c r="AE975" s="46"/>
    </row>
    <row r="976" spans="1:31" ht="15" customHeight="1">
      <c r="A976" s="47" t="s">
        <v>140</v>
      </c>
      <c r="B976" s="47" t="s">
        <v>236</v>
      </c>
      <c r="C976" s="433" t="str">
        <f>IF(ISBLANK(B976),"",_xlfn.XLOOKUP(B976,Recruiter!A:A,Recruiter!B:B))</f>
        <v>Pooja</v>
      </c>
      <c r="D976" s="433" t="str">
        <f>IF(ISBLANK(A976),"",_xlfn.XLOOKUP(A976,'Requirement Overview'!C:C,'Requirement Overview'!E:E))</f>
        <v>Talme</v>
      </c>
      <c r="E976" s="433" t="str">
        <f>IF(ISBLANK(A976),"",_xlfn.XLOOKUP(A976,'Requirement Overview'!C:C,'Requirement Overview'!H:H))</f>
        <v>Non - IT</v>
      </c>
      <c r="F976" s="434" t="str">
        <f>IF(ISBLANK(A976),"",_xlfn.XLOOKUP(A976,'Requirement Overview'!C:C,'Requirement Overview'!I:I))</f>
        <v>Production Operator</v>
      </c>
      <c r="G976" s="255" t="str">
        <f>IF(ISBLANK(A976),"",_xlfn.XLOOKUP(A976,'Requirement Overview'!C:C,'Requirement Overview'!G:G))</f>
        <v>Micron</v>
      </c>
      <c r="H976" s="454" t="s">
        <v>3626</v>
      </c>
      <c r="I976" s="5" t="s">
        <v>519</v>
      </c>
      <c r="J976" s="375"/>
      <c r="K976" s="47"/>
      <c r="L976" s="5" t="s">
        <v>733</v>
      </c>
      <c r="M976" s="5" t="s">
        <v>3337</v>
      </c>
      <c r="N976" s="47"/>
      <c r="O976" s="47"/>
      <c r="P976" s="5" t="s">
        <v>3588</v>
      </c>
      <c r="Q976" s="47" t="s">
        <v>3268</v>
      </c>
      <c r="R976" s="47"/>
      <c r="S976" s="47" t="s">
        <v>375</v>
      </c>
      <c r="T976" s="47" t="s">
        <v>103</v>
      </c>
      <c r="U976" s="118">
        <v>46107</v>
      </c>
      <c r="V976" s="118">
        <v>46107</v>
      </c>
      <c r="W976" s="47"/>
      <c r="X976" s="47"/>
      <c r="Y976" s="47"/>
      <c r="Z976" s="47"/>
      <c r="AA976" s="47"/>
      <c r="AB976" s="47"/>
      <c r="AC976" s="47"/>
      <c r="AD976" s="47"/>
    </row>
    <row r="977" spans="1:31" ht="15" customHeight="1">
      <c r="A977" s="24" t="s">
        <v>140</v>
      </c>
      <c r="B977" s="24" t="s">
        <v>236</v>
      </c>
      <c r="C977" s="103" t="str">
        <f>IF(ISBLANK(B977),"",_xlfn.XLOOKUP(B977,Recruiter!A:A,Recruiter!B:B))</f>
        <v>Pooja</v>
      </c>
      <c r="D977" s="103" t="str">
        <f>IF(ISBLANK(A977),"",_xlfn.XLOOKUP(A977,'Requirement Overview'!C:C,'Requirement Overview'!E:E))</f>
        <v>Talme</v>
      </c>
      <c r="E977" s="103" t="str">
        <f>IF(ISBLANK(A977),"",_xlfn.XLOOKUP(A977,'Requirement Overview'!C:C,'Requirement Overview'!H:H))</f>
        <v>Non - IT</v>
      </c>
      <c r="F977" s="77" t="str">
        <f>IF(ISBLANK(A977),"",_xlfn.XLOOKUP(A977,'Requirement Overview'!C:C,'Requirement Overview'!I:I))</f>
        <v>Production Operator</v>
      </c>
      <c r="G977" s="58" t="str">
        <f>IF(ISBLANK(A977),"",_xlfn.XLOOKUP(A977,'Requirement Overview'!C:C,'Requirement Overview'!G:G))</f>
        <v>Micron</v>
      </c>
      <c r="H977" s="369" t="s">
        <v>3627</v>
      </c>
      <c r="I977" s="3" t="s">
        <v>519</v>
      </c>
      <c r="J977" s="59"/>
      <c r="L977" s="3" t="s">
        <v>733</v>
      </c>
      <c r="M977" s="3" t="s">
        <v>1355</v>
      </c>
      <c r="P977" s="3" t="s">
        <v>3370</v>
      </c>
      <c r="Q977" s="24" t="s">
        <v>3268</v>
      </c>
      <c r="S977" s="24" t="s">
        <v>375</v>
      </c>
      <c r="T977" s="24" t="s">
        <v>103</v>
      </c>
      <c r="U977" s="29">
        <v>46107</v>
      </c>
      <c r="V977" s="29">
        <v>46107</v>
      </c>
    </row>
    <row r="978" spans="1:31" ht="15" customHeight="1">
      <c r="A978" s="24" t="s">
        <v>140</v>
      </c>
      <c r="B978" s="24" t="s">
        <v>236</v>
      </c>
      <c r="C978" s="103" t="str">
        <f>IF(ISBLANK(B978),"",_xlfn.XLOOKUP(B978,Recruiter!A:A,Recruiter!B:B))</f>
        <v>Pooja</v>
      </c>
      <c r="D978" s="103" t="str">
        <f>IF(ISBLANK(A978),"",_xlfn.XLOOKUP(A978,'Requirement Overview'!C:C,'Requirement Overview'!E:E))</f>
        <v>Talme</v>
      </c>
      <c r="E978" s="103" t="str">
        <f>IF(ISBLANK(A978),"",_xlfn.XLOOKUP(A978,'Requirement Overview'!C:C,'Requirement Overview'!H:H))</f>
        <v>Non - IT</v>
      </c>
      <c r="F978" s="77" t="str">
        <f>IF(ISBLANK(A978),"",_xlfn.XLOOKUP(A978,'Requirement Overview'!C:C,'Requirement Overview'!I:I))</f>
        <v>Production Operator</v>
      </c>
      <c r="G978" s="58" t="str">
        <f>IF(ISBLANK(A978),"",_xlfn.XLOOKUP(A978,'Requirement Overview'!C:C,'Requirement Overview'!G:G))</f>
        <v>Micron</v>
      </c>
      <c r="H978" s="3" t="s">
        <v>3628</v>
      </c>
      <c r="I978" s="3" t="s">
        <v>262</v>
      </c>
      <c r="J978" s="59"/>
      <c r="L978" s="3" t="s">
        <v>733</v>
      </c>
      <c r="M978" s="3" t="s">
        <v>986</v>
      </c>
      <c r="P978" s="3" t="s">
        <v>569</v>
      </c>
      <c r="Q978" s="24" t="s">
        <v>3268</v>
      </c>
      <c r="S978" s="24" t="s">
        <v>375</v>
      </c>
      <c r="T978" s="24" t="s">
        <v>103</v>
      </c>
      <c r="U978" s="29">
        <v>46107</v>
      </c>
      <c r="V978" s="29">
        <v>46107</v>
      </c>
    </row>
    <row r="979" spans="1:31" ht="15" customHeight="1">
      <c r="A979" s="24" t="s">
        <v>143</v>
      </c>
      <c r="B979" s="24" t="s">
        <v>236</v>
      </c>
      <c r="C979" s="103" t="str">
        <f>IF(ISBLANK(B979),"",_xlfn.XLOOKUP(B979,Recruiter!A:A,Recruiter!B:B))</f>
        <v>Pooja</v>
      </c>
      <c r="D979" s="103" t="str">
        <f>IF(ISBLANK(A979),"",_xlfn.XLOOKUP(A979,'Requirement Overview'!C:C,'Requirement Overview'!E:E))</f>
        <v>Talme</v>
      </c>
      <c r="E979" s="103" t="str">
        <f>IF(ISBLANK(A979),"",_xlfn.XLOOKUP(A979,'Requirement Overview'!C:C,'Requirement Overview'!H:H))</f>
        <v>Non - IT</v>
      </c>
      <c r="F979" s="77" t="str">
        <f>IF(ISBLANK(A979),"",_xlfn.XLOOKUP(A979,'Requirement Overview'!C:C,'Requirement Overview'!I:I))</f>
        <v>Manufacturing ITI</v>
      </c>
      <c r="G979" s="58" t="str">
        <f>IF(ISBLANK(A979),"",_xlfn.XLOOKUP(A979,'Requirement Overview'!C:C,'Requirement Overview'!G:G))</f>
        <v>Micron</v>
      </c>
      <c r="H979" s="3" t="s">
        <v>3629</v>
      </c>
      <c r="I979" s="3" t="s">
        <v>497</v>
      </c>
      <c r="J979" s="59"/>
      <c r="L979" s="3" t="s">
        <v>3385</v>
      </c>
      <c r="M979" s="3" t="s">
        <v>3630</v>
      </c>
      <c r="P979" s="3" t="s">
        <v>3310</v>
      </c>
      <c r="Q979" s="24" t="s">
        <v>3268</v>
      </c>
      <c r="S979" s="24" t="s">
        <v>375</v>
      </c>
      <c r="T979" s="24" t="s">
        <v>103</v>
      </c>
      <c r="U979" s="29">
        <v>46107</v>
      </c>
      <c r="V979" s="29">
        <v>46107</v>
      </c>
    </row>
    <row r="980" spans="1:31" ht="15" customHeight="1">
      <c r="A980" s="24" t="s">
        <v>143</v>
      </c>
      <c r="B980" s="24" t="s">
        <v>236</v>
      </c>
      <c r="C980" s="103" t="str">
        <f>IF(ISBLANK(B980),"",_xlfn.XLOOKUP(B980,Recruiter!A:A,Recruiter!B:B))</f>
        <v>Pooja</v>
      </c>
      <c r="D980" s="103" t="str">
        <f>IF(ISBLANK(A980),"",_xlfn.XLOOKUP(A980,'Requirement Overview'!C:C,'Requirement Overview'!E:E))</f>
        <v>Talme</v>
      </c>
      <c r="E980" s="103" t="str">
        <f>IF(ISBLANK(A980),"",_xlfn.XLOOKUP(A980,'Requirement Overview'!C:C,'Requirement Overview'!H:H))</f>
        <v>Non - IT</v>
      </c>
      <c r="F980" s="77" t="str">
        <f>IF(ISBLANK(A980),"",_xlfn.XLOOKUP(A980,'Requirement Overview'!C:C,'Requirement Overview'!I:I))</f>
        <v>Manufacturing ITI</v>
      </c>
      <c r="G980" s="58" t="str">
        <f>IF(ISBLANK(A980),"",_xlfn.XLOOKUP(A980,'Requirement Overview'!C:C,'Requirement Overview'!G:G))</f>
        <v>Micron</v>
      </c>
      <c r="H980" s="369" t="s">
        <v>3631</v>
      </c>
      <c r="I980" s="3" t="s">
        <v>303</v>
      </c>
      <c r="J980" s="59"/>
      <c r="L980" s="3" t="s">
        <v>3220</v>
      </c>
      <c r="M980" s="3" t="s">
        <v>3428</v>
      </c>
      <c r="P980" s="3" t="s">
        <v>3595</v>
      </c>
      <c r="Q980" s="24" t="s">
        <v>3268</v>
      </c>
      <c r="S980" s="24" t="s">
        <v>375</v>
      </c>
      <c r="T980" s="24" t="s">
        <v>1012</v>
      </c>
      <c r="U980" s="29">
        <v>46107</v>
      </c>
      <c r="V980" s="29">
        <v>46107</v>
      </c>
    </row>
    <row r="981" spans="1:31" ht="15" customHeight="1">
      <c r="A981" s="24" t="s">
        <v>140</v>
      </c>
      <c r="B981" s="24" t="s">
        <v>236</v>
      </c>
      <c r="C981" s="103" t="str">
        <f>IF(ISBLANK(B981),"",_xlfn.XLOOKUP(B981,Recruiter!A:A,Recruiter!B:B))</f>
        <v>Pooja</v>
      </c>
      <c r="D981" s="103" t="str">
        <f>IF(ISBLANK(A981),"",_xlfn.XLOOKUP(A981,'Requirement Overview'!C:C,'Requirement Overview'!E:E))</f>
        <v>Talme</v>
      </c>
      <c r="E981" s="103" t="str">
        <f>IF(ISBLANK(A981),"",_xlfn.XLOOKUP(A981,'Requirement Overview'!C:C,'Requirement Overview'!H:H))</f>
        <v>Non - IT</v>
      </c>
      <c r="F981" s="77" t="str">
        <f>IF(ISBLANK(A981),"",_xlfn.XLOOKUP(A981,'Requirement Overview'!C:C,'Requirement Overview'!I:I))</f>
        <v>Production Operator</v>
      </c>
      <c r="G981" s="58" t="str">
        <f>IF(ISBLANK(A981),"",_xlfn.XLOOKUP(A981,'Requirement Overview'!C:C,'Requirement Overview'!G:G))</f>
        <v>Micron</v>
      </c>
      <c r="H981" s="3" t="s">
        <v>3632</v>
      </c>
      <c r="I981" s="3" t="s">
        <v>262</v>
      </c>
      <c r="J981" s="59"/>
      <c r="L981" s="3" t="s">
        <v>733</v>
      </c>
      <c r="M981" s="3" t="s">
        <v>3633</v>
      </c>
      <c r="P981" s="3" t="s">
        <v>3504</v>
      </c>
      <c r="Q981" s="24" t="s">
        <v>3268</v>
      </c>
      <c r="S981" s="24" t="s">
        <v>375</v>
      </c>
      <c r="T981" s="24" t="s">
        <v>103</v>
      </c>
      <c r="U981" s="29">
        <v>46107</v>
      </c>
      <c r="V981" s="29">
        <v>46107</v>
      </c>
    </row>
    <row r="982" spans="1:31" ht="15" customHeight="1">
      <c r="A982" s="24" t="s">
        <v>140</v>
      </c>
      <c r="B982" s="24" t="s">
        <v>236</v>
      </c>
      <c r="C982" s="103" t="str">
        <f>IF(ISBLANK(B982),"",_xlfn.XLOOKUP(B982,Recruiter!A:A,Recruiter!B:B))</f>
        <v>Pooja</v>
      </c>
      <c r="D982" s="103" t="str">
        <f>IF(ISBLANK(A982),"",_xlfn.XLOOKUP(A982,'Requirement Overview'!C:C,'Requirement Overview'!E:E))</f>
        <v>Talme</v>
      </c>
      <c r="E982" s="103" t="str">
        <f>IF(ISBLANK(A982),"",_xlfn.XLOOKUP(A982,'Requirement Overview'!C:C,'Requirement Overview'!H:H))</f>
        <v>Non - IT</v>
      </c>
      <c r="F982" s="77" t="str">
        <f>IF(ISBLANK(A982),"",_xlfn.XLOOKUP(A982,'Requirement Overview'!C:C,'Requirement Overview'!I:I))</f>
        <v>Production Operator</v>
      </c>
      <c r="G982" s="58" t="str">
        <f>IF(ISBLANK(A982),"",_xlfn.XLOOKUP(A982,'Requirement Overview'!C:C,'Requirement Overview'!G:G))</f>
        <v>Micron</v>
      </c>
      <c r="H982" s="369" t="s">
        <v>3634</v>
      </c>
      <c r="I982" s="3" t="s">
        <v>262</v>
      </c>
      <c r="J982" s="59"/>
      <c r="L982" s="3" t="s">
        <v>733</v>
      </c>
      <c r="M982" s="3" t="s">
        <v>3585</v>
      </c>
      <c r="P982" s="3" t="s">
        <v>3595</v>
      </c>
      <c r="Q982" s="24" t="s">
        <v>3268</v>
      </c>
      <c r="S982" s="24" t="s">
        <v>375</v>
      </c>
      <c r="T982" s="24" t="s">
        <v>103</v>
      </c>
      <c r="U982" s="29">
        <v>46107</v>
      </c>
      <c r="V982" s="29">
        <v>46107</v>
      </c>
    </row>
    <row r="983" spans="1:31" ht="15" customHeight="1">
      <c r="A983" s="24" t="s">
        <v>140</v>
      </c>
      <c r="B983" s="24" t="s">
        <v>236</v>
      </c>
      <c r="C983" s="103" t="str">
        <f>IF(ISBLANK(B983),"",_xlfn.XLOOKUP(B983,Recruiter!A:A,Recruiter!B:B))</f>
        <v>Pooja</v>
      </c>
      <c r="D983" s="103" t="str">
        <f>IF(ISBLANK(A983),"",_xlfn.XLOOKUP(A983,'Requirement Overview'!C:C,'Requirement Overview'!E:E))</f>
        <v>Talme</v>
      </c>
      <c r="E983" s="103" t="str">
        <f>IF(ISBLANK(A983),"",_xlfn.XLOOKUP(A983,'Requirement Overview'!C:C,'Requirement Overview'!H:H))</f>
        <v>Non - IT</v>
      </c>
      <c r="F983" s="77" t="str">
        <f>IF(ISBLANK(A983),"",_xlfn.XLOOKUP(A983,'Requirement Overview'!C:C,'Requirement Overview'!I:I))</f>
        <v>Production Operator</v>
      </c>
      <c r="G983" s="58" t="str">
        <f>IF(ISBLANK(A983),"",_xlfn.XLOOKUP(A983,'Requirement Overview'!C:C,'Requirement Overview'!G:G))</f>
        <v>Micron</v>
      </c>
      <c r="H983" s="369" t="s">
        <v>3635</v>
      </c>
      <c r="I983" s="3" t="s">
        <v>262</v>
      </c>
      <c r="J983" s="59"/>
      <c r="L983" s="3" t="s">
        <v>733</v>
      </c>
      <c r="M983" s="3" t="s">
        <v>1253</v>
      </c>
      <c r="P983" s="3" t="s">
        <v>569</v>
      </c>
      <c r="Q983" s="24" t="s">
        <v>3268</v>
      </c>
      <c r="S983" s="24" t="s">
        <v>375</v>
      </c>
      <c r="T983" s="24" t="s">
        <v>103</v>
      </c>
      <c r="U983" s="29">
        <v>46107</v>
      </c>
      <c r="V983" s="29">
        <v>46107</v>
      </c>
    </row>
    <row r="984" spans="1:31" ht="15" customHeight="1">
      <c r="A984" s="51" t="s">
        <v>140</v>
      </c>
      <c r="B984" s="51" t="s">
        <v>236</v>
      </c>
      <c r="C984" s="104" t="str">
        <f>IF(ISBLANK(B984),"",_xlfn.XLOOKUP(B984,Recruiter!A:A,Recruiter!B:B))</f>
        <v>Pooja</v>
      </c>
      <c r="D984" s="104" t="str">
        <f>IF(ISBLANK(A984),"",_xlfn.XLOOKUP(A984,'Requirement Overview'!C:C,'Requirement Overview'!E:E))</f>
        <v>Talme</v>
      </c>
      <c r="E984" s="104" t="str">
        <f>IF(ISBLANK(A984),"",_xlfn.XLOOKUP(A984,'Requirement Overview'!C:C,'Requirement Overview'!H:H))</f>
        <v>Non - IT</v>
      </c>
      <c r="F984" s="445" t="str">
        <f>IF(ISBLANK(A984),"",_xlfn.XLOOKUP(A984,'Requirement Overview'!C:C,'Requirement Overview'!I:I))</f>
        <v>Production Operator</v>
      </c>
      <c r="G984" s="62" t="str">
        <f>IF(ISBLANK(A984),"",_xlfn.XLOOKUP(A984,'Requirement Overview'!C:C,'Requirement Overview'!G:G))</f>
        <v>Micron</v>
      </c>
      <c r="H984" s="451" t="s">
        <v>3636</v>
      </c>
      <c r="I984" s="50" t="s">
        <v>497</v>
      </c>
      <c r="J984" s="225"/>
      <c r="K984" s="51"/>
      <c r="L984" s="50" t="s">
        <v>733</v>
      </c>
      <c r="M984" s="50" t="s">
        <v>514</v>
      </c>
      <c r="N984" s="51"/>
      <c r="O984" s="51"/>
      <c r="P984" s="50" t="s">
        <v>3595</v>
      </c>
      <c r="Q984" s="51" t="s">
        <v>3268</v>
      </c>
      <c r="R984" s="51"/>
      <c r="S984" s="51" t="s">
        <v>375</v>
      </c>
      <c r="T984" s="51" t="s">
        <v>103</v>
      </c>
      <c r="U984" s="89">
        <v>46107</v>
      </c>
      <c r="V984" s="89">
        <v>46107</v>
      </c>
      <c r="W984" s="51"/>
      <c r="X984" s="51"/>
      <c r="Y984" s="51"/>
      <c r="Z984" s="51"/>
      <c r="AA984" s="51"/>
      <c r="AB984" s="51"/>
      <c r="AC984" s="51"/>
      <c r="AD984" s="51"/>
    </row>
    <row r="985" spans="1:31" ht="15" customHeight="1">
      <c r="A985" s="702" t="s">
        <v>131</v>
      </c>
      <c r="B985" s="702" t="s">
        <v>258</v>
      </c>
      <c r="C985" s="103" t="str">
        <f>IF(ISBLANK(B985),"",_xlfn.XLOOKUP(B985,Recruiter!A:A,Recruiter!B:B))</f>
        <v>Bhoomika</v>
      </c>
      <c r="D985" s="487" t="str">
        <f>IF(ISBLANK(A985),"",_xlfn.XLOOKUP(A985,'Requirement Overview'!C:C,'Requirement Overview'!E:E))</f>
        <v>Talme</v>
      </c>
      <c r="E985" s="487" t="str">
        <f>IF(ISBLANK(A985),"",_xlfn.XLOOKUP(A985,'Requirement Overview'!C:C,'Requirement Overview'!H:H))</f>
        <v>IT</v>
      </c>
      <c r="F985" s="476" t="str">
        <f>IF(ISBLANK(A985),"",_xlfn.XLOOKUP(A985,'Requirement Overview'!C:C,'Requirement Overview'!I:I))</f>
        <v>Technical Lead</v>
      </c>
      <c r="G985" s="702" t="str">
        <f>IF(ISBLANK(A985),"",_xlfn.XLOOKUP(A985,'Requirement Overview'!C:C,'Requirement Overview'!G:G))</f>
        <v>Anika Solutions</v>
      </c>
      <c r="H985" s="480" t="s">
        <v>3637</v>
      </c>
      <c r="I985" s="702" t="s">
        <v>519</v>
      </c>
      <c r="J985" s="478" t="s">
        <v>3638</v>
      </c>
      <c r="K985" s="702">
        <v>9703939995</v>
      </c>
      <c r="L985" s="702" t="s">
        <v>290</v>
      </c>
      <c r="M985" s="702" t="s">
        <v>379</v>
      </c>
      <c r="N985" s="702" t="s">
        <v>3639</v>
      </c>
      <c r="O985" s="702"/>
      <c r="P985" s="702" t="s">
        <v>268</v>
      </c>
      <c r="Q985" s="702" t="s">
        <v>268</v>
      </c>
      <c r="R985" s="702"/>
      <c r="S985" s="702" t="s">
        <v>601</v>
      </c>
      <c r="T985" s="702" t="s">
        <v>103</v>
      </c>
      <c r="U985" s="489">
        <v>46107</v>
      </c>
      <c r="V985" s="489">
        <v>46107</v>
      </c>
      <c r="W985" s="702"/>
      <c r="X985" s="702"/>
      <c r="Y985" s="702"/>
      <c r="Z985" s="702"/>
      <c r="AA985" s="702"/>
      <c r="AB985" s="702"/>
      <c r="AC985" s="702"/>
      <c r="AD985" s="702"/>
      <c r="AE985" s="46"/>
    </row>
    <row r="986" spans="1:31" ht="15" customHeight="1">
      <c r="A986" s="702" t="s">
        <v>131</v>
      </c>
      <c r="B986" s="702" t="s">
        <v>258</v>
      </c>
      <c r="C986" s="103" t="str">
        <f>IF(ISBLANK(B986),"",_xlfn.XLOOKUP(B986,Recruiter!A:A,Recruiter!B:B))</f>
        <v>Bhoomika</v>
      </c>
      <c r="D986" s="487" t="str">
        <f>IF(ISBLANK(A986),"",_xlfn.XLOOKUP(A986,'Requirement Overview'!C:C,'Requirement Overview'!E:E))</f>
        <v>Talme</v>
      </c>
      <c r="E986" s="487" t="str">
        <f>IF(ISBLANK(A986),"",_xlfn.XLOOKUP(A986,'Requirement Overview'!C:C,'Requirement Overview'!H:H))</f>
        <v>IT</v>
      </c>
      <c r="F986" s="476" t="str">
        <f>IF(ISBLANK(A986),"",_xlfn.XLOOKUP(A986,'Requirement Overview'!C:C,'Requirement Overview'!I:I))</f>
        <v>Technical Lead</v>
      </c>
      <c r="G986" s="702" t="str">
        <f>IF(ISBLANK(A986),"",_xlfn.XLOOKUP(A986,'Requirement Overview'!C:C,'Requirement Overview'!G:G))</f>
        <v>Anika Solutions</v>
      </c>
      <c r="H986" s="470" t="s">
        <v>3640</v>
      </c>
      <c r="I986" s="702" t="s">
        <v>519</v>
      </c>
      <c r="J986" s="478" t="s">
        <v>3641</v>
      </c>
      <c r="K986" s="702">
        <v>8125926408</v>
      </c>
      <c r="L986" s="702" t="s">
        <v>421</v>
      </c>
      <c r="M986" s="702" t="s">
        <v>371</v>
      </c>
      <c r="N986" s="702" t="s">
        <v>3642</v>
      </c>
      <c r="O986" s="702"/>
      <c r="P986" s="702" t="s">
        <v>879</v>
      </c>
      <c r="Q986" s="702" t="s">
        <v>268</v>
      </c>
      <c r="R986" s="702"/>
      <c r="S986" s="702" t="s">
        <v>601</v>
      </c>
      <c r="T986" s="702" t="s">
        <v>103</v>
      </c>
      <c r="U986" s="489">
        <v>46107</v>
      </c>
      <c r="V986" s="489">
        <v>46107</v>
      </c>
      <c r="W986" s="702"/>
      <c r="X986" s="702"/>
      <c r="Y986" s="702"/>
      <c r="Z986" s="702"/>
      <c r="AA986" s="702"/>
      <c r="AB986" s="702"/>
      <c r="AC986" s="702"/>
      <c r="AD986" s="702"/>
      <c r="AE986" s="46"/>
    </row>
    <row r="987" spans="1:31" ht="15" customHeight="1">
      <c r="A987" s="702" t="s">
        <v>131</v>
      </c>
      <c r="B987" s="702" t="s">
        <v>258</v>
      </c>
      <c r="C987" s="103" t="str">
        <f>IF(ISBLANK(B987),"",_xlfn.XLOOKUP(B987,Recruiter!A:A,Recruiter!B:B))</f>
        <v>Bhoomika</v>
      </c>
      <c r="D987" s="487" t="str">
        <f>IF(ISBLANK(A987),"",_xlfn.XLOOKUP(A987,'Requirement Overview'!C:C,'Requirement Overview'!E:E))</f>
        <v>Talme</v>
      </c>
      <c r="E987" s="487" t="str">
        <f>IF(ISBLANK(A987),"",_xlfn.XLOOKUP(A987,'Requirement Overview'!C:C,'Requirement Overview'!H:H))</f>
        <v>IT</v>
      </c>
      <c r="F987" s="476" t="str">
        <f>IF(ISBLANK(A987),"",_xlfn.XLOOKUP(A987,'Requirement Overview'!C:C,'Requirement Overview'!I:I))</f>
        <v>Technical Lead</v>
      </c>
      <c r="G987" s="702" t="str">
        <f>IF(ISBLANK(A987),"",_xlfn.XLOOKUP(A987,'Requirement Overview'!C:C,'Requirement Overview'!G:G))</f>
        <v>Anika Solutions</v>
      </c>
      <c r="H987" s="480" t="s">
        <v>3643</v>
      </c>
      <c r="I987" s="702" t="s">
        <v>519</v>
      </c>
      <c r="J987" s="478" t="s">
        <v>3644</v>
      </c>
      <c r="K987" s="702">
        <v>8919345830</v>
      </c>
      <c r="L987" s="702" t="s">
        <v>378</v>
      </c>
      <c r="M987" s="702" t="s">
        <v>685</v>
      </c>
      <c r="N987" s="702" t="s">
        <v>3645</v>
      </c>
      <c r="O987" s="702"/>
      <c r="P987" s="702" t="s">
        <v>879</v>
      </c>
      <c r="Q987" s="702" t="s">
        <v>268</v>
      </c>
      <c r="R987" s="702"/>
      <c r="S987" s="702" t="s">
        <v>601</v>
      </c>
      <c r="T987" s="702" t="s">
        <v>103</v>
      </c>
      <c r="U987" s="489">
        <v>46107</v>
      </c>
      <c r="V987" s="489">
        <v>46107</v>
      </c>
      <c r="W987" s="702"/>
      <c r="X987" s="702"/>
      <c r="Y987" s="702"/>
      <c r="Z987" s="702"/>
      <c r="AA987" s="702"/>
      <c r="AB987" s="702"/>
      <c r="AC987" s="702"/>
      <c r="AD987" s="702"/>
      <c r="AE987" s="46"/>
    </row>
    <row r="988" spans="1:31" ht="15" customHeight="1">
      <c r="A988" s="702" t="s">
        <v>131</v>
      </c>
      <c r="B988" s="702" t="s">
        <v>258</v>
      </c>
      <c r="C988" s="103" t="str">
        <f>IF(ISBLANK(B988),"",_xlfn.XLOOKUP(B988,Recruiter!A:A,Recruiter!B:B))</f>
        <v>Bhoomika</v>
      </c>
      <c r="D988" s="487" t="str">
        <f>IF(ISBLANK(A988),"",_xlfn.XLOOKUP(A988,'Requirement Overview'!C:C,'Requirement Overview'!E:E))</f>
        <v>Talme</v>
      </c>
      <c r="E988" s="487" t="str">
        <f>IF(ISBLANK(A988),"",_xlfn.XLOOKUP(A988,'Requirement Overview'!C:C,'Requirement Overview'!H:H))</f>
        <v>IT</v>
      </c>
      <c r="F988" s="476" t="str">
        <f>IF(ISBLANK(A988),"",_xlfn.XLOOKUP(A988,'Requirement Overview'!C:C,'Requirement Overview'!I:I))</f>
        <v>Technical Lead</v>
      </c>
      <c r="G988" s="702" t="str">
        <f>IF(ISBLANK(A988),"",_xlfn.XLOOKUP(A988,'Requirement Overview'!C:C,'Requirement Overview'!G:G))</f>
        <v>Anika Solutions</v>
      </c>
      <c r="H988" s="480" t="s">
        <v>3646</v>
      </c>
      <c r="I988" s="702" t="s">
        <v>3647</v>
      </c>
      <c r="J988" s="478" t="s">
        <v>3648</v>
      </c>
      <c r="K988" s="702">
        <v>8501090898</v>
      </c>
      <c r="L988" s="702" t="s">
        <v>305</v>
      </c>
      <c r="M988" s="702" t="s">
        <v>665</v>
      </c>
      <c r="N988" s="702" t="s">
        <v>3649</v>
      </c>
      <c r="O988" s="702"/>
      <c r="P988" s="702" t="s">
        <v>879</v>
      </c>
      <c r="Q988" s="702" t="s">
        <v>268</v>
      </c>
      <c r="R988" s="702"/>
      <c r="S988" s="702" t="s">
        <v>601</v>
      </c>
      <c r="T988" s="702" t="s">
        <v>103</v>
      </c>
      <c r="U988" s="489">
        <v>46107</v>
      </c>
      <c r="V988" s="489">
        <v>46107</v>
      </c>
      <c r="W988" s="702"/>
      <c r="X988" s="702"/>
      <c r="Y988" s="702"/>
      <c r="Z988" s="702"/>
      <c r="AA988" s="702"/>
      <c r="AB988" s="702"/>
      <c r="AC988" s="702"/>
      <c r="AD988" s="702"/>
      <c r="AE988" s="46"/>
    </row>
    <row r="989" spans="1:31" ht="15" customHeight="1">
      <c r="A989" s="47" t="s">
        <v>140</v>
      </c>
      <c r="B989" s="47" t="s">
        <v>236</v>
      </c>
      <c r="C989" s="433" t="str">
        <f>IF(ISBLANK(B989),"",_xlfn.XLOOKUP(B989,Recruiter!A:A,Recruiter!B:B))</f>
        <v>Pooja</v>
      </c>
      <c r="D989" s="433" t="str">
        <f>IF(ISBLANK(A989),"",_xlfn.XLOOKUP(A989,'Requirement Overview'!C:C,'Requirement Overview'!E:E))</f>
        <v>Talme</v>
      </c>
      <c r="E989" s="433" t="str">
        <f>IF(ISBLANK(A989),"",_xlfn.XLOOKUP(A989,'Requirement Overview'!C:C,'Requirement Overview'!H:H))</f>
        <v>Non - IT</v>
      </c>
      <c r="F989" s="434" t="str">
        <f>IF(ISBLANK(A989),"",_xlfn.XLOOKUP(A989,'Requirement Overview'!C:C,'Requirement Overview'!I:I))</f>
        <v>Production Operator</v>
      </c>
      <c r="G989" s="255" t="str">
        <f>IF(ISBLANK(A989),"",_xlfn.XLOOKUP(A989,'Requirement Overview'!C:C,'Requirement Overview'!G:G))</f>
        <v>Micron</v>
      </c>
      <c r="H989" s="5" t="s">
        <v>3650</v>
      </c>
      <c r="I989" s="5" t="s">
        <v>497</v>
      </c>
      <c r="J989" s="375"/>
      <c r="K989" s="47"/>
      <c r="L989" s="5" t="s">
        <v>733</v>
      </c>
      <c r="M989" s="5" t="s">
        <v>978</v>
      </c>
      <c r="N989" s="47"/>
      <c r="O989" s="47"/>
      <c r="P989" s="5" t="s">
        <v>3651</v>
      </c>
      <c r="Q989" s="47" t="s">
        <v>3268</v>
      </c>
      <c r="R989" s="47"/>
      <c r="S989" s="47" t="s">
        <v>375</v>
      </c>
      <c r="T989" s="47" t="s">
        <v>103</v>
      </c>
      <c r="U989" s="118">
        <v>46108</v>
      </c>
      <c r="V989" s="118">
        <v>46108</v>
      </c>
      <c r="W989" s="47"/>
      <c r="X989" s="47"/>
      <c r="Y989" s="47"/>
      <c r="Z989" s="47"/>
      <c r="AA989" s="47"/>
      <c r="AB989" s="47"/>
      <c r="AC989" s="47"/>
      <c r="AD989" s="47"/>
    </row>
    <row r="990" spans="1:31" ht="15" customHeight="1">
      <c r="A990" s="24" t="s">
        <v>140</v>
      </c>
      <c r="B990" s="24" t="s">
        <v>236</v>
      </c>
      <c r="C990" s="103" t="str">
        <f>IF(ISBLANK(B990),"",_xlfn.XLOOKUP(B990,Recruiter!A:A,Recruiter!B:B))</f>
        <v>Pooja</v>
      </c>
      <c r="D990" s="103" t="str">
        <f>IF(ISBLANK(A990),"",_xlfn.XLOOKUP(A990,'Requirement Overview'!C:C,'Requirement Overview'!E:E))</f>
        <v>Talme</v>
      </c>
      <c r="E990" s="103" t="str">
        <f>IF(ISBLANK(A990),"",_xlfn.XLOOKUP(A990,'Requirement Overview'!C:C,'Requirement Overview'!H:H))</f>
        <v>Non - IT</v>
      </c>
      <c r="F990" s="77" t="str">
        <f>IF(ISBLANK(A990),"",_xlfn.XLOOKUP(A990,'Requirement Overview'!C:C,'Requirement Overview'!I:I))</f>
        <v>Production Operator</v>
      </c>
      <c r="G990" s="58" t="str">
        <f>IF(ISBLANK(A990),"",_xlfn.XLOOKUP(A990,'Requirement Overview'!C:C,'Requirement Overview'!G:G))</f>
        <v>Micron</v>
      </c>
      <c r="H990" s="301" t="s">
        <v>3652</v>
      </c>
      <c r="I990" s="3" t="s">
        <v>262</v>
      </c>
      <c r="J990" s="59"/>
      <c r="L990" s="3" t="s">
        <v>733</v>
      </c>
      <c r="M990" s="3" t="s">
        <v>978</v>
      </c>
      <c r="P990" s="3" t="s">
        <v>3370</v>
      </c>
      <c r="Q990" s="24" t="s">
        <v>3268</v>
      </c>
      <c r="S990" s="24" t="s">
        <v>375</v>
      </c>
      <c r="T990" s="24" t="s">
        <v>103</v>
      </c>
      <c r="U990" s="29">
        <v>46108</v>
      </c>
      <c r="V990" s="29">
        <v>46108</v>
      </c>
    </row>
    <row r="991" spans="1:31" ht="15" customHeight="1">
      <c r="A991" s="24" t="s">
        <v>140</v>
      </c>
      <c r="B991" s="24" t="s">
        <v>236</v>
      </c>
      <c r="C991" s="103" t="str">
        <f>IF(ISBLANK(B991),"",_xlfn.XLOOKUP(B991,Recruiter!A:A,Recruiter!B:B))</f>
        <v>Pooja</v>
      </c>
      <c r="D991" s="103" t="str">
        <f>IF(ISBLANK(A991),"",_xlfn.XLOOKUP(A991,'Requirement Overview'!C:C,'Requirement Overview'!E:E))</f>
        <v>Talme</v>
      </c>
      <c r="E991" s="103" t="str">
        <f>IF(ISBLANK(A991),"",_xlfn.XLOOKUP(A991,'Requirement Overview'!C:C,'Requirement Overview'!H:H))</f>
        <v>Non - IT</v>
      </c>
      <c r="F991" s="77" t="str">
        <f>IF(ISBLANK(A991),"",_xlfn.XLOOKUP(A991,'Requirement Overview'!C:C,'Requirement Overview'!I:I))</f>
        <v>Production Operator</v>
      </c>
      <c r="G991" s="58" t="str">
        <f>IF(ISBLANK(A991),"",_xlfn.XLOOKUP(A991,'Requirement Overview'!C:C,'Requirement Overview'!G:G))</f>
        <v>Micron</v>
      </c>
      <c r="H991" s="301" t="s">
        <v>3653</v>
      </c>
      <c r="I991" s="3" t="s">
        <v>497</v>
      </c>
      <c r="J991" s="59"/>
      <c r="L991" s="3" t="s">
        <v>733</v>
      </c>
      <c r="M991" s="3" t="s">
        <v>514</v>
      </c>
      <c r="P991" s="3" t="s">
        <v>3504</v>
      </c>
      <c r="Q991" s="24" t="s">
        <v>3268</v>
      </c>
      <c r="S991" s="24" t="s">
        <v>375</v>
      </c>
      <c r="T991" s="24" t="s">
        <v>103</v>
      </c>
      <c r="U991" s="29">
        <v>46108</v>
      </c>
      <c r="V991" s="29">
        <v>46108</v>
      </c>
    </row>
    <row r="992" spans="1:31" ht="15" customHeight="1">
      <c r="A992" s="24" t="s">
        <v>140</v>
      </c>
      <c r="B992" s="24" t="s">
        <v>236</v>
      </c>
      <c r="C992" s="103" t="str">
        <f>IF(ISBLANK(B992),"",_xlfn.XLOOKUP(B992,Recruiter!A:A,Recruiter!B:B))</f>
        <v>Pooja</v>
      </c>
      <c r="D992" s="103" t="str">
        <f>IF(ISBLANK(A992),"",_xlfn.XLOOKUP(A992,'Requirement Overview'!C:C,'Requirement Overview'!E:E))</f>
        <v>Talme</v>
      </c>
      <c r="E992" s="103" t="str">
        <f>IF(ISBLANK(A992),"",_xlfn.XLOOKUP(A992,'Requirement Overview'!C:C,'Requirement Overview'!H:H))</f>
        <v>Non - IT</v>
      </c>
      <c r="F992" s="77" t="str">
        <f>IF(ISBLANK(A992),"",_xlfn.XLOOKUP(A992,'Requirement Overview'!C:C,'Requirement Overview'!I:I))</f>
        <v>Production Operator</v>
      </c>
      <c r="G992" s="58" t="str">
        <f>IF(ISBLANK(A992),"",_xlfn.XLOOKUP(A992,'Requirement Overview'!C:C,'Requirement Overview'!G:G))</f>
        <v>Micron</v>
      </c>
      <c r="H992" s="301" t="s">
        <v>3654</v>
      </c>
      <c r="I992" s="3" t="s">
        <v>262</v>
      </c>
      <c r="J992" s="59"/>
      <c r="L992" s="3" t="s">
        <v>733</v>
      </c>
      <c r="M992" s="3" t="s">
        <v>1253</v>
      </c>
      <c r="P992" s="3" t="s">
        <v>3370</v>
      </c>
      <c r="Q992" s="24" t="s">
        <v>3268</v>
      </c>
      <c r="S992" s="24" t="s">
        <v>375</v>
      </c>
      <c r="T992" s="24" t="s">
        <v>103</v>
      </c>
      <c r="U992" s="29">
        <v>46108</v>
      </c>
      <c r="V992" s="29">
        <v>46108</v>
      </c>
    </row>
    <row r="993" spans="1:22" ht="15" customHeight="1">
      <c r="A993" s="24" t="s">
        <v>140</v>
      </c>
      <c r="B993" s="24" t="s">
        <v>236</v>
      </c>
      <c r="C993" s="103" t="str">
        <f>IF(ISBLANK(B993),"",_xlfn.XLOOKUP(B993,Recruiter!A:A,Recruiter!B:B))</f>
        <v>Pooja</v>
      </c>
      <c r="D993" s="103" t="str">
        <f>IF(ISBLANK(A993),"",_xlfn.XLOOKUP(A993,'Requirement Overview'!C:C,'Requirement Overview'!E:E))</f>
        <v>Talme</v>
      </c>
      <c r="E993" s="103" t="str">
        <f>IF(ISBLANK(A993),"",_xlfn.XLOOKUP(A993,'Requirement Overview'!C:C,'Requirement Overview'!H:H))</f>
        <v>Non - IT</v>
      </c>
      <c r="F993" s="77" t="str">
        <f>IF(ISBLANK(A993),"",_xlfn.XLOOKUP(A993,'Requirement Overview'!C:C,'Requirement Overview'!I:I))</f>
        <v>Production Operator</v>
      </c>
      <c r="G993" s="58" t="str">
        <f>IF(ISBLANK(A993),"",_xlfn.XLOOKUP(A993,'Requirement Overview'!C:C,'Requirement Overview'!G:G))</f>
        <v>Micron</v>
      </c>
      <c r="H993" s="301" t="s">
        <v>3655</v>
      </c>
      <c r="I993" s="3" t="s">
        <v>1403</v>
      </c>
      <c r="J993" s="59"/>
      <c r="L993" s="3" t="s">
        <v>733</v>
      </c>
      <c r="M993" s="3" t="s">
        <v>514</v>
      </c>
      <c r="P993" s="3" t="s">
        <v>1456</v>
      </c>
      <c r="Q993" s="24" t="s">
        <v>3268</v>
      </c>
      <c r="S993" s="24" t="s">
        <v>375</v>
      </c>
      <c r="T993" s="24" t="s">
        <v>103</v>
      </c>
      <c r="U993" s="29">
        <v>46108</v>
      </c>
      <c r="V993" s="29">
        <v>46108</v>
      </c>
    </row>
    <row r="994" spans="1:22" ht="15" customHeight="1">
      <c r="A994" s="24" t="s">
        <v>140</v>
      </c>
      <c r="B994" s="24" t="s">
        <v>236</v>
      </c>
      <c r="C994" s="103" t="str">
        <f>IF(ISBLANK(B994),"",_xlfn.XLOOKUP(B994,Recruiter!A:A,Recruiter!B:B))</f>
        <v>Pooja</v>
      </c>
      <c r="D994" s="103" t="str">
        <f>IF(ISBLANK(A994),"",_xlfn.XLOOKUP(A994,'Requirement Overview'!C:C,'Requirement Overview'!E:E))</f>
        <v>Talme</v>
      </c>
      <c r="E994" s="103" t="str">
        <f>IF(ISBLANK(A994),"",_xlfn.XLOOKUP(A994,'Requirement Overview'!C:C,'Requirement Overview'!H:H))</f>
        <v>Non - IT</v>
      </c>
      <c r="F994" s="77" t="str">
        <f>IF(ISBLANK(A994),"",_xlfn.XLOOKUP(A994,'Requirement Overview'!C:C,'Requirement Overview'!I:I))</f>
        <v>Production Operator</v>
      </c>
      <c r="G994" s="58" t="str">
        <f>IF(ISBLANK(A994),"",_xlfn.XLOOKUP(A994,'Requirement Overview'!C:C,'Requirement Overview'!G:G))</f>
        <v>Micron</v>
      </c>
      <c r="H994" s="369" t="s">
        <v>3656</v>
      </c>
      <c r="I994" s="3" t="s">
        <v>519</v>
      </c>
      <c r="J994" s="59"/>
      <c r="L994" s="3" t="s">
        <v>733</v>
      </c>
      <c r="M994" s="3" t="s">
        <v>514</v>
      </c>
      <c r="P994" s="3" t="s">
        <v>3595</v>
      </c>
      <c r="Q994" s="24" t="s">
        <v>3268</v>
      </c>
      <c r="S994" s="24" t="s">
        <v>375</v>
      </c>
      <c r="T994" s="24" t="s">
        <v>1012</v>
      </c>
      <c r="U994" s="29">
        <v>46108</v>
      </c>
      <c r="V994" s="29">
        <v>46108</v>
      </c>
    </row>
    <row r="995" spans="1:22" ht="15" customHeight="1">
      <c r="A995" s="24" t="s">
        <v>140</v>
      </c>
      <c r="B995" s="24" t="s">
        <v>236</v>
      </c>
      <c r="C995" s="103" t="str">
        <f>IF(ISBLANK(B995),"",_xlfn.XLOOKUP(B995,Recruiter!A:A,Recruiter!B:B))</f>
        <v>Pooja</v>
      </c>
      <c r="D995" s="103" t="str">
        <f>IF(ISBLANK(A995),"",_xlfn.XLOOKUP(A995,'Requirement Overview'!C:C,'Requirement Overview'!E:E))</f>
        <v>Talme</v>
      </c>
      <c r="E995" s="103" t="str">
        <f>IF(ISBLANK(A995),"",_xlfn.XLOOKUP(A995,'Requirement Overview'!C:C,'Requirement Overview'!H:H))</f>
        <v>Non - IT</v>
      </c>
      <c r="F995" s="77" t="str">
        <f>IF(ISBLANK(A995),"",_xlfn.XLOOKUP(A995,'Requirement Overview'!C:C,'Requirement Overview'!I:I))</f>
        <v>Production Operator</v>
      </c>
      <c r="G995" s="58" t="str">
        <f>IF(ISBLANK(A995),"",_xlfn.XLOOKUP(A995,'Requirement Overview'!C:C,'Requirement Overview'!G:G))</f>
        <v>Micron</v>
      </c>
      <c r="H995" s="301" t="s">
        <v>3657</v>
      </c>
      <c r="I995" s="3" t="s">
        <v>262</v>
      </c>
      <c r="J995" s="59"/>
      <c r="L995" s="3" t="s">
        <v>733</v>
      </c>
      <c r="M995" s="3" t="s">
        <v>923</v>
      </c>
      <c r="P995" s="3" t="s">
        <v>3504</v>
      </c>
      <c r="Q995" s="24" t="s">
        <v>3268</v>
      </c>
      <c r="S995" s="24" t="s">
        <v>375</v>
      </c>
      <c r="T995" s="24" t="s">
        <v>103</v>
      </c>
      <c r="U995" s="29">
        <v>46108</v>
      </c>
      <c r="V995" s="29">
        <v>46108</v>
      </c>
    </row>
    <row r="996" spans="1:22" ht="15" customHeight="1">
      <c r="A996" s="24" t="s">
        <v>160</v>
      </c>
      <c r="B996" s="24" t="s">
        <v>340</v>
      </c>
      <c r="C996" s="103" t="str">
        <f>IF(ISBLANK(B996),"",_xlfn.XLOOKUP(B996,Recruiter!A:A,Recruiter!B:B))</f>
        <v>Harshitha</v>
      </c>
      <c r="D996" s="103" t="str">
        <f>IF(ISBLANK(A996),"",_xlfn.XLOOKUP(A996,'Requirement Overview'!C:C,'Requirement Overview'!E:E))</f>
        <v>Talme</v>
      </c>
      <c r="E996" s="103" t="str">
        <f>IF(ISBLANK(A996),"",_xlfn.XLOOKUP(A996,'Requirement Overview'!C:C,'Requirement Overview'!H:H))</f>
        <v>IT</v>
      </c>
      <c r="F996" s="77" t="str">
        <f>IF(ISBLANK(A996),"",_xlfn.XLOOKUP(A996,'Requirement Overview'!C:C,'Requirement Overview'!I:I))</f>
        <v>AI Architect</v>
      </c>
      <c r="G996" s="58" t="str">
        <f>IF(ISBLANK(A996),"",_xlfn.XLOOKUP(A996,'Requirement Overview'!C:C,'Requirement Overview'!G:G))</f>
        <v>EMIDS</v>
      </c>
      <c r="H996" s="276" t="s">
        <v>3658</v>
      </c>
      <c r="I996" s="44" t="s">
        <v>3349</v>
      </c>
      <c r="J996" s="257" t="s">
        <v>3659</v>
      </c>
      <c r="K996" s="277">
        <v>9970629980</v>
      </c>
      <c r="L996" s="44" t="s">
        <v>794</v>
      </c>
      <c r="M996" s="44" t="s">
        <v>1598</v>
      </c>
      <c r="N996" s="120" t="s">
        <v>3660</v>
      </c>
      <c r="O996" s="24" t="s">
        <v>2472</v>
      </c>
      <c r="P996" s="44" t="s">
        <v>268</v>
      </c>
      <c r="Q996" s="44" t="s">
        <v>1557</v>
      </c>
      <c r="R996" s="24">
        <v>483000</v>
      </c>
      <c r="S996" s="24" t="s">
        <v>601</v>
      </c>
      <c r="T996" s="24" t="s">
        <v>103</v>
      </c>
      <c r="U996" s="29">
        <v>46104</v>
      </c>
      <c r="V996" s="29">
        <v>46104</v>
      </c>
    </row>
    <row r="997" spans="1:22" ht="15" customHeight="1">
      <c r="A997" s="24" t="s">
        <v>160</v>
      </c>
      <c r="B997" s="24" t="s">
        <v>340</v>
      </c>
      <c r="C997" s="103" t="str">
        <f>IF(ISBLANK(B997),"",_xlfn.XLOOKUP(B997,Recruiter!A:A,Recruiter!B:B))</f>
        <v>Harshitha</v>
      </c>
      <c r="D997" s="103" t="str">
        <f>IF(ISBLANK(A997),"",_xlfn.XLOOKUP(A997,'Requirement Overview'!C:C,'Requirement Overview'!E:E))</f>
        <v>Talme</v>
      </c>
      <c r="E997" s="103" t="str">
        <f>IF(ISBLANK(A997),"",_xlfn.XLOOKUP(A997,'Requirement Overview'!C:C,'Requirement Overview'!H:H))</f>
        <v>IT</v>
      </c>
      <c r="F997" s="77" t="str">
        <f>IF(ISBLANK(A997),"",_xlfn.XLOOKUP(A997,'Requirement Overview'!C:C,'Requirement Overview'!I:I))</f>
        <v>AI Architect</v>
      </c>
      <c r="G997" s="58" t="str">
        <f>IF(ISBLANK(A997),"",_xlfn.XLOOKUP(A997,'Requirement Overview'!C:C,'Requirement Overview'!G:G))</f>
        <v>EMIDS</v>
      </c>
      <c r="H997" s="276" t="s">
        <v>3661</v>
      </c>
      <c r="I997" s="44" t="s">
        <v>519</v>
      </c>
      <c r="J997" s="257" t="s">
        <v>3662</v>
      </c>
      <c r="K997" s="277">
        <v>9579445586</v>
      </c>
      <c r="L997" s="44" t="s">
        <v>350</v>
      </c>
      <c r="M997" s="44" t="s">
        <v>1598</v>
      </c>
      <c r="N997" s="120" t="s">
        <v>3663</v>
      </c>
      <c r="O997" s="24" t="s">
        <v>3664</v>
      </c>
      <c r="P997" s="44" t="s">
        <v>569</v>
      </c>
      <c r="Q997" s="44" t="s">
        <v>1557</v>
      </c>
      <c r="R997" s="24">
        <v>350000</v>
      </c>
      <c r="S997" s="24" t="s">
        <v>601</v>
      </c>
      <c r="T997" s="24" t="s">
        <v>103</v>
      </c>
      <c r="U997" s="29">
        <v>46104</v>
      </c>
      <c r="V997" s="29">
        <v>46104</v>
      </c>
    </row>
    <row r="998" spans="1:22" ht="15" customHeight="1">
      <c r="A998" s="24" t="s">
        <v>160</v>
      </c>
      <c r="B998" s="24" t="s">
        <v>340</v>
      </c>
      <c r="C998" s="103" t="str">
        <f>IF(ISBLANK(B998),"",_xlfn.XLOOKUP(B998,Recruiter!A:A,Recruiter!B:B))</f>
        <v>Harshitha</v>
      </c>
      <c r="D998" s="103" t="str">
        <f>IF(ISBLANK(A998),"",_xlfn.XLOOKUP(A998,'Requirement Overview'!C:C,'Requirement Overview'!E:E))</f>
        <v>Talme</v>
      </c>
      <c r="E998" s="103" t="str">
        <f>IF(ISBLANK(A998),"",_xlfn.XLOOKUP(A998,'Requirement Overview'!C:C,'Requirement Overview'!H:H))</f>
        <v>IT</v>
      </c>
      <c r="F998" s="77" t="str">
        <f>IF(ISBLANK(A998),"",_xlfn.XLOOKUP(A998,'Requirement Overview'!C:C,'Requirement Overview'!I:I))</f>
        <v>AI Architect</v>
      </c>
      <c r="G998" s="58" t="str">
        <f>IF(ISBLANK(A998),"",_xlfn.XLOOKUP(A998,'Requirement Overview'!C:C,'Requirement Overview'!G:G))</f>
        <v>EMIDS</v>
      </c>
      <c r="H998" s="276" t="s">
        <v>3665</v>
      </c>
      <c r="I998" s="44" t="s">
        <v>3666</v>
      </c>
      <c r="J998" s="260" t="s">
        <v>3667</v>
      </c>
      <c r="K998" s="44">
        <v>9972678794</v>
      </c>
      <c r="L998" s="44" t="s">
        <v>378</v>
      </c>
      <c r="M998" s="44" t="s">
        <v>343</v>
      </c>
      <c r="N998" s="412" t="s">
        <v>3668</v>
      </c>
      <c r="O998" s="24" t="s">
        <v>346</v>
      </c>
      <c r="P998" s="44" t="s">
        <v>268</v>
      </c>
      <c r="Q998" s="44" t="s">
        <v>268</v>
      </c>
      <c r="R998" s="24">
        <v>435000</v>
      </c>
      <c r="S998" s="24" t="s">
        <v>601</v>
      </c>
      <c r="T998" s="24" t="s">
        <v>103</v>
      </c>
      <c r="U998" s="29">
        <v>46106</v>
      </c>
      <c r="V998" s="29">
        <v>46106</v>
      </c>
    </row>
    <row r="999" spans="1:22" ht="15" customHeight="1">
      <c r="A999" s="24" t="s">
        <v>160</v>
      </c>
      <c r="B999" s="24" t="s">
        <v>340</v>
      </c>
      <c r="C999" s="103" t="str">
        <f>IF(ISBLANK(B999),"",_xlfn.XLOOKUP(B999,Recruiter!A:A,Recruiter!B:B))</f>
        <v>Harshitha</v>
      </c>
      <c r="D999" s="103" t="str">
        <f>IF(ISBLANK(A999),"",_xlfn.XLOOKUP(A999,'Requirement Overview'!C:C,'Requirement Overview'!E:E))</f>
        <v>Talme</v>
      </c>
      <c r="E999" s="103" t="str">
        <f>IF(ISBLANK(A999),"",_xlfn.XLOOKUP(A999,'Requirement Overview'!C:C,'Requirement Overview'!H:H))</f>
        <v>IT</v>
      </c>
      <c r="F999" s="77" t="str">
        <f>IF(ISBLANK(A999),"",_xlfn.XLOOKUP(A999,'Requirement Overview'!C:C,'Requirement Overview'!I:I))</f>
        <v>AI Architect</v>
      </c>
      <c r="G999" s="58" t="str">
        <f>IF(ISBLANK(A999),"",_xlfn.XLOOKUP(A999,'Requirement Overview'!C:C,'Requirement Overview'!G:G))</f>
        <v>EMIDS</v>
      </c>
      <c r="H999" s="276" t="s">
        <v>3669</v>
      </c>
      <c r="I999" s="44" t="s">
        <v>519</v>
      </c>
      <c r="J999" s="260" t="s">
        <v>3670</v>
      </c>
      <c r="K999" s="44">
        <v>9620535444</v>
      </c>
      <c r="L999" s="44" t="s">
        <v>378</v>
      </c>
      <c r="M999" s="44" t="s">
        <v>343</v>
      </c>
      <c r="N999" s="120" t="s">
        <v>3671</v>
      </c>
      <c r="O999" s="24" t="s">
        <v>3672</v>
      </c>
      <c r="P999" s="44" t="s">
        <v>268</v>
      </c>
      <c r="Q999" s="44" t="s">
        <v>268</v>
      </c>
      <c r="R999" s="24">
        <v>400000</v>
      </c>
      <c r="S999" s="24" t="s">
        <v>601</v>
      </c>
      <c r="T999" s="24" t="s">
        <v>103</v>
      </c>
      <c r="U999" s="29">
        <v>46106</v>
      </c>
      <c r="V999" s="29">
        <v>46106</v>
      </c>
    </row>
    <row r="1000" spans="1:22" ht="15" customHeight="1">
      <c r="A1000" s="24" t="s">
        <v>160</v>
      </c>
      <c r="B1000" s="24" t="s">
        <v>340</v>
      </c>
      <c r="C1000" s="103" t="str">
        <f>IF(ISBLANK(B1000),"",_xlfn.XLOOKUP(B1000,Recruiter!A:A,Recruiter!B:B))</f>
        <v>Harshitha</v>
      </c>
      <c r="D1000" s="103" t="str">
        <f>IF(ISBLANK(A1000),"",_xlfn.XLOOKUP(A1000,'Requirement Overview'!C:C,'Requirement Overview'!E:E))</f>
        <v>Talme</v>
      </c>
      <c r="E1000" s="103" t="str">
        <f>IF(ISBLANK(A1000),"",_xlfn.XLOOKUP(A1000,'Requirement Overview'!C:C,'Requirement Overview'!H:H))</f>
        <v>IT</v>
      </c>
      <c r="F1000" s="77" t="str">
        <f>IF(ISBLANK(A1000),"",_xlfn.XLOOKUP(A1000,'Requirement Overview'!C:C,'Requirement Overview'!I:I))</f>
        <v>AI Architect</v>
      </c>
      <c r="G1000" s="58" t="str">
        <f>IF(ISBLANK(A1000),"",_xlfn.XLOOKUP(A1000,'Requirement Overview'!C:C,'Requirement Overview'!G:G))</f>
        <v>EMIDS</v>
      </c>
      <c r="H1000" s="276" t="s">
        <v>3673</v>
      </c>
      <c r="I1000" s="44" t="s">
        <v>3674</v>
      </c>
      <c r="J1000" s="260" t="s">
        <v>3675</v>
      </c>
      <c r="K1000" s="44">
        <v>9535599959</v>
      </c>
      <c r="L1000" s="44" t="s">
        <v>305</v>
      </c>
      <c r="M1000" s="44" t="s">
        <v>1763</v>
      </c>
      <c r="N1000" s="126" t="s">
        <v>3676</v>
      </c>
      <c r="O1000" s="24" t="s">
        <v>691</v>
      </c>
      <c r="P1000" s="44" t="s">
        <v>268</v>
      </c>
      <c r="Q1000" s="44" t="s">
        <v>268</v>
      </c>
      <c r="R1000" s="24" t="s">
        <v>1302</v>
      </c>
      <c r="S1000" s="24" t="s">
        <v>601</v>
      </c>
      <c r="T1000" s="24" t="s">
        <v>103</v>
      </c>
      <c r="U1000" s="29">
        <v>46106</v>
      </c>
      <c r="V1000" s="29">
        <v>46106</v>
      </c>
    </row>
    <row r="1001" spans="1:22" ht="15" customHeight="1">
      <c r="A1001" s="24" t="s">
        <v>162</v>
      </c>
      <c r="B1001" s="24" t="s">
        <v>340</v>
      </c>
      <c r="C1001" s="103" t="str">
        <f>IF(ISBLANK(B1001),"",_xlfn.XLOOKUP(B1001,Recruiter!A:A,Recruiter!B:B))</f>
        <v>Harshitha</v>
      </c>
      <c r="D1001" s="103" t="str">
        <f>IF(ISBLANK(A1001),"",_xlfn.XLOOKUP(A1001,'Requirement Overview'!C:C,'Requirement Overview'!E:E))</f>
        <v>Talme</v>
      </c>
      <c r="E1001" s="103" t="str">
        <f>IF(ISBLANK(A1001),"",_xlfn.XLOOKUP(A1001,'Requirement Overview'!C:C,'Requirement Overview'!H:H))</f>
        <v>IT</v>
      </c>
      <c r="F1001" s="77" t="str">
        <f>IF(ISBLANK(A1001),"",_xlfn.XLOOKUP(A1001,'Requirement Overview'!C:C,'Requirement Overview'!I:I))</f>
        <v xml:space="preserve">.Net Developer  </v>
      </c>
      <c r="G1001" s="58" t="str">
        <f>IF(ISBLANK(A1001),"",_xlfn.XLOOKUP(A1001,'Requirement Overview'!C:C,'Requirement Overview'!G:G))</f>
        <v>EMIDS</v>
      </c>
      <c r="H1001" s="276" t="s">
        <v>3677</v>
      </c>
      <c r="I1001" s="44" t="s">
        <v>3674</v>
      </c>
      <c r="J1001" s="260" t="s">
        <v>3678</v>
      </c>
      <c r="K1001" s="44">
        <v>9880477990</v>
      </c>
      <c r="L1001" s="44" t="s">
        <v>305</v>
      </c>
      <c r="M1001" s="44" t="s">
        <v>351</v>
      </c>
      <c r="N1001" s="126" t="s">
        <v>3110</v>
      </c>
      <c r="O1001" s="44" t="s">
        <v>541</v>
      </c>
      <c r="P1001" s="44" t="s">
        <v>268</v>
      </c>
      <c r="Q1001" s="44" t="s">
        <v>268</v>
      </c>
      <c r="R1001" s="44" t="s">
        <v>3679</v>
      </c>
      <c r="S1001" s="24" t="s">
        <v>270</v>
      </c>
      <c r="T1001" s="24" t="s">
        <v>103</v>
      </c>
      <c r="U1001" s="29">
        <v>46107</v>
      </c>
      <c r="V1001" s="29">
        <v>46107</v>
      </c>
    </row>
    <row r="1002" spans="1:22" ht="15" customHeight="1">
      <c r="A1002" s="24" t="s">
        <v>162</v>
      </c>
      <c r="B1002" s="24" t="s">
        <v>340</v>
      </c>
      <c r="C1002" s="103" t="str">
        <f>IF(ISBLANK(B1002),"",_xlfn.XLOOKUP(B1002,Recruiter!A:A,Recruiter!B:B))</f>
        <v>Harshitha</v>
      </c>
      <c r="D1002" s="103" t="str">
        <f>IF(ISBLANK(A1002),"",_xlfn.XLOOKUP(A1002,'Requirement Overview'!C:C,'Requirement Overview'!E:E))</f>
        <v>Talme</v>
      </c>
      <c r="E1002" s="103" t="str">
        <f>IF(ISBLANK(A1002),"",_xlfn.XLOOKUP(A1002,'Requirement Overview'!C:C,'Requirement Overview'!H:H))</f>
        <v>IT</v>
      </c>
      <c r="F1002" s="77" t="str">
        <f>IF(ISBLANK(A1002),"",_xlfn.XLOOKUP(A1002,'Requirement Overview'!C:C,'Requirement Overview'!I:I))</f>
        <v xml:space="preserve">.Net Developer  </v>
      </c>
      <c r="G1002" s="58" t="str">
        <f>IF(ISBLANK(A1002),"",_xlfn.XLOOKUP(A1002,'Requirement Overview'!C:C,'Requirement Overview'!G:G))</f>
        <v>EMIDS</v>
      </c>
      <c r="H1002" s="276" t="s">
        <v>3680</v>
      </c>
      <c r="I1002" s="44" t="s">
        <v>3681</v>
      </c>
      <c r="J1002" s="260" t="s">
        <v>3682</v>
      </c>
      <c r="K1002" s="44">
        <v>8148429400</v>
      </c>
      <c r="L1002" s="44" t="s">
        <v>378</v>
      </c>
      <c r="M1002" s="44" t="s">
        <v>788</v>
      </c>
      <c r="N1002" s="120" t="s">
        <v>3683</v>
      </c>
      <c r="O1002" s="44" t="s">
        <v>1302</v>
      </c>
      <c r="P1002" s="44" t="s">
        <v>268</v>
      </c>
      <c r="Q1002" s="44" t="s">
        <v>268</v>
      </c>
      <c r="R1002" s="44" t="s">
        <v>1653</v>
      </c>
      <c r="S1002" s="24" t="s">
        <v>270</v>
      </c>
      <c r="T1002" s="24" t="s">
        <v>103</v>
      </c>
      <c r="U1002" s="29">
        <v>46107</v>
      </c>
      <c r="V1002" s="29">
        <v>46107</v>
      </c>
    </row>
    <row r="1003" spans="1:22" ht="15" customHeight="1">
      <c r="A1003" s="24" t="s">
        <v>162</v>
      </c>
      <c r="B1003" s="24" t="s">
        <v>340</v>
      </c>
      <c r="C1003" s="103" t="str">
        <f>IF(ISBLANK(B1003),"",_xlfn.XLOOKUP(B1003,Recruiter!A:A,Recruiter!B:B))</f>
        <v>Harshitha</v>
      </c>
      <c r="D1003" s="103" t="str">
        <f>IF(ISBLANK(A1003),"",_xlfn.XLOOKUP(A1003,'Requirement Overview'!C:C,'Requirement Overview'!E:E))</f>
        <v>Talme</v>
      </c>
      <c r="E1003" s="103" t="str">
        <f>IF(ISBLANK(A1003),"",_xlfn.XLOOKUP(A1003,'Requirement Overview'!C:C,'Requirement Overview'!H:H))</f>
        <v>IT</v>
      </c>
      <c r="F1003" s="77" t="str">
        <f>IF(ISBLANK(A1003),"",_xlfn.XLOOKUP(A1003,'Requirement Overview'!C:C,'Requirement Overview'!I:I))</f>
        <v xml:space="preserve">.Net Developer  </v>
      </c>
      <c r="G1003" s="58" t="str">
        <f>IF(ISBLANK(A1003),"",_xlfn.XLOOKUP(A1003,'Requirement Overview'!C:C,'Requirement Overview'!G:G))</f>
        <v>EMIDS</v>
      </c>
      <c r="H1003" s="276" t="s">
        <v>3684</v>
      </c>
      <c r="I1003" s="44" t="s">
        <v>1198</v>
      </c>
      <c r="J1003" s="260" t="s">
        <v>3685</v>
      </c>
      <c r="K1003" s="44">
        <v>9999179728</v>
      </c>
      <c r="L1003" s="44" t="s">
        <v>421</v>
      </c>
      <c r="M1003" s="44" t="s">
        <v>351</v>
      </c>
      <c r="N1003" s="126" t="s">
        <v>3686</v>
      </c>
      <c r="O1003" s="44" t="s">
        <v>548</v>
      </c>
      <c r="P1003" s="44" t="s">
        <v>1055</v>
      </c>
      <c r="Q1003" s="44" t="s">
        <v>806</v>
      </c>
      <c r="R1003" s="44" t="s">
        <v>353</v>
      </c>
      <c r="S1003" s="24" t="s">
        <v>270</v>
      </c>
      <c r="T1003" s="24" t="s">
        <v>103</v>
      </c>
      <c r="U1003" s="29">
        <v>46107</v>
      </c>
      <c r="V1003" s="29">
        <v>46107</v>
      </c>
    </row>
    <row r="1004" spans="1:22" ht="15" customHeight="1">
      <c r="A1004" s="24" t="s">
        <v>162</v>
      </c>
      <c r="B1004" s="24" t="s">
        <v>340</v>
      </c>
      <c r="C1004" s="103" t="str">
        <f>IF(ISBLANK(B1004),"",_xlfn.XLOOKUP(B1004,Recruiter!A:A,Recruiter!B:B))</f>
        <v>Harshitha</v>
      </c>
      <c r="D1004" s="103" t="str">
        <f>IF(ISBLANK(A1004),"",_xlfn.XLOOKUP(A1004,'Requirement Overview'!C:C,'Requirement Overview'!E:E))</f>
        <v>Talme</v>
      </c>
      <c r="E1004" s="103" t="str">
        <f>IF(ISBLANK(A1004),"",_xlfn.XLOOKUP(A1004,'Requirement Overview'!C:C,'Requirement Overview'!H:H))</f>
        <v>IT</v>
      </c>
      <c r="F1004" s="77" t="str">
        <f>IF(ISBLANK(A1004),"",_xlfn.XLOOKUP(A1004,'Requirement Overview'!C:C,'Requirement Overview'!I:I))</f>
        <v xml:space="preserve">.Net Developer  </v>
      </c>
      <c r="G1004" s="58" t="str">
        <f>IF(ISBLANK(A1004),"",_xlfn.XLOOKUP(A1004,'Requirement Overview'!C:C,'Requirement Overview'!G:G))</f>
        <v>EMIDS</v>
      </c>
      <c r="H1004" s="276" t="s">
        <v>3687</v>
      </c>
      <c r="I1004" s="44" t="s">
        <v>519</v>
      </c>
      <c r="J1004" s="260" t="s">
        <v>3688</v>
      </c>
      <c r="K1004" s="44">
        <v>8618091252</v>
      </c>
      <c r="L1004" s="44" t="s">
        <v>305</v>
      </c>
      <c r="M1004" s="44" t="s">
        <v>1598</v>
      </c>
      <c r="N1004" s="126" t="s">
        <v>3689</v>
      </c>
      <c r="O1004" s="44" t="s">
        <v>3690</v>
      </c>
      <c r="P1004" s="44" t="s">
        <v>268</v>
      </c>
      <c r="Q1004" s="44" t="s">
        <v>268</v>
      </c>
      <c r="R1004" s="44" t="s">
        <v>1653</v>
      </c>
      <c r="S1004" s="24" t="s">
        <v>270</v>
      </c>
      <c r="T1004" s="24" t="s">
        <v>103</v>
      </c>
      <c r="U1004" s="29">
        <v>46107</v>
      </c>
      <c r="V1004" s="29">
        <v>46107</v>
      </c>
    </row>
    <row r="1005" spans="1:22" ht="15" customHeight="1">
      <c r="A1005" s="24" t="s">
        <v>162</v>
      </c>
      <c r="B1005" s="24" t="s">
        <v>340</v>
      </c>
      <c r="C1005" s="103" t="str">
        <f>IF(ISBLANK(B1005),"",_xlfn.XLOOKUP(B1005,Recruiter!A:A,Recruiter!B:B))</f>
        <v>Harshitha</v>
      </c>
      <c r="D1005" s="103" t="str">
        <f>IF(ISBLANK(A1005),"",_xlfn.XLOOKUP(A1005,'Requirement Overview'!C:C,'Requirement Overview'!E:E))</f>
        <v>Talme</v>
      </c>
      <c r="E1005" s="103" t="str">
        <f>IF(ISBLANK(A1005),"",_xlfn.XLOOKUP(A1005,'Requirement Overview'!C:C,'Requirement Overview'!H:H))</f>
        <v>IT</v>
      </c>
      <c r="F1005" s="77" t="str">
        <f>IF(ISBLANK(A1005),"",_xlfn.XLOOKUP(A1005,'Requirement Overview'!C:C,'Requirement Overview'!I:I))</f>
        <v xml:space="preserve">.Net Developer  </v>
      </c>
      <c r="G1005" s="58" t="str">
        <f>IF(ISBLANK(A1005),"",_xlfn.XLOOKUP(A1005,'Requirement Overview'!C:C,'Requirement Overview'!G:G))</f>
        <v>EMIDS</v>
      </c>
      <c r="H1005" s="276" t="s">
        <v>3691</v>
      </c>
      <c r="I1005" s="44" t="s">
        <v>3692</v>
      </c>
      <c r="J1005" s="260" t="s">
        <v>3693</v>
      </c>
      <c r="K1005" s="44">
        <v>9958647627</v>
      </c>
      <c r="L1005" s="44" t="s">
        <v>305</v>
      </c>
      <c r="M1005" s="44" t="s">
        <v>487</v>
      </c>
      <c r="N1005" s="120" t="s">
        <v>3694</v>
      </c>
      <c r="O1005" s="44" t="s">
        <v>553</v>
      </c>
      <c r="P1005" s="44" t="s">
        <v>1055</v>
      </c>
      <c r="Q1005" s="44" t="s">
        <v>806</v>
      </c>
      <c r="R1005" s="44" t="s">
        <v>353</v>
      </c>
      <c r="S1005" s="24" t="s">
        <v>270</v>
      </c>
      <c r="T1005" s="24" t="s">
        <v>103</v>
      </c>
      <c r="U1005" s="29">
        <v>46107</v>
      </c>
      <c r="V1005" s="29">
        <v>46107</v>
      </c>
    </row>
    <row r="1006" spans="1:22" ht="15" customHeight="1">
      <c r="A1006" s="24" t="s">
        <v>162</v>
      </c>
      <c r="B1006" s="24" t="s">
        <v>340</v>
      </c>
      <c r="C1006" s="103" t="str">
        <f>IF(ISBLANK(B1006),"",_xlfn.XLOOKUP(B1006,Recruiter!A:A,Recruiter!B:B))</f>
        <v>Harshitha</v>
      </c>
      <c r="D1006" s="103" t="str">
        <f>IF(ISBLANK(A1006),"",_xlfn.XLOOKUP(A1006,'Requirement Overview'!C:C,'Requirement Overview'!E:E))</f>
        <v>Talme</v>
      </c>
      <c r="E1006" s="103" t="str">
        <f>IF(ISBLANK(A1006),"",_xlfn.XLOOKUP(A1006,'Requirement Overview'!C:C,'Requirement Overview'!H:H))</f>
        <v>IT</v>
      </c>
      <c r="F1006" s="77" t="str">
        <f>IF(ISBLANK(A1006),"",_xlfn.XLOOKUP(A1006,'Requirement Overview'!C:C,'Requirement Overview'!I:I))</f>
        <v xml:space="preserve">.Net Developer  </v>
      </c>
      <c r="G1006" s="58" t="str">
        <f>IF(ISBLANK(A1006),"",_xlfn.XLOOKUP(A1006,'Requirement Overview'!C:C,'Requirement Overview'!G:G))</f>
        <v>EMIDS</v>
      </c>
      <c r="H1006" s="276" t="s">
        <v>3695</v>
      </c>
      <c r="I1006" s="44" t="s">
        <v>519</v>
      </c>
      <c r="J1006" s="260" t="s">
        <v>3696</v>
      </c>
      <c r="K1006" s="44">
        <v>8679245918</v>
      </c>
      <c r="L1006" s="44" t="s">
        <v>378</v>
      </c>
      <c r="M1006" s="44" t="s">
        <v>487</v>
      </c>
      <c r="N1006" s="126" t="s">
        <v>3697</v>
      </c>
      <c r="O1006" s="44" t="s">
        <v>1145</v>
      </c>
      <c r="P1006" s="44" t="s">
        <v>1055</v>
      </c>
      <c r="Q1006" s="44" t="s">
        <v>806</v>
      </c>
      <c r="R1006" s="44" t="s">
        <v>450</v>
      </c>
      <c r="S1006" s="24" t="s">
        <v>270</v>
      </c>
      <c r="T1006" s="24" t="s">
        <v>103</v>
      </c>
      <c r="U1006" s="29">
        <v>46107</v>
      </c>
      <c r="V1006" s="29">
        <v>46107</v>
      </c>
    </row>
    <row r="1007" spans="1:22" ht="15" customHeight="1">
      <c r="A1007" s="24" t="s">
        <v>162</v>
      </c>
      <c r="B1007" s="24" t="s">
        <v>340</v>
      </c>
      <c r="C1007" s="103" t="str">
        <f>IF(ISBLANK(B1007),"",_xlfn.XLOOKUP(B1007,Recruiter!A:A,Recruiter!B:B))</f>
        <v>Harshitha</v>
      </c>
      <c r="D1007" s="103" t="str">
        <f>IF(ISBLANK(A1007),"",_xlfn.XLOOKUP(A1007,'Requirement Overview'!C:C,'Requirement Overview'!E:E))</f>
        <v>Talme</v>
      </c>
      <c r="E1007" s="103" t="str">
        <f>IF(ISBLANK(A1007),"",_xlfn.XLOOKUP(A1007,'Requirement Overview'!C:C,'Requirement Overview'!H:H))</f>
        <v>IT</v>
      </c>
      <c r="F1007" s="77" t="str">
        <f>IF(ISBLANK(A1007),"",_xlfn.XLOOKUP(A1007,'Requirement Overview'!C:C,'Requirement Overview'!I:I))</f>
        <v xml:space="preserve">.Net Developer  </v>
      </c>
      <c r="G1007" s="58" t="str">
        <f>IF(ISBLANK(A1007),"",_xlfn.XLOOKUP(A1007,'Requirement Overview'!C:C,'Requirement Overview'!G:G))</f>
        <v>EMIDS</v>
      </c>
      <c r="H1007" s="276" t="s">
        <v>3698</v>
      </c>
      <c r="I1007" s="44" t="s">
        <v>519</v>
      </c>
      <c r="J1007" s="260" t="s">
        <v>3699</v>
      </c>
      <c r="K1007" s="44">
        <v>8130141997</v>
      </c>
      <c r="L1007" s="44" t="s">
        <v>305</v>
      </c>
      <c r="M1007" s="44" t="s">
        <v>788</v>
      </c>
      <c r="N1007" s="126" t="s">
        <v>3700</v>
      </c>
      <c r="O1007" s="44" t="s">
        <v>3701</v>
      </c>
      <c r="P1007" s="44" t="s">
        <v>1503</v>
      </c>
      <c r="Q1007" s="44" t="s">
        <v>806</v>
      </c>
      <c r="R1007" s="44" t="s">
        <v>1653</v>
      </c>
      <c r="S1007" s="24" t="s">
        <v>270</v>
      </c>
      <c r="T1007" s="24" t="s">
        <v>103</v>
      </c>
      <c r="U1007" s="29">
        <v>46107</v>
      </c>
      <c r="V1007" s="29">
        <v>46107</v>
      </c>
    </row>
    <row r="1008" spans="1:22" ht="15" customHeight="1">
      <c r="A1008" s="24" t="s">
        <v>162</v>
      </c>
      <c r="B1008" s="24" t="s">
        <v>340</v>
      </c>
      <c r="C1008" s="103" t="str">
        <f>IF(ISBLANK(B1008),"",_xlfn.XLOOKUP(B1008,Recruiter!A:A,Recruiter!B:B))</f>
        <v>Harshitha</v>
      </c>
      <c r="D1008" s="103" t="str">
        <f>IF(ISBLANK(A1008),"",_xlfn.XLOOKUP(A1008,'Requirement Overview'!C:C,'Requirement Overview'!E:E))</f>
        <v>Talme</v>
      </c>
      <c r="E1008" s="103" t="str">
        <f>IF(ISBLANK(A1008),"",_xlfn.XLOOKUP(A1008,'Requirement Overview'!C:C,'Requirement Overview'!H:H))</f>
        <v>IT</v>
      </c>
      <c r="F1008" s="77" t="str">
        <f>IF(ISBLANK(A1008),"",_xlfn.XLOOKUP(A1008,'Requirement Overview'!C:C,'Requirement Overview'!I:I))</f>
        <v xml:space="preserve">.Net Developer  </v>
      </c>
      <c r="G1008" s="58" t="str">
        <f>IF(ISBLANK(A1008),"",_xlfn.XLOOKUP(A1008,'Requirement Overview'!C:C,'Requirement Overview'!G:G))</f>
        <v>EMIDS</v>
      </c>
      <c r="H1008" s="276" t="s">
        <v>3702</v>
      </c>
      <c r="I1008" s="44" t="s">
        <v>519</v>
      </c>
      <c r="J1008" s="260" t="s">
        <v>3703</v>
      </c>
      <c r="K1008" s="44">
        <v>7678286529</v>
      </c>
      <c r="L1008" s="44" t="s">
        <v>378</v>
      </c>
      <c r="M1008" s="44" t="s">
        <v>546</v>
      </c>
      <c r="N1008" s="126" t="s">
        <v>3704</v>
      </c>
      <c r="O1008" s="44" t="s">
        <v>757</v>
      </c>
      <c r="P1008" s="44" t="s">
        <v>1055</v>
      </c>
      <c r="Q1008" s="44" t="s">
        <v>806</v>
      </c>
      <c r="R1008" s="44" t="s">
        <v>548</v>
      </c>
      <c r="S1008" s="24" t="s">
        <v>802</v>
      </c>
      <c r="T1008" s="24" t="s">
        <v>103</v>
      </c>
      <c r="U1008" s="29">
        <v>46107</v>
      </c>
      <c r="V1008" s="29">
        <v>46107</v>
      </c>
    </row>
    <row r="1009" spans="1:31" ht="15" customHeight="1">
      <c r="A1009" s="24" t="s">
        <v>162</v>
      </c>
      <c r="B1009" s="24" t="s">
        <v>340</v>
      </c>
      <c r="C1009" s="103" t="str">
        <f>IF(ISBLANK(B1009),"",_xlfn.XLOOKUP(B1009,Recruiter!A:A,Recruiter!B:B))</f>
        <v>Harshitha</v>
      </c>
      <c r="D1009" s="103" t="str">
        <f>IF(ISBLANK(A1009),"",_xlfn.XLOOKUP(A1009,'Requirement Overview'!C:C,'Requirement Overview'!E:E))</f>
        <v>Talme</v>
      </c>
      <c r="E1009" s="103" t="str">
        <f>IF(ISBLANK(A1009),"",_xlfn.XLOOKUP(A1009,'Requirement Overview'!C:C,'Requirement Overview'!H:H))</f>
        <v>IT</v>
      </c>
      <c r="F1009" s="77" t="str">
        <f>IF(ISBLANK(A1009),"",_xlfn.XLOOKUP(A1009,'Requirement Overview'!C:C,'Requirement Overview'!I:I))</f>
        <v xml:space="preserve">.Net Developer  </v>
      </c>
      <c r="G1009" s="58" t="str">
        <f>IF(ISBLANK(A1009),"",_xlfn.XLOOKUP(A1009,'Requirement Overview'!C:C,'Requirement Overview'!G:G))</f>
        <v>EMIDS</v>
      </c>
      <c r="H1009" s="276" t="s">
        <v>3705</v>
      </c>
      <c r="I1009" s="44" t="s">
        <v>3706</v>
      </c>
      <c r="J1009" s="260" t="s">
        <v>3707</v>
      </c>
      <c r="K1009" s="44">
        <v>7382489814</v>
      </c>
      <c r="L1009" s="44" t="s">
        <v>305</v>
      </c>
      <c r="M1009" s="44" t="s">
        <v>1598</v>
      </c>
      <c r="N1009" s="126" t="s">
        <v>3708</v>
      </c>
      <c r="O1009" s="44" t="s">
        <v>3709</v>
      </c>
      <c r="P1009" s="44" t="s">
        <v>879</v>
      </c>
      <c r="Q1009" s="44" t="s">
        <v>879</v>
      </c>
      <c r="R1009" s="44" t="s">
        <v>1416</v>
      </c>
      <c r="S1009" s="24" t="s">
        <v>375</v>
      </c>
      <c r="T1009" s="24" t="s">
        <v>103</v>
      </c>
      <c r="U1009" s="29">
        <v>46107</v>
      </c>
      <c r="V1009" s="29">
        <v>46107</v>
      </c>
      <c r="X1009" s="29">
        <v>46111</v>
      </c>
      <c r="Y1009" s="24" t="s">
        <v>802</v>
      </c>
    </row>
    <row r="1010" spans="1:31" ht="15" customHeight="1">
      <c r="A1010" s="24" t="s">
        <v>162</v>
      </c>
      <c r="B1010" s="24" t="s">
        <v>340</v>
      </c>
      <c r="C1010" s="103" t="str">
        <f>IF(ISBLANK(B1010),"",_xlfn.XLOOKUP(B1010,Recruiter!A:A,Recruiter!B:B))</f>
        <v>Harshitha</v>
      </c>
      <c r="D1010" s="103" t="str">
        <f>IF(ISBLANK(A1010),"",_xlfn.XLOOKUP(A1010,'Requirement Overview'!C:C,'Requirement Overview'!E:E))</f>
        <v>Talme</v>
      </c>
      <c r="E1010" s="103" t="str">
        <f>IF(ISBLANK(A1010),"",_xlfn.XLOOKUP(A1010,'Requirement Overview'!C:C,'Requirement Overview'!H:H))</f>
        <v>IT</v>
      </c>
      <c r="F1010" s="77" t="str">
        <f>IF(ISBLANK(A1010),"",_xlfn.XLOOKUP(A1010,'Requirement Overview'!C:C,'Requirement Overview'!I:I))</f>
        <v xml:space="preserve">.Net Developer  </v>
      </c>
      <c r="G1010" s="58" t="str">
        <f>IF(ISBLANK(A1010),"",_xlfn.XLOOKUP(A1010,'Requirement Overview'!C:C,'Requirement Overview'!G:G))</f>
        <v>EMIDS</v>
      </c>
      <c r="H1010" s="276" t="s">
        <v>3710</v>
      </c>
      <c r="I1010" s="44" t="s">
        <v>519</v>
      </c>
      <c r="J1010" s="300" t="s">
        <v>3711</v>
      </c>
      <c r="K1010" s="44">
        <v>9632217542</v>
      </c>
      <c r="L1010" s="44" t="s">
        <v>305</v>
      </c>
      <c r="M1010" s="44" t="s">
        <v>343</v>
      </c>
      <c r="N1010" s="126" t="s">
        <v>146</v>
      </c>
      <c r="O1010" s="44" t="s">
        <v>3712</v>
      </c>
      <c r="P1010" s="44" t="s">
        <v>1292</v>
      </c>
      <c r="Q1010" s="44" t="s">
        <v>268</v>
      </c>
      <c r="R1010" s="44" t="s">
        <v>3713</v>
      </c>
      <c r="S1010" s="24" t="s">
        <v>612</v>
      </c>
      <c r="T1010" s="24" t="s">
        <v>103</v>
      </c>
      <c r="U1010" s="29">
        <v>46107</v>
      </c>
      <c r="V1010" s="29">
        <v>46107</v>
      </c>
    </row>
    <row r="1011" spans="1:31" ht="15" customHeight="1">
      <c r="A1011" s="24" t="s">
        <v>162</v>
      </c>
      <c r="B1011" s="24" t="s">
        <v>340</v>
      </c>
      <c r="C1011" s="103" t="str">
        <f>IF(ISBLANK(B1011),"",_xlfn.XLOOKUP(B1011,Recruiter!A:A,Recruiter!B:B))</f>
        <v>Harshitha</v>
      </c>
      <c r="D1011" s="103" t="str">
        <f>IF(ISBLANK(A1011),"",_xlfn.XLOOKUP(A1011,'Requirement Overview'!C:C,'Requirement Overview'!E:E))</f>
        <v>Talme</v>
      </c>
      <c r="E1011" s="103" t="str">
        <f>IF(ISBLANK(A1011),"",_xlfn.XLOOKUP(A1011,'Requirement Overview'!C:C,'Requirement Overview'!H:H))</f>
        <v>IT</v>
      </c>
      <c r="F1011" s="77" t="str">
        <f>IF(ISBLANK(A1011),"",_xlfn.XLOOKUP(A1011,'Requirement Overview'!C:C,'Requirement Overview'!I:I))</f>
        <v xml:space="preserve">.Net Developer  </v>
      </c>
      <c r="G1011" s="58" t="str">
        <f>IF(ISBLANK(A1011),"",_xlfn.XLOOKUP(A1011,'Requirement Overview'!C:C,'Requirement Overview'!G:G))</f>
        <v>EMIDS</v>
      </c>
      <c r="H1011" s="276" t="s">
        <v>3714</v>
      </c>
      <c r="I1011" s="44" t="s">
        <v>3715</v>
      </c>
      <c r="J1011" s="260" t="s">
        <v>3716</v>
      </c>
      <c r="K1011" s="44">
        <v>8871306627</v>
      </c>
      <c r="L1011" s="44" t="s">
        <v>305</v>
      </c>
      <c r="M1011" s="44" t="s">
        <v>356</v>
      </c>
      <c r="N1011" s="126" t="s">
        <v>3717</v>
      </c>
      <c r="O1011" s="44" t="s">
        <v>1652</v>
      </c>
      <c r="P1011" s="44" t="s">
        <v>879</v>
      </c>
      <c r="Q1011" s="44" t="s">
        <v>879</v>
      </c>
      <c r="R1011" s="44" t="s">
        <v>474</v>
      </c>
      <c r="S1011" s="24" t="s">
        <v>601</v>
      </c>
      <c r="T1011" s="24" t="s">
        <v>103</v>
      </c>
      <c r="U1011" s="29">
        <v>46108</v>
      </c>
      <c r="V1011" s="29">
        <v>46108</v>
      </c>
    </row>
    <row r="1012" spans="1:31" ht="15" customHeight="1">
      <c r="A1012" s="24" t="s">
        <v>162</v>
      </c>
      <c r="B1012" s="24" t="s">
        <v>340</v>
      </c>
      <c r="C1012" s="103" t="str">
        <f>IF(ISBLANK(B1012),"",_xlfn.XLOOKUP(B1012,Recruiter!A:A,Recruiter!B:B))</f>
        <v>Harshitha</v>
      </c>
      <c r="D1012" s="103" t="str">
        <f>IF(ISBLANK(A1012),"",_xlfn.XLOOKUP(A1012,'Requirement Overview'!C:C,'Requirement Overview'!E:E))</f>
        <v>Talme</v>
      </c>
      <c r="E1012" s="103" t="str">
        <f>IF(ISBLANK(A1012),"",_xlfn.XLOOKUP(A1012,'Requirement Overview'!C:C,'Requirement Overview'!H:H))</f>
        <v>IT</v>
      </c>
      <c r="F1012" s="77" t="str">
        <f>IF(ISBLANK(A1012),"",_xlfn.XLOOKUP(A1012,'Requirement Overview'!C:C,'Requirement Overview'!I:I))</f>
        <v xml:space="preserve">.Net Developer  </v>
      </c>
      <c r="G1012" s="58" t="str">
        <f>IF(ISBLANK(A1012),"",_xlfn.XLOOKUP(A1012,'Requirement Overview'!C:C,'Requirement Overview'!G:G))</f>
        <v>EMIDS</v>
      </c>
      <c r="H1012" s="276" t="s">
        <v>3718</v>
      </c>
      <c r="I1012" s="44" t="s">
        <v>519</v>
      </c>
      <c r="J1012" s="260" t="s">
        <v>3719</v>
      </c>
      <c r="K1012" s="44">
        <v>8800371576</v>
      </c>
      <c r="L1012" s="44" t="s">
        <v>421</v>
      </c>
      <c r="M1012" s="44" t="s">
        <v>1763</v>
      </c>
      <c r="N1012" s="120" t="s">
        <v>3720</v>
      </c>
      <c r="O1012" s="44" t="s">
        <v>1144</v>
      </c>
      <c r="P1012" s="44" t="s">
        <v>3721</v>
      </c>
      <c r="Q1012" s="44" t="s">
        <v>806</v>
      </c>
      <c r="R1012" s="44" t="s">
        <v>548</v>
      </c>
      <c r="S1012" s="24" t="s">
        <v>601</v>
      </c>
      <c r="T1012" s="24" t="s">
        <v>103</v>
      </c>
      <c r="U1012" s="29">
        <v>46108</v>
      </c>
      <c r="V1012" s="29">
        <v>46108</v>
      </c>
    </row>
    <row r="1013" spans="1:31" ht="15" customHeight="1">
      <c r="A1013" s="51" t="s">
        <v>162</v>
      </c>
      <c r="B1013" s="51" t="s">
        <v>340</v>
      </c>
      <c r="C1013" s="104" t="str">
        <f>IF(ISBLANK(B1013),"",_xlfn.XLOOKUP(B1013,Recruiter!A:A,Recruiter!B:B))</f>
        <v>Harshitha</v>
      </c>
      <c r="D1013" s="104" t="str">
        <f>IF(ISBLANK(A1013),"",_xlfn.XLOOKUP(A1013,'Requirement Overview'!C:C,'Requirement Overview'!E:E))</f>
        <v>Talme</v>
      </c>
      <c r="E1013" s="104" t="str">
        <f>IF(ISBLANK(A1013),"",_xlfn.XLOOKUP(A1013,'Requirement Overview'!C:C,'Requirement Overview'!H:H))</f>
        <v>IT</v>
      </c>
      <c r="F1013" s="445" t="str">
        <f>IF(ISBLANK(A1013),"",_xlfn.XLOOKUP(A1013,'Requirement Overview'!C:C,'Requirement Overview'!I:I))</f>
        <v xml:space="preserve">.Net Developer  </v>
      </c>
      <c r="G1013" s="62" t="str">
        <f>IF(ISBLANK(A1013),"",_xlfn.XLOOKUP(A1013,'Requirement Overview'!C:C,'Requirement Overview'!G:G))</f>
        <v>EMIDS</v>
      </c>
      <c r="H1013" s="342" t="s">
        <v>3722</v>
      </c>
      <c r="I1013" s="60" t="s">
        <v>3263</v>
      </c>
      <c r="J1013" s="262" t="s">
        <v>3723</v>
      </c>
      <c r="K1013" s="344">
        <v>9900977255</v>
      </c>
      <c r="L1013" s="60" t="s">
        <v>305</v>
      </c>
      <c r="M1013" s="60" t="s">
        <v>351</v>
      </c>
      <c r="N1013" s="127" t="s">
        <v>3724</v>
      </c>
      <c r="O1013" s="60" t="s">
        <v>554</v>
      </c>
      <c r="P1013" s="60" t="s">
        <v>268</v>
      </c>
      <c r="Q1013" s="60" t="s">
        <v>268</v>
      </c>
      <c r="R1013" s="60" t="s">
        <v>353</v>
      </c>
      <c r="S1013" s="51" t="s">
        <v>601</v>
      </c>
      <c r="T1013" s="51" t="s">
        <v>103</v>
      </c>
      <c r="U1013" s="89">
        <v>46108</v>
      </c>
      <c r="V1013" s="89">
        <v>46108</v>
      </c>
      <c r="W1013" s="51"/>
      <c r="X1013" s="51"/>
      <c r="Y1013" s="51"/>
      <c r="Z1013" s="51"/>
      <c r="AA1013" s="51"/>
      <c r="AB1013" s="51"/>
      <c r="AC1013" s="51"/>
      <c r="AD1013" s="51"/>
    </row>
    <row r="1014" spans="1:31" ht="15" customHeight="1">
      <c r="A1014" s="702" t="s">
        <v>162</v>
      </c>
      <c r="B1014" s="702" t="s">
        <v>258</v>
      </c>
      <c r="C1014" s="103" t="str">
        <f>IF(ISBLANK(B1014),"",_xlfn.XLOOKUP(B1014,Recruiter!A:A,Recruiter!B:B))</f>
        <v>Bhoomika</v>
      </c>
      <c r="D1014" s="487" t="str">
        <f>IF(ISBLANK(A1014),"",_xlfn.XLOOKUP(A1014,'Requirement Overview'!C:C,'Requirement Overview'!E:E))</f>
        <v>Talme</v>
      </c>
      <c r="E1014" s="487" t="str">
        <f>IF(ISBLANK(A1014),"",_xlfn.XLOOKUP(A1014,'Requirement Overview'!C:C,'Requirement Overview'!H:H))</f>
        <v>IT</v>
      </c>
      <c r="F1014" s="77" t="str">
        <f>IF(ISBLANK(A1014),"",_xlfn.XLOOKUP(A1014,'Requirement Overview'!C:C,'Requirement Overview'!I:I))</f>
        <v xml:space="preserve">.Net Developer  </v>
      </c>
      <c r="G1014" s="3" t="str">
        <f>IF(ISBLANK(A1014),"",_xlfn.XLOOKUP(A1014,'Requirement Overview'!C:C,'Requirement Overview'!G:G))</f>
        <v>EMIDS</v>
      </c>
      <c r="H1014" s="490" t="s">
        <v>3725</v>
      </c>
      <c r="I1014" s="470" t="s">
        <v>497</v>
      </c>
      <c r="J1014" s="480" t="s">
        <v>3726</v>
      </c>
      <c r="K1014" s="470">
        <v>7702322076</v>
      </c>
      <c r="L1014" s="470" t="s">
        <v>378</v>
      </c>
      <c r="M1014" s="470" t="s">
        <v>487</v>
      </c>
      <c r="N1014" s="470" t="s">
        <v>539</v>
      </c>
      <c r="O1014" s="470" t="s">
        <v>2176</v>
      </c>
      <c r="P1014" s="470" t="s">
        <v>879</v>
      </c>
      <c r="Q1014" s="470" t="s">
        <v>879</v>
      </c>
      <c r="R1014" s="470" t="s">
        <v>353</v>
      </c>
      <c r="S1014" s="702" t="s">
        <v>518</v>
      </c>
      <c r="T1014" s="702" t="s">
        <v>103</v>
      </c>
      <c r="U1014" s="489">
        <v>46107</v>
      </c>
      <c r="V1014" s="489">
        <v>46107</v>
      </c>
      <c r="W1014" s="702"/>
      <c r="X1014" s="702"/>
      <c r="Y1014" s="702"/>
      <c r="Z1014" s="702"/>
      <c r="AA1014" s="702"/>
      <c r="AB1014" s="702"/>
      <c r="AC1014" s="702"/>
      <c r="AD1014" s="702"/>
      <c r="AE1014" s="46"/>
    </row>
    <row r="1015" spans="1:31" ht="15" customHeight="1">
      <c r="A1015" s="702" t="s">
        <v>162</v>
      </c>
      <c r="B1015" s="702" t="s">
        <v>258</v>
      </c>
      <c r="C1015" s="103" t="str">
        <f>IF(ISBLANK(B1015),"",_xlfn.XLOOKUP(B1015,Recruiter!A:A,Recruiter!B:B))</f>
        <v>Bhoomika</v>
      </c>
      <c r="D1015" s="487" t="str">
        <f>IF(ISBLANK(A1015),"",_xlfn.XLOOKUP(A1015,'Requirement Overview'!C:C,'Requirement Overview'!E:E))</f>
        <v>Talme</v>
      </c>
      <c r="E1015" s="487" t="str">
        <f>IF(ISBLANK(A1015),"",_xlfn.XLOOKUP(A1015,'Requirement Overview'!C:C,'Requirement Overview'!H:H))</f>
        <v>IT</v>
      </c>
      <c r="F1015" s="77" t="str">
        <f>IF(ISBLANK(A1015),"",_xlfn.XLOOKUP(A1015,'Requirement Overview'!C:C,'Requirement Overview'!I:I))</f>
        <v xml:space="preserve">.Net Developer  </v>
      </c>
      <c r="G1015" s="3" t="str">
        <f>IF(ISBLANK(A1015),"",_xlfn.XLOOKUP(A1015,'Requirement Overview'!C:C,'Requirement Overview'!G:G))</f>
        <v>EMIDS</v>
      </c>
      <c r="H1015" s="485" t="s">
        <v>3727</v>
      </c>
      <c r="I1015" s="470" t="s">
        <v>519</v>
      </c>
      <c r="J1015" s="480" t="s">
        <v>3728</v>
      </c>
      <c r="K1015" s="470">
        <v>8802222389</v>
      </c>
      <c r="L1015" s="470" t="s">
        <v>421</v>
      </c>
      <c r="M1015" s="470" t="s">
        <v>1598</v>
      </c>
      <c r="N1015" s="470" t="s">
        <v>3729</v>
      </c>
      <c r="O1015" s="470" t="s">
        <v>548</v>
      </c>
      <c r="P1015" s="470" t="s">
        <v>3730</v>
      </c>
      <c r="Q1015" s="470" t="s">
        <v>806</v>
      </c>
      <c r="R1015" s="470" t="s">
        <v>623</v>
      </c>
      <c r="S1015" s="702" t="s">
        <v>518</v>
      </c>
      <c r="T1015" s="702" t="s">
        <v>103</v>
      </c>
      <c r="U1015" s="489">
        <v>46107</v>
      </c>
      <c r="V1015" s="489">
        <v>46107</v>
      </c>
      <c r="W1015" s="702"/>
      <c r="X1015" s="702"/>
      <c r="Y1015" s="702"/>
      <c r="Z1015" s="702"/>
      <c r="AA1015" s="702"/>
      <c r="AB1015" s="702"/>
      <c r="AC1015" s="702"/>
      <c r="AD1015" s="702"/>
      <c r="AE1015" s="46"/>
    </row>
    <row r="1016" spans="1:31" ht="15" customHeight="1">
      <c r="A1016" s="702" t="s">
        <v>162</v>
      </c>
      <c r="B1016" s="702" t="s">
        <v>258</v>
      </c>
      <c r="C1016" s="103" t="str">
        <f>IF(ISBLANK(B1016),"",_xlfn.XLOOKUP(B1016,Recruiter!A:A,Recruiter!B:B))</f>
        <v>Bhoomika</v>
      </c>
      <c r="D1016" s="487" t="str">
        <f>IF(ISBLANK(A1016),"",_xlfn.XLOOKUP(A1016,'Requirement Overview'!C:C,'Requirement Overview'!E:E))</f>
        <v>Talme</v>
      </c>
      <c r="E1016" s="487" t="str">
        <f>IF(ISBLANK(A1016),"",_xlfn.XLOOKUP(A1016,'Requirement Overview'!C:C,'Requirement Overview'!H:H))</f>
        <v>IT</v>
      </c>
      <c r="F1016" s="77" t="str">
        <f>IF(ISBLANK(A1016),"",_xlfn.XLOOKUP(A1016,'Requirement Overview'!C:C,'Requirement Overview'!I:I))</f>
        <v xml:space="preserve">.Net Developer  </v>
      </c>
      <c r="G1016" s="3" t="str">
        <f>IF(ISBLANK(A1016),"",_xlfn.XLOOKUP(A1016,'Requirement Overview'!C:C,'Requirement Overview'!G:G))</f>
        <v>EMIDS</v>
      </c>
      <c r="H1016" s="485" t="s">
        <v>3731</v>
      </c>
      <c r="I1016" s="470" t="s">
        <v>519</v>
      </c>
      <c r="J1016" s="480" t="s">
        <v>3732</v>
      </c>
      <c r="K1016" s="470">
        <v>9023365738</v>
      </c>
      <c r="L1016" s="470" t="s">
        <v>378</v>
      </c>
      <c r="M1016" s="470" t="s">
        <v>351</v>
      </c>
      <c r="N1016" s="470" t="s">
        <v>3733</v>
      </c>
      <c r="O1016" s="470" t="s">
        <v>1145</v>
      </c>
      <c r="P1016" s="470" t="s">
        <v>3734</v>
      </c>
      <c r="Q1016" s="470" t="s">
        <v>806</v>
      </c>
      <c r="R1016" s="470" t="s">
        <v>1653</v>
      </c>
      <c r="S1016" s="702" t="s">
        <v>518</v>
      </c>
      <c r="T1016" s="702" t="s">
        <v>103</v>
      </c>
      <c r="U1016" s="489">
        <v>46107</v>
      </c>
      <c r="V1016" s="489">
        <v>46107</v>
      </c>
      <c r="W1016" s="702"/>
      <c r="X1016" s="702"/>
      <c r="Y1016" s="702"/>
      <c r="Z1016" s="702"/>
      <c r="AA1016" s="702"/>
      <c r="AB1016" s="702"/>
      <c r="AC1016" s="702"/>
      <c r="AD1016" s="702"/>
      <c r="AE1016" s="46"/>
    </row>
    <row r="1017" spans="1:31" ht="15" customHeight="1">
      <c r="A1017" s="702" t="s">
        <v>162</v>
      </c>
      <c r="B1017" s="702" t="s">
        <v>258</v>
      </c>
      <c r="C1017" s="103" t="str">
        <f>IF(ISBLANK(B1017),"",_xlfn.XLOOKUP(B1017,Recruiter!A:A,Recruiter!B:B))</f>
        <v>Bhoomika</v>
      </c>
      <c r="D1017" s="487" t="str">
        <f>IF(ISBLANK(A1017),"",_xlfn.XLOOKUP(A1017,'Requirement Overview'!C:C,'Requirement Overview'!E:E))</f>
        <v>Talme</v>
      </c>
      <c r="E1017" s="487" t="str">
        <f>IF(ISBLANK(A1017),"",_xlfn.XLOOKUP(A1017,'Requirement Overview'!C:C,'Requirement Overview'!H:H))</f>
        <v>IT</v>
      </c>
      <c r="F1017" s="77" t="str">
        <f>IF(ISBLANK(A1017),"",_xlfn.XLOOKUP(A1017,'Requirement Overview'!C:C,'Requirement Overview'!I:I))</f>
        <v xml:space="preserve">.Net Developer  </v>
      </c>
      <c r="G1017" s="3" t="str">
        <f>IF(ISBLANK(A1017),"",_xlfn.XLOOKUP(A1017,'Requirement Overview'!C:C,'Requirement Overview'!G:G))</f>
        <v>EMIDS</v>
      </c>
      <c r="H1017" s="485" t="s">
        <v>3735</v>
      </c>
      <c r="I1017" s="470" t="s">
        <v>3647</v>
      </c>
      <c r="J1017" s="470" t="s">
        <v>3736</v>
      </c>
      <c r="K1017" s="470">
        <v>9311854252</v>
      </c>
      <c r="L1017" s="470" t="s">
        <v>378</v>
      </c>
      <c r="M1017" s="470" t="s">
        <v>351</v>
      </c>
      <c r="N1017" s="470" t="s">
        <v>3737</v>
      </c>
      <c r="O1017" s="470" t="s">
        <v>3738</v>
      </c>
      <c r="P1017" s="470" t="s">
        <v>3739</v>
      </c>
      <c r="Q1017" s="470" t="s">
        <v>806</v>
      </c>
      <c r="R1017" s="470" t="s">
        <v>1844</v>
      </c>
      <c r="S1017" s="702" t="s">
        <v>518</v>
      </c>
      <c r="T1017" s="702" t="s">
        <v>103</v>
      </c>
      <c r="U1017" s="489">
        <v>46107</v>
      </c>
      <c r="V1017" s="489">
        <v>46107</v>
      </c>
      <c r="W1017" s="702"/>
      <c r="X1017" s="702"/>
      <c r="Y1017" s="702"/>
      <c r="Z1017" s="702"/>
      <c r="AA1017" s="702"/>
      <c r="AB1017" s="702"/>
      <c r="AC1017" s="702"/>
      <c r="AD1017" s="702"/>
      <c r="AE1017" s="46"/>
    </row>
    <row r="1018" spans="1:31" ht="15" customHeight="1">
      <c r="A1018" s="702" t="s">
        <v>162</v>
      </c>
      <c r="B1018" s="702" t="s">
        <v>258</v>
      </c>
      <c r="C1018" s="103" t="str">
        <f>IF(ISBLANK(B1018),"",_xlfn.XLOOKUP(B1018,Recruiter!A:A,Recruiter!B:B))</f>
        <v>Bhoomika</v>
      </c>
      <c r="D1018" s="487" t="str">
        <f>IF(ISBLANK(A1018),"",_xlfn.XLOOKUP(A1018,'Requirement Overview'!C:C,'Requirement Overview'!E:E))</f>
        <v>Talme</v>
      </c>
      <c r="E1018" s="487" t="str">
        <f>IF(ISBLANK(A1018),"",_xlfn.XLOOKUP(A1018,'Requirement Overview'!C:C,'Requirement Overview'!H:H))</f>
        <v>IT</v>
      </c>
      <c r="F1018" s="77" t="str">
        <f>IF(ISBLANK(A1018),"",_xlfn.XLOOKUP(A1018,'Requirement Overview'!C:C,'Requirement Overview'!I:I))</f>
        <v xml:space="preserve">.Net Developer  </v>
      </c>
      <c r="G1018" s="3" t="str">
        <f>IF(ISBLANK(A1018),"",_xlfn.XLOOKUP(A1018,'Requirement Overview'!C:C,'Requirement Overview'!G:G))</f>
        <v>EMIDS</v>
      </c>
      <c r="H1018" s="485" t="s">
        <v>3740</v>
      </c>
      <c r="I1018" s="702" t="s">
        <v>3741</v>
      </c>
      <c r="J1018" s="478" t="s">
        <v>3742</v>
      </c>
      <c r="K1018" s="702">
        <v>9953786030</v>
      </c>
      <c r="L1018" s="702" t="s">
        <v>378</v>
      </c>
      <c r="M1018" s="702" t="s">
        <v>3743</v>
      </c>
      <c r="N1018" s="702" t="s">
        <v>3744</v>
      </c>
      <c r="O1018" s="702" t="s">
        <v>3745</v>
      </c>
      <c r="P1018" s="702" t="s">
        <v>3739</v>
      </c>
      <c r="Q1018" s="702" t="s">
        <v>806</v>
      </c>
      <c r="R1018" s="702" t="s">
        <v>353</v>
      </c>
      <c r="S1018" s="702" t="s">
        <v>601</v>
      </c>
      <c r="T1018" s="702" t="s">
        <v>103</v>
      </c>
      <c r="U1018" s="489">
        <v>46108</v>
      </c>
      <c r="V1018" s="489">
        <v>46108</v>
      </c>
      <c r="W1018" s="702"/>
      <c r="X1018" s="702"/>
      <c r="Y1018" s="702"/>
      <c r="Z1018" s="702"/>
      <c r="AA1018" s="702"/>
      <c r="AB1018" s="702"/>
      <c r="AC1018" s="702"/>
      <c r="AD1018" s="702"/>
      <c r="AE1018" s="46"/>
    </row>
    <row r="1019" spans="1:31" ht="15" customHeight="1">
      <c r="A1019" s="702" t="s">
        <v>162</v>
      </c>
      <c r="B1019" s="702" t="s">
        <v>258</v>
      </c>
      <c r="C1019" s="103" t="str">
        <f>IF(ISBLANK(B1019),"",_xlfn.XLOOKUP(B1019,Recruiter!A:A,Recruiter!B:B))</f>
        <v>Bhoomika</v>
      </c>
      <c r="D1019" s="487" t="str">
        <f>IF(ISBLANK(A1019),"",_xlfn.XLOOKUP(A1019,'Requirement Overview'!C:C,'Requirement Overview'!E:E))</f>
        <v>Talme</v>
      </c>
      <c r="E1019" s="487" t="str">
        <f>IF(ISBLANK(A1019),"",_xlfn.XLOOKUP(A1019,'Requirement Overview'!C:C,'Requirement Overview'!H:H))</f>
        <v>IT</v>
      </c>
      <c r="F1019" s="77" t="str">
        <f>IF(ISBLANK(A1019),"",_xlfn.XLOOKUP(A1019,'Requirement Overview'!C:C,'Requirement Overview'!I:I))</f>
        <v xml:space="preserve">.Net Developer  </v>
      </c>
      <c r="G1019" s="3" t="str">
        <f>IF(ISBLANK(A1019),"",_xlfn.XLOOKUP(A1019,'Requirement Overview'!C:C,'Requirement Overview'!G:G))</f>
        <v>EMIDS</v>
      </c>
      <c r="H1019" s="485" t="s">
        <v>3746</v>
      </c>
      <c r="I1019" s="702" t="s">
        <v>519</v>
      </c>
      <c r="J1019" s="478" t="s">
        <v>3747</v>
      </c>
      <c r="K1019" s="702">
        <v>7356125367</v>
      </c>
      <c r="L1019" s="702" t="s">
        <v>305</v>
      </c>
      <c r="M1019" s="702" t="s">
        <v>343</v>
      </c>
      <c r="N1019" s="702" t="s">
        <v>3748</v>
      </c>
      <c r="O1019" s="702" t="s">
        <v>715</v>
      </c>
      <c r="P1019" s="702" t="s">
        <v>268</v>
      </c>
      <c r="Q1019" s="702" t="s">
        <v>268</v>
      </c>
      <c r="R1019" s="702" t="s">
        <v>716</v>
      </c>
      <c r="S1019" s="702" t="s">
        <v>601</v>
      </c>
      <c r="T1019" s="702" t="s">
        <v>103</v>
      </c>
      <c r="U1019" s="489">
        <v>46108</v>
      </c>
      <c r="V1019" s="489">
        <v>46108</v>
      </c>
      <c r="W1019" s="702"/>
      <c r="X1019" s="702"/>
      <c r="Y1019" s="702"/>
      <c r="Z1019" s="702"/>
      <c r="AA1019" s="702"/>
      <c r="AB1019" s="702"/>
      <c r="AC1019" s="702"/>
      <c r="AD1019" s="702"/>
      <c r="AE1019" s="46"/>
    </row>
    <row r="1020" spans="1:31" ht="15" customHeight="1">
      <c r="A1020" s="702" t="s">
        <v>162</v>
      </c>
      <c r="B1020" s="702" t="s">
        <v>258</v>
      </c>
      <c r="C1020" s="103" t="str">
        <f>IF(ISBLANK(B1020),"",_xlfn.XLOOKUP(B1020,Recruiter!A:A,Recruiter!B:B))</f>
        <v>Bhoomika</v>
      </c>
      <c r="D1020" s="487" t="str">
        <f>IF(ISBLANK(A1020),"",_xlfn.XLOOKUP(A1020,'Requirement Overview'!C:C,'Requirement Overview'!E:E))</f>
        <v>Talme</v>
      </c>
      <c r="E1020" s="487" t="str">
        <f>IF(ISBLANK(A1020),"",_xlfn.XLOOKUP(A1020,'Requirement Overview'!C:C,'Requirement Overview'!H:H))</f>
        <v>IT</v>
      </c>
      <c r="F1020" s="77" t="str">
        <f>IF(ISBLANK(A1020),"",_xlfn.XLOOKUP(A1020,'Requirement Overview'!C:C,'Requirement Overview'!I:I))</f>
        <v xml:space="preserve">.Net Developer  </v>
      </c>
      <c r="G1020" s="3" t="str">
        <f>IF(ISBLANK(A1020),"",_xlfn.XLOOKUP(A1020,'Requirement Overview'!C:C,'Requirement Overview'!G:G))</f>
        <v>EMIDS</v>
      </c>
      <c r="H1020" s="485" t="s">
        <v>3749</v>
      </c>
      <c r="I1020" s="702" t="s">
        <v>519</v>
      </c>
      <c r="J1020" s="478" t="s">
        <v>3750</v>
      </c>
      <c r="K1020" s="702">
        <v>7999063701</v>
      </c>
      <c r="L1020" s="702" t="s">
        <v>311</v>
      </c>
      <c r="M1020" s="702" t="s">
        <v>788</v>
      </c>
      <c r="N1020" s="702" t="s">
        <v>3751</v>
      </c>
      <c r="O1020" s="702" t="s">
        <v>757</v>
      </c>
      <c r="P1020" s="702" t="s">
        <v>3752</v>
      </c>
      <c r="Q1020" s="702" t="s">
        <v>806</v>
      </c>
      <c r="R1020" s="702" t="s">
        <v>716</v>
      </c>
      <c r="S1020" s="702" t="s">
        <v>601</v>
      </c>
      <c r="T1020" s="702" t="s">
        <v>103</v>
      </c>
      <c r="U1020" s="489">
        <v>46108</v>
      </c>
      <c r="V1020" s="489">
        <v>46108</v>
      </c>
      <c r="W1020" s="702"/>
      <c r="X1020" s="702"/>
      <c r="Y1020" s="702"/>
      <c r="Z1020" s="702"/>
      <c r="AA1020" s="702"/>
      <c r="AB1020" s="702"/>
      <c r="AC1020" s="702"/>
      <c r="AD1020" s="702"/>
      <c r="AE1020" s="46"/>
    </row>
    <row r="1021" spans="1:31" ht="15" customHeight="1">
      <c r="A1021" s="702" t="s">
        <v>162</v>
      </c>
      <c r="B1021" s="702" t="s">
        <v>258</v>
      </c>
      <c r="C1021" s="103" t="str">
        <f>IF(ISBLANK(B1021),"",_xlfn.XLOOKUP(B1021,Recruiter!A:A,Recruiter!B:B))</f>
        <v>Bhoomika</v>
      </c>
      <c r="D1021" s="487" t="str">
        <f>IF(ISBLANK(A1021),"",_xlfn.XLOOKUP(A1021,'Requirement Overview'!C:C,'Requirement Overview'!E:E))</f>
        <v>Talme</v>
      </c>
      <c r="E1021" s="487" t="str">
        <f>IF(ISBLANK(A1021),"",_xlfn.XLOOKUP(A1021,'Requirement Overview'!C:C,'Requirement Overview'!H:H))</f>
        <v>IT</v>
      </c>
      <c r="F1021" s="77" t="str">
        <f>IF(ISBLANK(A1021),"",_xlfn.XLOOKUP(A1021,'Requirement Overview'!C:C,'Requirement Overview'!I:I))</f>
        <v xml:space="preserve">.Net Developer  </v>
      </c>
      <c r="G1021" s="3" t="str">
        <f>IF(ISBLANK(A1021),"",_xlfn.XLOOKUP(A1021,'Requirement Overview'!C:C,'Requirement Overview'!G:G))</f>
        <v>EMIDS</v>
      </c>
      <c r="H1021" s="470" t="s">
        <v>3753</v>
      </c>
      <c r="I1021" s="702" t="s">
        <v>262</v>
      </c>
      <c r="J1021" s="478" t="s">
        <v>3754</v>
      </c>
      <c r="K1021" s="702">
        <v>8010455952</v>
      </c>
      <c r="L1021" s="702" t="s">
        <v>3755</v>
      </c>
      <c r="M1021" s="702" t="s">
        <v>351</v>
      </c>
      <c r="N1021" s="702" t="s">
        <v>3756</v>
      </c>
      <c r="O1021" s="702" t="s">
        <v>691</v>
      </c>
      <c r="P1021" s="702" t="s">
        <v>806</v>
      </c>
      <c r="Q1021" s="702" t="s">
        <v>806</v>
      </c>
      <c r="R1021" s="702" t="s">
        <v>353</v>
      </c>
      <c r="S1021" s="702" t="s">
        <v>601</v>
      </c>
      <c r="T1021" s="702" t="s">
        <v>103</v>
      </c>
      <c r="U1021" s="489">
        <v>46108</v>
      </c>
      <c r="V1021" s="489">
        <v>46108</v>
      </c>
      <c r="W1021" s="702"/>
      <c r="X1021" s="702"/>
      <c r="Y1021" s="702"/>
      <c r="Z1021" s="702"/>
      <c r="AA1021" s="702"/>
      <c r="AB1021" s="702"/>
      <c r="AC1021" s="702"/>
      <c r="AD1021" s="702"/>
      <c r="AE1021" s="46"/>
    </row>
    <row r="1022" spans="1:31" ht="15" customHeight="1">
      <c r="A1022" s="702" t="s">
        <v>162</v>
      </c>
      <c r="B1022" s="702" t="s">
        <v>258</v>
      </c>
      <c r="C1022" s="103" t="str">
        <f>IF(ISBLANK(B1022),"",_xlfn.XLOOKUP(B1022,Recruiter!A:A,Recruiter!B:B))</f>
        <v>Bhoomika</v>
      </c>
      <c r="D1022" s="487" t="str">
        <f>IF(ISBLANK(A1022),"",_xlfn.XLOOKUP(A1022,'Requirement Overview'!C:C,'Requirement Overview'!E:E))</f>
        <v>Talme</v>
      </c>
      <c r="E1022" s="487" t="str">
        <f>IF(ISBLANK(A1022),"",_xlfn.XLOOKUP(A1022,'Requirement Overview'!C:C,'Requirement Overview'!H:H))</f>
        <v>IT</v>
      </c>
      <c r="F1022" s="77" t="str">
        <f>IF(ISBLANK(A1022),"",_xlfn.XLOOKUP(A1022,'Requirement Overview'!C:C,'Requirement Overview'!I:I))</f>
        <v xml:space="preserve">.Net Developer  </v>
      </c>
      <c r="G1022" s="3" t="str">
        <f>IF(ISBLANK(A1022),"",_xlfn.XLOOKUP(A1022,'Requirement Overview'!C:C,'Requirement Overview'!G:G))</f>
        <v>EMIDS</v>
      </c>
      <c r="H1022" s="702" t="s">
        <v>3757</v>
      </c>
      <c r="I1022" s="702" t="s">
        <v>519</v>
      </c>
      <c r="J1022" s="478" t="s">
        <v>3758</v>
      </c>
      <c r="K1022" s="702">
        <v>7075088190</v>
      </c>
      <c r="L1022" s="702" t="s">
        <v>350</v>
      </c>
      <c r="M1022" s="702" t="s">
        <v>3759</v>
      </c>
      <c r="N1022" s="702" t="s">
        <v>3760</v>
      </c>
      <c r="O1022" s="702" t="s">
        <v>541</v>
      </c>
      <c r="P1022" s="702" t="s">
        <v>879</v>
      </c>
      <c r="Q1022" s="702" t="s">
        <v>879</v>
      </c>
      <c r="R1022" s="702" t="s">
        <v>3761</v>
      </c>
      <c r="S1022" s="702" t="s">
        <v>601</v>
      </c>
      <c r="T1022" s="702" t="s">
        <v>103</v>
      </c>
      <c r="U1022" s="489">
        <v>46108</v>
      </c>
      <c r="V1022" s="489">
        <v>46108</v>
      </c>
      <c r="W1022" s="702"/>
      <c r="X1022" s="702"/>
      <c r="Y1022" s="702"/>
      <c r="Z1022" s="702"/>
      <c r="AA1022" s="702"/>
      <c r="AB1022" s="702"/>
      <c r="AC1022" s="702"/>
      <c r="AD1022" s="702"/>
      <c r="AE1022" s="46"/>
    </row>
    <row r="1023" spans="1:31" ht="15" customHeight="1">
      <c r="A1023" s="702" t="s">
        <v>131</v>
      </c>
      <c r="B1023" s="702" t="s">
        <v>258</v>
      </c>
      <c r="C1023" s="103" t="str">
        <f>IF(ISBLANK(B1023),"",_xlfn.XLOOKUP(B1023,Recruiter!A:A,Recruiter!B:B))</f>
        <v>Bhoomika</v>
      </c>
      <c r="D1023" s="487" t="str">
        <f>IF(ISBLANK(A1023),"",_xlfn.XLOOKUP(A1023,'Requirement Overview'!C:C,'Requirement Overview'!E:E))</f>
        <v>Talme</v>
      </c>
      <c r="E1023" s="487" t="str">
        <f>IF(ISBLANK(A1023),"",_xlfn.XLOOKUP(A1023,'Requirement Overview'!C:C,'Requirement Overview'!H:H))</f>
        <v>IT</v>
      </c>
      <c r="F1023" s="77" t="str">
        <f>IF(ISBLANK(A1023),"",_xlfn.XLOOKUP(A1023,'Requirement Overview'!C:C,'Requirement Overview'!I:I))</f>
        <v>Technical Lead</v>
      </c>
      <c r="G1023" s="3" t="str">
        <f>IF(ISBLANK(A1023),"",_xlfn.XLOOKUP(A1023,'Requirement Overview'!C:C,'Requirement Overview'!G:G))</f>
        <v>Anika Solutions</v>
      </c>
      <c r="H1023" s="485" t="s">
        <v>3762</v>
      </c>
      <c r="I1023" s="702" t="s">
        <v>519</v>
      </c>
      <c r="J1023" s="478" t="s">
        <v>3763</v>
      </c>
      <c r="K1023" s="702">
        <v>8184972838</v>
      </c>
      <c r="L1023" s="702" t="s">
        <v>305</v>
      </c>
      <c r="M1023" s="702" t="s">
        <v>379</v>
      </c>
      <c r="N1023" s="702" t="s">
        <v>3764</v>
      </c>
      <c r="O1023" s="702"/>
      <c r="P1023" s="702" t="s">
        <v>879</v>
      </c>
      <c r="Q1023" s="702" t="s">
        <v>268</v>
      </c>
      <c r="R1023" s="702"/>
      <c r="S1023" s="702" t="s">
        <v>601</v>
      </c>
      <c r="T1023" s="702" t="s">
        <v>103</v>
      </c>
      <c r="U1023" s="489">
        <v>46108</v>
      </c>
      <c r="V1023" s="489">
        <v>46108</v>
      </c>
      <c r="W1023" s="702"/>
      <c r="X1023" s="702"/>
      <c r="Y1023" s="702"/>
      <c r="Z1023" s="702"/>
      <c r="AA1023" s="702"/>
      <c r="AB1023" s="702"/>
      <c r="AC1023" s="702"/>
      <c r="AD1023" s="702"/>
      <c r="AE1023" s="46"/>
    </row>
    <row r="1024" spans="1:31" ht="15" customHeight="1">
      <c r="A1024" s="702" t="s">
        <v>64</v>
      </c>
      <c r="B1024" s="702" t="s">
        <v>258</v>
      </c>
      <c r="C1024" s="103" t="str">
        <f>IF(ISBLANK(B1024),"",_xlfn.XLOOKUP(B1024,Recruiter!A:A,Recruiter!B:B))</f>
        <v>Bhoomika</v>
      </c>
      <c r="D1024" s="487" t="str">
        <f>IF(ISBLANK(A1024),"",_xlfn.XLOOKUP(A1024,'Requirement Overview'!C:C,'Requirement Overview'!E:E))</f>
        <v>Talme</v>
      </c>
      <c r="E1024" s="487" t="str">
        <f>IF(ISBLANK(A1024),"",_xlfn.XLOOKUP(A1024,'Requirement Overview'!C:C,'Requirement Overview'!H:H))</f>
        <v>Non - IT</v>
      </c>
      <c r="F1024" s="77" t="str">
        <f>IF(ISBLANK(A1024),"",_xlfn.XLOOKUP(A1024,'Requirement Overview'!C:C,'Requirement Overview'!I:I))</f>
        <v>Sales Head</v>
      </c>
      <c r="G1024" s="3" t="str">
        <f>IF(ISBLANK(A1024),"",_xlfn.XLOOKUP(A1024,'Requirement Overview'!C:C,'Requirement Overview'!G:G))</f>
        <v>Avinashi Ads</v>
      </c>
      <c r="H1024" s="479" t="s">
        <v>3765</v>
      </c>
      <c r="I1024" s="702" t="s">
        <v>519</v>
      </c>
      <c r="J1024" s="470" t="s">
        <v>3766</v>
      </c>
      <c r="K1024" s="702">
        <v>9902763474</v>
      </c>
      <c r="L1024" s="702" t="s">
        <v>330</v>
      </c>
      <c r="M1024" s="702" t="s">
        <v>546</v>
      </c>
      <c r="N1024" s="702" t="s">
        <v>3767</v>
      </c>
      <c r="O1024" s="702" t="s">
        <v>3768</v>
      </c>
      <c r="P1024" s="702" t="s">
        <v>268</v>
      </c>
      <c r="Q1024" s="702" t="s">
        <v>268</v>
      </c>
      <c r="R1024" s="706" t="s">
        <v>308</v>
      </c>
      <c r="S1024" s="702" t="s">
        <v>601</v>
      </c>
      <c r="T1024" s="702" t="s">
        <v>103</v>
      </c>
      <c r="U1024" s="489">
        <v>46107</v>
      </c>
      <c r="V1024" s="489">
        <v>46107</v>
      </c>
      <c r="W1024" s="702"/>
      <c r="X1024" s="702"/>
      <c r="Y1024" s="702"/>
      <c r="Z1024" s="702"/>
      <c r="AA1024" s="702"/>
      <c r="AB1024" s="702"/>
      <c r="AC1024" s="702"/>
      <c r="AD1024" s="702"/>
      <c r="AE1024" s="46"/>
    </row>
    <row r="1025" spans="1:30" ht="15" customHeight="1">
      <c r="A1025" s="47" t="s">
        <v>115</v>
      </c>
      <c r="B1025" s="47" t="s">
        <v>520</v>
      </c>
      <c r="C1025" s="433" t="str">
        <f>IF(ISBLANK(B1025),"",_xlfn.XLOOKUP(B1025,Recruiter!A:A,Recruiter!B:B))</f>
        <v>Narthana</v>
      </c>
      <c r="D1025" s="433" t="str">
        <f>IF(ISBLANK(A1025),"",_xlfn.XLOOKUP(A1025,'Requirement Overview'!C:C,'Requirement Overview'!E:E))</f>
        <v>Talme</v>
      </c>
      <c r="E1025" s="47" t="s">
        <v>27</v>
      </c>
      <c r="F1025" s="662" t="str">
        <f>IF(ISBLANK(A1025),"",_xlfn.XLOOKUP(A1025,'Requirement Overview'!C:C,'Requirement Overview'!I:I))</f>
        <v>Developer - Angular &amp; Node Js</v>
      </c>
      <c r="G1025" s="338" t="str">
        <f>IF(ISBLANK(A1025),"",_xlfn.XLOOKUP(A1025,'Requirement Overview'!C:C,'Requirement Overview'!G:G))</f>
        <v>Viditha</v>
      </c>
      <c r="H1025" s="47" t="s">
        <v>3769</v>
      </c>
      <c r="I1025" s="378" t="s">
        <v>262</v>
      </c>
      <c r="J1025" s="457" t="s">
        <v>3770</v>
      </c>
      <c r="K1025" s="378">
        <v>8296553074</v>
      </c>
      <c r="L1025" s="47" t="s">
        <v>311</v>
      </c>
      <c r="M1025" s="47" t="s">
        <v>1284</v>
      </c>
      <c r="N1025" s="378" t="s">
        <v>3771</v>
      </c>
      <c r="O1025" s="47" t="s">
        <v>367</v>
      </c>
      <c r="P1025" s="47" t="s">
        <v>1297</v>
      </c>
      <c r="Q1025" s="47" t="s">
        <v>1078</v>
      </c>
      <c r="R1025" s="47" t="s">
        <v>368</v>
      </c>
      <c r="S1025" s="47" t="s">
        <v>270</v>
      </c>
      <c r="T1025" s="47" t="s">
        <v>103</v>
      </c>
      <c r="U1025" s="468">
        <v>46105</v>
      </c>
      <c r="V1025" s="468">
        <v>46105</v>
      </c>
      <c r="W1025" s="47" t="s">
        <v>3772</v>
      </c>
      <c r="X1025" s="47"/>
      <c r="Y1025" s="47"/>
      <c r="Z1025" s="47"/>
      <c r="AA1025" s="47"/>
      <c r="AB1025" s="47"/>
      <c r="AC1025" s="47"/>
      <c r="AD1025" s="47"/>
    </row>
    <row r="1026" spans="1:30" ht="15" customHeight="1">
      <c r="A1026" s="24" t="s">
        <v>35</v>
      </c>
      <c r="B1026" s="24" t="s">
        <v>520</v>
      </c>
      <c r="C1026" s="103" t="str">
        <f>IF(ISBLANK(B1026),"",_xlfn.XLOOKUP(B1026,Recruiter!A:A,Recruiter!B:B))</f>
        <v>Narthana</v>
      </c>
      <c r="D1026" s="103" t="str">
        <f>IF(ISBLANK(A1026),"",_xlfn.XLOOKUP(A1026,'Requirement Overview'!C:C,'Requirement Overview'!E:E))</f>
        <v>Talme</v>
      </c>
      <c r="E1026" s="24" t="s">
        <v>27</v>
      </c>
      <c r="F1026" s="445" t="str">
        <f>IF(ISBLANK(A1026),"",_xlfn.XLOOKUP(A1026,'Requirement Overview'!C:C,'Requirement Overview'!I:I))</f>
        <v>Windows system adminstrator</v>
      </c>
      <c r="G1026" s="62" t="str">
        <f>IF(ISBLANK(A1026),"",_xlfn.XLOOKUP(A1026,'Requirement Overview'!C:C,'Requirement Overview'!G:G))</f>
        <v>EMIDS</v>
      </c>
      <c r="H1026" s="52" t="s">
        <v>3773</v>
      </c>
      <c r="I1026" s="52" t="s">
        <v>674</v>
      </c>
      <c r="J1026" s="244" t="s">
        <v>3774</v>
      </c>
      <c r="K1026" s="52">
        <v>9711215212</v>
      </c>
      <c r="L1026" s="52" t="s">
        <v>421</v>
      </c>
      <c r="M1026" s="52" t="s">
        <v>365</v>
      </c>
      <c r="N1026" s="440" t="s">
        <v>3775</v>
      </c>
      <c r="O1026" s="24" t="s">
        <v>374</v>
      </c>
      <c r="P1026" s="52" t="s">
        <v>1055</v>
      </c>
      <c r="Q1026" s="24" t="s">
        <v>806</v>
      </c>
      <c r="R1026" s="24" t="s">
        <v>540</v>
      </c>
      <c r="S1026" s="24" t="s">
        <v>601</v>
      </c>
      <c r="T1026" s="24" t="s">
        <v>103</v>
      </c>
      <c r="U1026" s="469">
        <v>46105</v>
      </c>
      <c r="V1026" s="469">
        <v>46105</v>
      </c>
    </row>
    <row r="1027" spans="1:30" ht="15" customHeight="1">
      <c r="A1027" s="24" t="s">
        <v>35</v>
      </c>
      <c r="B1027" s="24" t="s">
        <v>520</v>
      </c>
      <c r="C1027" s="103" t="str">
        <f>IF(ISBLANK(B1027),"",_xlfn.XLOOKUP(B1027,Recruiter!A:A,Recruiter!B:B))</f>
        <v>Narthana</v>
      </c>
      <c r="D1027" s="103" t="str">
        <f>IF(ISBLANK(A1027),"",_xlfn.XLOOKUP(A1027,'Requirement Overview'!C:C,'Requirement Overview'!E:E))</f>
        <v>Talme</v>
      </c>
      <c r="E1027" s="24" t="s">
        <v>27</v>
      </c>
      <c r="F1027" s="445" t="str">
        <f>IF(ISBLANK(A1027),"",_xlfn.XLOOKUP(A1027,'Requirement Overview'!C:C,'Requirement Overview'!I:I))</f>
        <v>Windows system adminstrator</v>
      </c>
      <c r="G1027" s="62" t="str">
        <f>IF(ISBLANK(A1027),"",_xlfn.XLOOKUP(A1027,'Requirement Overview'!C:C,'Requirement Overview'!G:G))</f>
        <v>EMIDS</v>
      </c>
      <c r="H1027" s="52" t="s">
        <v>3776</v>
      </c>
      <c r="I1027" s="52" t="s">
        <v>3777</v>
      </c>
      <c r="J1027" s="244" t="s">
        <v>3778</v>
      </c>
      <c r="K1027" s="52" t="s">
        <v>3779</v>
      </c>
      <c r="L1027" s="52" t="s">
        <v>305</v>
      </c>
      <c r="M1027" s="52" t="s">
        <v>414</v>
      </c>
      <c r="N1027" s="440" t="s">
        <v>3780</v>
      </c>
      <c r="O1027" s="24" t="s">
        <v>374</v>
      </c>
      <c r="P1027" s="52" t="s">
        <v>879</v>
      </c>
      <c r="Q1027" s="24" t="s">
        <v>879</v>
      </c>
      <c r="R1027" s="24" t="s">
        <v>1525</v>
      </c>
      <c r="S1027" s="24" t="s">
        <v>601</v>
      </c>
      <c r="T1027" s="24" t="s">
        <v>103</v>
      </c>
      <c r="U1027" s="469">
        <v>46105</v>
      </c>
      <c r="V1027" s="469">
        <v>46105</v>
      </c>
    </row>
    <row r="1028" spans="1:30" ht="15" customHeight="1">
      <c r="A1028" s="24" t="s">
        <v>35</v>
      </c>
      <c r="B1028" s="24" t="s">
        <v>520</v>
      </c>
      <c r="C1028" s="103" t="str">
        <f>IF(ISBLANK(B1028),"",_xlfn.XLOOKUP(B1028,Recruiter!A:A,Recruiter!B:B))</f>
        <v>Narthana</v>
      </c>
      <c r="D1028" s="103" t="str">
        <f>IF(ISBLANK(A1028),"",_xlfn.XLOOKUP(A1028,'Requirement Overview'!C:C,'Requirement Overview'!E:E))</f>
        <v>Talme</v>
      </c>
      <c r="E1028" s="24" t="s">
        <v>27</v>
      </c>
      <c r="F1028" s="445" t="str">
        <f>IF(ISBLANK(A1028),"",_xlfn.XLOOKUP(A1028,'Requirement Overview'!C:C,'Requirement Overview'!I:I))</f>
        <v>Windows system adminstrator</v>
      </c>
      <c r="G1028" s="62" t="str">
        <f>IF(ISBLANK(A1028),"",_xlfn.XLOOKUP(A1028,'Requirement Overview'!C:C,'Requirement Overview'!G:G))</f>
        <v>EMIDS</v>
      </c>
      <c r="H1028" s="440" t="s">
        <v>3781</v>
      </c>
      <c r="I1028" s="52" t="s">
        <v>674</v>
      </c>
      <c r="J1028" s="244" t="s">
        <v>3782</v>
      </c>
      <c r="K1028" s="52">
        <v>9901940193</v>
      </c>
      <c r="L1028" s="52" t="s">
        <v>421</v>
      </c>
      <c r="M1028" s="52" t="s">
        <v>390</v>
      </c>
      <c r="N1028" s="440" t="s">
        <v>3142</v>
      </c>
      <c r="O1028" s="24" t="s">
        <v>374</v>
      </c>
      <c r="P1028" s="52" t="s">
        <v>268</v>
      </c>
      <c r="Q1028" s="24" t="s">
        <v>268</v>
      </c>
      <c r="R1028" s="24" t="s">
        <v>1525</v>
      </c>
      <c r="S1028" s="24" t="s">
        <v>601</v>
      </c>
      <c r="T1028" s="24" t="s">
        <v>103</v>
      </c>
      <c r="U1028" s="469">
        <v>46105</v>
      </c>
      <c r="V1028" s="469">
        <v>46105</v>
      </c>
    </row>
    <row r="1029" spans="1:30" ht="15" customHeight="1">
      <c r="A1029" s="24" t="s">
        <v>140</v>
      </c>
      <c r="B1029" s="24" t="s">
        <v>520</v>
      </c>
      <c r="C1029" s="103" t="str">
        <f>IF(ISBLANK(B1029),"",_xlfn.XLOOKUP(B1029,Recruiter!A:A,Recruiter!B:B))</f>
        <v>Narthana</v>
      </c>
      <c r="D1029" s="103" t="str">
        <f>IF(ISBLANK(A1029),"",_xlfn.XLOOKUP(A1029,'Requirement Overview'!C:C,'Requirement Overview'!E:E))</f>
        <v>Talme</v>
      </c>
      <c r="E1029" s="84" t="str">
        <f>IF(ISBLANK(A1029),"",_xlfn.XLOOKUP(A1029,'Requirement Overview'!C:C,'Requirement Overview'!H:H))</f>
        <v>Non - IT</v>
      </c>
      <c r="F1029" s="445" t="str">
        <f>IF(ISBLANK(A1029),"",_xlfn.XLOOKUP(A1029,'Requirement Overview'!C:C,'Requirement Overview'!I:I))</f>
        <v>Production Operator</v>
      </c>
      <c r="G1029" s="62" t="str">
        <f>IF(ISBLANK(A1029),"",_xlfn.XLOOKUP(A1029,'Requirement Overview'!C:C,'Requirement Overview'!G:G))</f>
        <v>Micron</v>
      </c>
      <c r="H1029" s="139" t="s">
        <v>3783</v>
      </c>
      <c r="I1029" s="113" t="s">
        <v>262</v>
      </c>
      <c r="J1029" s="19" t="s">
        <v>3784</v>
      </c>
      <c r="K1029" s="24">
        <v>9510467125</v>
      </c>
      <c r="L1029" s="113" t="s">
        <v>3785</v>
      </c>
      <c r="M1029" s="113" t="s">
        <v>3377</v>
      </c>
      <c r="N1029" s="24" t="s">
        <v>3786</v>
      </c>
      <c r="P1029" s="113" t="s">
        <v>3234</v>
      </c>
      <c r="Q1029" s="24" t="s">
        <v>3268</v>
      </c>
      <c r="S1029" s="24" t="s">
        <v>601</v>
      </c>
      <c r="T1029" s="24" t="s">
        <v>103</v>
      </c>
      <c r="U1029" s="469">
        <v>46105</v>
      </c>
      <c r="V1029" s="469">
        <v>46105</v>
      </c>
    </row>
    <row r="1030" spans="1:30" ht="15" customHeight="1">
      <c r="A1030" s="24" t="s">
        <v>140</v>
      </c>
      <c r="B1030" s="24" t="s">
        <v>520</v>
      </c>
      <c r="C1030" s="103" t="str">
        <f>IF(ISBLANK(B1030),"",_xlfn.XLOOKUP(B1030,Recruiter!A:A,Recruiter!B:B))</f>
        <v>Narthana</v>
      </c>
      <c r="D1030" s="103" t="str">
        <f>IF(ISBLANK(A1030),"",_xlfn.XLOOKUP(A1030,'Requirement Overview'!C:C,'Requirement Overview'!E:E))</f>
        <v>Talme</v>
      </c>
      <c r="E1030" s="84" t="str">
        <f>IF(ISBLANK(A1030),"",_xlfn.XLOOKUP(A1030,'Requirement Overview'!C:C,'Requirement Overview'!H:H))</f>
        <v>Non - IT</v>
      </c>
      <c r="F1030" s="445" t="str">
        <f>IF(ISBLANK(A1030),"",_xlfn.XLOOKUP(A1030,'Requirement Overview'!C:C,'Requirement Overview'!I:I))</f>
        <v>Production Operator</v>
      </c>
      <c r="G1030" s="62" t="str">
        <f>IF(ISBLANK(A1030),"",_xlfn.XLOOKUP(A1030,'Requirement Overview'!C:C,'Requirement Overview'!G:G))</f>
        <v>Micron</v>
      </c>
      <c r="H1030" s="139" t="s">
        <v>3787</v>
      </c>
      <c r="I1030" s="113" t="s">
        <v>519</v>
      </c>
      <c r="J1030" s="19" t="s">
        <v>3788</v>
      </c>
      <c r="K1030" s="24">
        <v>8238519172</v>
      </c>
      <c r="L1030" s="113" t="s">
        <v>3789</v>
      </c>
      <c r="M1030" s="113" t="s">
        <v>506</v>
      </c>
      <c r="N1030" s="24" t="s">
        <v>3790</v>
      </c>
      <c r="P1030" s="113" t="s">
        <v>3234</v>
      </c>
      <c r="Q1030" s="24" t="s">
        <v>3268</v>
      </c>
      <c r="S1030" s="24" t="s">
        <v>601</v>
      </c>
      <c r="T1030" s="24" t="s">
        <v>103</v>
      </c>
      <c r="U1030" s="469">
        <v>46105</v>
      </c>
      <c r="V1030" s="469">
        <v>46105</v>
      </c>
    </row>
    <row r="1031" spans="1:30" ht="15" customHeight="1">
      <c r="A1031" s="24" t="s">
        <v>140</v>
      </c>
      <c r="B1031" s="24" t="s">
        <v>520</v>
      </c>
      <c r="C1031" s="103" t="str">
        <f>IF(ISBLANK(B1031),"",_xlfn.XLOOKUP(B1031,Recruiter!A:A,Recruiter!B:B))</f>
        <v>Narthana</v>
      </c>
      <c r="D1031" s="103" t="str">
        <f>IF(ISBLANK(A1031),"",_xlfn.XLOOKUP(A1031,'Requirement Overview'!C:C,'Requirement Overview'!E:E))</f>
        <v>Talme</v>
      </c>
      <c r="E1031" s="84" t="str">
        <f>IF(ISBLANK(A1031),"",_xlfn.XLOOKUP(A1031,'Requirement Overview'!C:C,'Requirement Overview'!H:H))</f>
        <v>Non - IT</v>
      </c>
      <c r="F1031" s="445" t="str">
        <f>IF(ISBLANK(A1031),"",_xlfn.XLOOKUP(A1031,'Requirement Overview'!C:C,'Requirement Overview'!I:I))</f>
        <v>Production Operator</v>
      </c>
      <c r="G1031" s="62" t="str">
        <f>IF(ISBLANK(A1031),"",_xlfn.XLOOKUP(A1031,'Requirement Overview'!C:C,'Requirement Overview'!G:G))</f>
        <v>Micron</v>
      </c>
      <c r="H1031" s="139" t="s">
        <v>3791</v>
      </c>
      <c r="I1031" s="113" t="s">
        <v>519</v>
      </c>
      <c r="J1031" s="25" t="s">
        <v>3792</v>
      </c>
      <c r="K1031" s="24">
        <v>8927874296</v>
      </c>
      <c r="L1031" s="113" t="s">
        <v>3789</v>
      </c>
      <c r="M1031" s="113" t="s">
        <v>1258</v>
      </c>
      <c r="N1031" s="113" t="s">
        <v>3793</v>
      </c>
      <c r="P1031" s="113" t="s">
        <v>569</v>
      </c>
      <c r="Q1031" s="24" t="s">
        <v>3268</v>
      </c>
      <c r="S1031" s="24" t="s">
        <v>601</v>
      </c>
      <c r="T1031" s="24" t="s">
        <v>103</v>
      </c>
      <c r="U1031" s="469">
        <v>46106</v>
      </c>
      <c r="V1031" s="469">
        <v>46106</v>
      </c>
    </row>
    <row r="1032" spans="1:30" ht="15" customHeight="1">
      <c r="A1032" s="24" t="s">
        <v>140</v>
      </c>
      <c r="B1032" s="24" t="s">
        <v>520</v>
      </c>
      <c r="C1032" s="103" t="str">
        <f>IF(ISBLANK(B1032),"",_xlfn.XLOOKUP(B1032,Recruiter!A:A,Recruiter!B:B))</f>
        <v>Narthana</v>
      </c>
      <c r="D1032" s="103" t="str">
        <f>IF(ISBLANK(A1032),"",_xlfn.XLOOKUP(A1032,'Requirement Overview'!C:C,'Requirement Overview'!E:E))</f>
        <v>Talme</v>
      </c>
      <c r="E1032" s="84" t="str">
        <f>IF(ISBLANK(A1032),"",_xlfn.XLOOKUP(A1032,'Requirement Overview'!C:C,'Requirement Overview'!H:H))</f>
        <v>Non - IT</v>
      </c>
      <c r="F1032" s="445" t="str">
        <f>IF(ISBLANK(A1032),"",_xlfn.XLOOKUP(A1032,'Requirement Overview'!C:C,'Requirement Overview'!I:I))</f>
        <v>Production Operator</v>
      </c>
      <c r="G1032" s="62" t="str">
        <f>IF(ISBLANK(A1032),"",_xlfn.XLOOKUP(A1032,'Requirement Overview'!C:C,'Requirement Overview'!G:G))</f>
        <v>Micron</v>
      </c>
      <c r="H1032" s="113" t="s">
        <v>3794</v>
      </c>
      <c r="I1032" s="113" t="s">
        <v>497</v>
      </c>
      <c r="J1032" s="19" t="s">
        <v>3795</v>
      </c>
      <c r="K1032" s="24">
        <v>9696086788</v>
      </c>
      <c r="L1032" s="113" t="s">
        <v>733</v>
      </c>
      <c r="M1032" s="113" t="s">
        <v>3377</v>
      </c>
      <c r="N1032" s="113" t="s">
        <v>3796</v>
      </c>
      <c r="P1032" s="113" t="s">
        <v>3234</v>
      </c>
      <c r="Q1032" s="24" t="s">
        <v>3268</v>
      </c>
      <c r="S1032" s="24" t="s">
        <v>601</v>
      </c>
      <c r="T1032" s="24" t="s">
        <v>103</v>
      </c>
      <c r="U1032" s="469">
        <v>46106</v>
      </c>
      <c r="V1032" s="469">
        <v>46106</v>
      </c>
    </row>
    <row r="1033" spans="1:30" ht="15" customHeight="1">
      <c r="A1033" s="24" t="s">
        <v>162</v>
      </c>
      <c r="B1033" s="24" t="s">
        <v>520</v>
      </c>
      <c r="C1033" s="103" t="str">
        <f>IF(ISBLANK(B1033),"",_xlfn.XLOOKUP(B1033,Recruiter!A:A,Recruiter!B:B))</f>
        <v>Narthana</v>
      </c>
      <c r="D1033" s="103" t="str">
        <f>IF(ISBLANK(A1033),"",_xlfn.XLOOKUP(A1033,'Requirement Overview'!C:C,'Requirement Overview'!E:E))</f>
        <v>Talme</v>
      </c>
      <c r="E1033" s="84" t="str">
        <f>IF(ISBLANK(A1033),"",_xlfn.XLOOKUP(A1033,'Requirement Overview'!C:C,'Requirement Overview'!H:H))</f>
        <v>IT</v>
      </c>
      <c r="F1033" s="445" t="str">
        <f>IF(ISBLANK(A1033),"",_xlfn.XLOOKUP(A1033,'Requirement Overview'!C:C,'Requirement Overview'!I:I))</f>
        <v xml:space="preserve">.Net Developer  </v>
      </c>
      <c r="G1033" s="62" t="str">
        <f>IF(ISBLANK(A1033),"",_xlfn.XLOOKUP(A1033,'Requirement Overview'!C:C,'Requirement Overview'!G:G))</f>
        <v>EMIDS</v>
      </c>
      <c r="H1033" s="440" t="s">
        <v>3797</v>
      </c>
      <c r="I1033" s="440" t="s">
        <v>674</v>
      </c>
      <c r="J1033" s="441" t="s">
        <v>3798</v>
      </c>
      <c r="K1033" s="440">
        <v>7259171070</v>
      </c>
      <c r="L1033" s="440" t="s">
        <v>311</v>
      </c>
      <c r="M1033" s="440" t="s">
        <v>3799</v>
      </c>
      <c r="N1033" s="440" t="s">
        <v>3800</v>
      </c>
      <c r="O1033" s="440" t="s">
        <v>3801</v>
      </c>
      <c r="P1033" s="440" t="s">
        <v>268</v>
      </c>
      <c r="Q1033" s="440" t="s">
        <v>268</v>
      </c>
      <c r="R1033" s="440" t="s">
        <v>353</v>
      </c>
      <c r="S1033" s="24" t="s">
        <v>518</v>
      </c>
      <c r="T1033" s="24" t="s">
        <v>103</v>
      </c>
      <c r="U1033" s="469">
        <v>46107</v>
      </c>
      <c r="V1033" s="469">
        <v>46107</v>
      </c>
    </row>
    <row r="1034" spans="1:30" ht="15" customHeight="1">
      <c r="A1034" s="24" t="s">
        <v>162</v>
      </c>
      <c r="B1034" s="24" t="s">
        <v>520</v>
      </c>
      <c r="C1034" s="103" t="str">
        <f>IF(ISBLANK(B1034),"",_xlfn.XLOOKUP(B1034,Recruiter!A:A,Recruiter!B:B))</f>
        <v>Narthana</v>
      </c>
      <c r="D1034" s="103" t="str">
        <f>IF(ISBLANK(A1034),"",_xlfn.XLOOKUP(A1034,'Requirement Overview'!C:C,'Requirement Overview'!E:E))</f>
        <v>Talme</v>
      </c>
      <c r="E1034" s="84" t="str">
        <f>IF(ISBLANK(A1034),"",_xlfn.XLOOKUP(A1034,'Requirement Overview'!C:C,'Requirement Overview'!H:H))</f>
        <v>IT</v>
      </c>
      <c r="F1034" s="445" t="str">
        <f>IF(ISBLANK(A1034),"",_xlfn.XLOOKUP(A1034,'Requirement Overview'!C:C,'Requirement Overview'!I:I))</f>
        <v xml:space="preserve">.Net Developer  </v>
      </c>
      <c r="G1034" s="62" t="str">
        <f>IF(ISBLANK(A1034),"",_xlfn.XLOOKUP(A1034,'Requirement Overview'!C:C,'Requirement Overview'!G:G))</f>
        <v>EMIDS</v>
      </c>
      <c r="H1034" s="440" t="s">
        <v>3802</v>
      </c>
      <c r="I1034" s="440" t="s">
        <v>674</v>
      </c>
      <c r="J1034" s="441" t="s">
        <v>3803</v>
      </c>
      <c r="K1034" s="440">
        <v>9949867566</v>
      </c>
      <c r="L1034" s="440" t="s">
        <v>378</v>
      </c>
      <c r="M1034" s="440" t="s">
        <v>3799</v>
      </c>
      <c r="N1034" s="440" t="s">
        <v>1738</v>
      </c>
      <c r="O1034" s="440" t="s">
        <v>715</v>
      </c>
      <c r="P1034" s="440" t="s">
        <v>879</v>
      </c>
      <c r="Q1034" s="440" t="s">
        <v>879</v>
      </c>
      <c r="R1034" s="440" t="s">
        <v>474</v>
      </c>
      <c r="S1034" s="24" t="s">
        <v>518</v>
      </c>
      <c r="T1034" s="24" t="s">
        <v>103</v>
      </c>
      <c r="U1034" s="469">
        <v>46107</v>
      </c>
      <c r="V1034" s="469">
        <v>46107</v>
      </c>
    </row>
    <row r="1035" spans="1:30" ht="15" customHeight="1">
      <c r="A1035" s="24" t="s">
        <v>162</v>
      </c>
      <c r="B1035" s="24" t="s">
        <v>520</v>
      </c>
      <c r="C1035" s="103" t="str">
        <f>IF(ISBLANK(B1035),"",_xlfn.XLOOKUP(B1035,Recruiter!A:A,Recruiter!B:B))</f>
        <v>Narthana</v>
      </c>
      <c r="D1035" s="103" t="str">
        <f>IF(ISBLANK(A1035),"",_xlfn.XLOOKUP(A1035,'Requirement Overview'!C:C,'Requirement Overview'!E:E))</f>
        <v>Talme</v>
      </c>
      <c r="E1035" s="19" t="str">
        <f>IF(ISBLANK(A1035),"",_xlfn.XLOOKUP(A1035,'Requirement Overview'!C:C,'Requirement Overview'!H:H))</f>
        <v>IT</v>
      </c>
      <c r="F1035" s="445" t="str">
        <f>IF(ISBLANK(A1035),"",_xlfn.XLOOKUP(A1035,'Requirement Overview'!C:C,'Requirement Overview'!I:I))</f>
        <v xml:space="preserve">.Net Developer  </v>
      </c>
      <c r="G1035" s="62" t="str">
        <f>IF(ISBLANK(A1035),"",_xlfn.XLOOKUP(A1035,'Requirement Overview'!C:C,'Requirement Overview'!G:G))</f>
        <v>EMIDS</v>
      </c>
      <c r="H1035" s="440" t="s">
        <v>3804</v>
      </c>
      <c r="I1035" s="440" t="s">
        <v>262</v>
      </c>
      <c r="J1035" s="442" t="s">
        <v>3805</v>
      </c>
      <c r="K1035" s="440">
        <v>8247592406</v>
      </c>
      <c r="L1035" s="440" t="s">
        <v>305</v>
      </c>
      <c r="M1035" s="440" t="s">
        <v>3743</v>
      </c>
      <c r="N1035" s="440" t="s">
        <v>3806</v>
      </c>
      <c r="O1035" s="440" t="s">
        <v>757</v>
      </c>
      <c r="P1035" s="440" t="s">
        <v>879</v>
      </c>
      <c r="Q1035" s="440" t="s">
        <v>879</v>
      </c>
      <c r="R1035" s="440" t="s">
        <v>1853</v>
      </c>
      <c r="S1035" s="24" t="s">
        <v>601</v>
      </c>
      <c r="T1035" s="24" t="s">
        <v>103</v>
      </c>
      <c r="U1035" s="469">
        <v>46107</v>
      </c>
      <c r="V1035" s="469">
        <v>46107</v>
      </c>
    </row>
    <row r="1036" spans="1:30" ht="15" customHeight="1">
      <c r="A1036" s="24" t="s">
        <v>162</v>
      </c>
      <c r="B1036" s="24" t="s">
        <v>520</v>
      </c>
      <c r="C1036" s="103" t="str">
        <f>IF(ISBLANK(B1036),"",_xlfn.XLOOKUP(B1036,Recruiter!A:A,Recruiter!B:B))</f>
        <v>Narthana</v>
      </c>
      <c r="D1036" s="103" t="str">
        <f>IF(ISBLANK(A1036),"",_xlfn.XLOOKUP(A1036,'Requirement Overview'!C:C,'Requirement Overview'!E:E))</f>
        <v>Talme</v>
      </c>
      <c r="E1036" s="19" t="str">
        <f>IF(ISBLANK(A1036),"",_xlfn.XLOOKUP(A1036,'Requirement Overview'!C:C,'Requirement Overview'!H:H))</f>
        <v>IT</v>
      </c>
      <c r="F1036" s="445" t="str">
        <f>IF(ISBLANK(A1036),"",_xlfn.XLOOKUP(A1036,'Requirement Overview'!C:C,'Requirement Overview'!I:I))</f>
        <v xml:space="preserve">.Net Developer  </v>
      </c>
      <c r="G1036" s="62" t="str">
        <f>IF(ISBLANK(A1036),"",_xlfn.XLOOKUP(A1036,'Requirement Overview'!C:C,'Requirement Overview'!G:G))</f>
        <v>EMIDS</v>
      </c>
      <c r="H1036" s="440" t="s">
        <v>3807</v>
      </c>
      <c r="I1036" s="440" t="s">
        <v>674</v>
      </c>
      <c r="J1036" s="442" t="s">
        <v>3808</v>
      </c>
      <c r="K1036" s="440">
        <v>7022056577</v>
      </c>
      <c r="L1036" s="440" t="s">
        <v>421</v>
      </c>
      <c r="M1036" s="440" t="s">
        <v>1852</v>
      </c>
      <c r="N1036" s="440" t="s">
        <v>3809</v>
      </c>
      <c r="O1036" s="440" t="s">
        <v>3810</v>
      </c>
      <c r="P1036" s="440" t="s">
        <v>268</v>
      </c>
      <c r="Q1036" s="440" t="s">
        <v>268</v>
      </c>
      <c r="R1036" s="440" t="s">
        <v>353</v>
      </c>
      <c r="S1036" s="24" t="s">
        <v>518</v>
      </c>
      <c r="T1036" s="24" t="s">
        <v>103</v>
      </c>
      <c r="U1036" s="469">
        <v>46107</v>
      </c>
      <c r="V1036" s="469">
        <v>46107</v>
      </c>
    </row>
    <row r="1037" spans="1:30" ht="15" customHeight="1">
      <c r="A1037" s="24" t="s">
        <v>162</v>
      </c>
      <c r="B1037" s="24" t="s">
        <v>520</v>
      </c>
      <c r="C1037" s="103" t="str">
        <f>IF(ISBLANK(B1037),"",_xlfn.XLOOKUP(B1037,Recruiter!A:A,Recruiter!B:B))</f>
        <v>Narthana</v>
      </c>
      <c r="D1037" s="103" t="str">
        <f>IF(ISBLANK(A1037),"",_xlfn.XLOOKUP(A1037,'Requirement Overview'!C:C,'Requirement Overview'!E:E))</f>
        <v>Talme</v>
      </c>
      <c r="E1037" s="19" t="str">
        <f>IF(ISBLANK(A1037),"",_xlfn.XLOOKUP(A1037,'Requirement Overview'!C:C,'Requirement Overview'!H:H))</f>
        <v>IT</v>
      </c>
      <c r="F1037" s="445" t="str">
        <f>IF(ISBLANK(A1037),"",_xlfn.XLOOKUP(A1037,'Requirement Overview'!C:C,'Requirement Overview'!I:I))</f>
        <v xml:space="preserve">.Net Developer  </v>
      </c>
      <c r="G1037" s="62" t="str">
        <f>IF(ISBLANK(A1037),"",_xlfn.XLOOKUP(A1037,'Requirement Overview'!C:C,'Requirement Overview'!G:G))</f>
        <v>EMIDS</v>
      </c>
      <c r="H1037" s="440" t="s">
        <v>3811</v>
      </c>
      <c r="I1037" s="440" t="s">
        <v>674</v>
      </c>
      <c r="J1037" s="442" t="s">
        <v>3812</v>
      </c>
      <c r="K1037" s="440">
        <v>9502861304</v>
      </c>
      <c r="L1037" s="440" t="s">
        <v>305</v>
      </c>
      <c r="M1037" s="440" t="s">
        <v>351</v>
      </c>
      <c r="N1037" s="440" t="s">
        <v>3813</v>
      </c>
      <c r="O1037" s="440" t="s">
        <v>1652</v>
      </c>
      <c r="P1037" s="440" t="s">
        <v>268</v>
      </c>
      <c r="Q1037" s="440" t="s">
        <v>268</v>
      </c>
      <c r="R1037" s="440" t="s">
        <v>548</v>
      </c>
      <c r="S1037" s="24" t="s">
        <v>518</v>
      </c>
      <c r="T1037" s="24" t="s">
        <v>103</v>
      </c>
      <c r="U1037" s="469">
        <v>46107</v>
      </c>
      <c r="V1037" s="469">
        <v>46107</v>
      </c>
    </row>
    <row r="1038" spans="1:30" ht="15" customHeight="1">
      <c r="A1038" s="24" t="s">
        <v>162</v>
      </c>
      <c r="B1038" s="24" t="s">
        <v>520</v>
      </c>
      <c r="C1038" s="103" t="str">
        <f>IF(ISBLANK(B1038),"",_xlfn.XLOOKUP(B1038,Recruiter!A:A,Recruiter!B:B))</f>
        <v>Narthana</v>
      </c>
      <c r="D1038" s="103" t="str">
        <f>IF(ISBLANK(A1038),"",_xlfn.XLOOKUP(A1038,'Requirement Overview'!C:C,'Requirement Overview'!E:E))</f>
        <v>Talme</v>
      </c>
      <c r="E1038" s="19" t="str">
        <f>IF(ISBLANK(A1038),"",_xlfn.XLOOKUP(A1038,'Requirement Overview'!C:C,'Requirement Overview'!H:H))</f>
        <v>IT</v>
      </c>
      <c r="F1038" s="445" t="str">
        <f>IF(ISBLANK(A1038),"",_xlfn.XLOOKUP(A1038,'Requirement Overview'!C:C,'Requirement Overview'!I:I))</f>
        <v xml:space="preserve">.Net Developer  </v>
      </c>
      <c r="G1038" s="62" t="str">
        <f>IF(ISBLANK(A1038),"",_xlfn.XLOOKUP(A1038,'Requirement Overview'!C:C,'Requirement Overview'!G:G))</f>
        <v>EMIDS</v>
      </c>
      <c r="H1038" s="440" t="s">
        <v>3814</v>
      </c>
      <c r="I1038" s="440" t="s">
        <v>3815</v>
      </c>
      <c r="J1038" s="442" t="s">
        <v>3816</v>
      </c>
      <c r="K1038" s="440">
        <v>9538023439</v>
      </c>
      <c r="L1038" s="440" t="s">
        <v>378</v>
      </c>
      <c r="M1038" s="440" t="s">
        <v>1852</v>
      </c>
      <c r="N1038" s="440" t="s">
        <v>686</v>
      </c>
      <c r="O1038" s="440" t="s">
        <v>489</v>
      </c>
      <c r="P1038" s="440" t="s">
        <v>268</v>
      </c>
      <c r="Q1038" s="440" t="s">
        <v>268</v>
      </c>
      <c r="R1038" s="440" t="s">
        <v>353</v>
      </c>
      <c r="S1038" s="24" t="s">
        <v>601</v>
      </c>
      <c r="T1038" s="24" t="s">
        <v>103</v>
      </c>
      <c r="U1038" s="469">
        <v>46107</v>
      </c>
      <c r="V1038" s="469">
        <v>46107</v>
      </c>
    </row>
    <row r="1039" spans="1:30" ht="15" customHeight="1">
      <c r="A1039" s="24" t="s">
        <v>162</v>
      </c>
      <c r="B1039" s="24" t="s">
        <v>520</v>
      </c>
      <c r="C1039" s="103" t="str">
        <f>IF(ISBLANK(B1039),"",_xlfn.XLOOKUP(B1039,Recruiter!A:A,Recruiter!B:B))</f>
        <v>Narthana</v>
      </c>
      <c r="D1039" s="103" t="str">
        <f>IF(ISBLANK(A1039),"",_xlfn.XLOOKUP(A1039,'Requirement Overview'!C:C,'Requirement Overview'!E:E))</f>
        <v>Talme</v>
      </c>
      <c r="E1039" s="19" t="str">
        <f>IF(ISBLANK(A1039),"",_xlfn.XLOOKUP(A1039,'Requirement Overview'!C:C,'Requirement Overview'!H:H))</f>
        <v>IT</v>
      </c>
      <c r="F1039" s="445" t="str">
        <f>IF(ISBLANK(A1039),"",_xlfn.XLOOKUP(A1039,'Requirement Overview'!C:C,'Requirement Overview'!I:I))</f>
        <v xml:space="preserve">.Net Developer  </v>
      </c>
      <c r="G1039" s="62" t="str">
        <f>IF(ISBLANK(A1039),"",_xlfn.XLOOKUP(A1039,'Requirement Overview'!C:C,'Requirement Overview'!G:G))</f>
        <v>EMIDS</v>
      </c>
      <c r="H1039" s="440" t="s">
        <v>3817</v>
      </c>
      <c r="I1039" s="440" t="s">
        <v>497</v>
      </c>
      <c r="J1039" s="442" t="s">
        <v>3818</v>
      </c>
      <c r="K1039" s="440">
        <v>9986626555</v>
      </c>
      <c r="L1039" s="440" t="s">
        <v>311</v>
      </c>
      <c r="M1039" s="440" t="s">
        <v>351</v>
      </c>
      <c r="N1039" s="440" t="s">
        <v>3819</v>
      </c>
      <c r="O1039" s="440" t="s">
        <v>541</v>
      </c>
      <c r="P1039" s="440" t="s">
        <v>268</v>
      </c>
      <c r="Q1039" s="440" t="s">
        <v>268</v>
      </c>
      <c r="R1039" s="440" t="s">
        <v>691</v>
      </c>
      <c r="S1039" s="24" t="s">
        <v>601</v>
      </c>
      <c r="T1039" s="24" t="s">
        <v>103</v>
      </c>
      <c r="U1039" s="469">
        <v>46107</v>
      </c>
      <c r="V1039" s="469">
        <v>46107</v>
      </c>
    </row>
    <row r="1040" spans="1:30" ht="15" customHeight="1">
      <c r="A1040" s="24" t="s">
        <v>162</v>
      </c>
      <c r="B1040" s="24" t="s">
        <v>520</v>
      </c>
      <c r="C1040" s="103" t="str">
        <f>IF(ISBLANK(B1040),"",_xlfn.XLOOKUP(B1040,Recruiter!A:A,Recruiter!B:B))</f>
        <v>Narthana</v>
      </c>
      <c r="D1040" s="103" t="str">
        <f>IF(ISBLANK(A1040),"",_xlfn.XLOOKUP(A1040,'Requirement Overview'!C:C,'Requirement Overview'!E:E))</f>
        <v>Talme</v>
      </c>
      <c r="E1040" s="19" t="str">
        <f>IF(ISBLANK(A1040),"",_xlfn.XLOOKUP(A1040,'Requirement Overview'!C:C,'Requirement Overview'!H:H))</f>
        <v>IT</v>
      </c>
      <c r="F1040" s="445" t="str">
        <f>IF(ISBLANK(A1040),"",_xlfn.XLOOKUP(A1040,'Requirement Overview'!C:C,'Requirement Overview'!I:I))</f>
        <v xml:space="preserve">.Net Developer  </v>
      </c>
      <c r="G1040" s="62" t="str">
        <f>IF(ISBLANK(A1040),"",_xlfn.XLOOKUP(A1040,'Requirement Overview'!C:C,'Requirement Overview'!G:G))</f>
        <v>EMIDS</v>
      </c>
      <c r="H1040" s="113" t="s">
        <v>3820</v>
      </c>
      <c r="I1040" s="113" t="s">
        <v>674</v>
      </c>
      <c r="J1040" s="633" t="s">
        <v>3821</v>
      </c>
      <c r="K1040" s="113">
        <v>7708986119</v>
      </c>
      <c r="L1040" s="113" t="s">
        <v>311</v>
      </c>
      <c r="M1040" s="113" t="s">
        <v>2647</v>
      </c>
      <c r="N1040" s="112" t="s">
        <v>3822</v>
      </c>
      <c r="O1040" s="113" t="s">
        <v>548</v>
      </c>
      <c r="P1040" s="113" t="s">
        <v>3823</v>
      </c>
      <c r="Q1040" s="113" t="s">
        <v>268</v>
      </c>
      <c r="R1040" s="113" t="s">
        <v>1653</v>
      </c>
      <c r="S1040" s="24" t="s">
        <v>518</v>
      </c>
      <c r="T1040" s="24" t="s">
        <v>103</v>
      </c>
      <c r="U1040" s="469">
        <v>46107</v>
      </c>
      <c r="V1040" s="469">
        <v>46107</v>
      </c>
    </row>
    <row r="1041" spans="1:31" ht="15" customHeight="1">
      <c r="A1041" s="24" t="s">
        <v>162</v>
      </c>
      <c r="B1041" s="24" t="s">
        <v>520</v>
      </c>
      <c r="C1041" s="103" t="str">
        <f>IF(ISBLANK(B1041),"",_xlfn.XLOOKUP(B1041,Recruiter!A:A,Recruiter!B:B))</f>
        <v>Narthana</v>
      </c>
      <c r="D1041" s="103" t="str">
        <f>IF(ISBLANK(A1041),"",_xlfn.XLOOKUP(A1041,'Requirement Overview'!C:C,'Requirement Overview'!E:E))</f>
        <v>Talme</v>
      </c>
      <c r="E1041" s="84" t="str">
        <f>IF(ISBLANK(A1041),"",_xlfn.XLOOKUP(A1041,'Requirement Overview'!C:C,'Requirement Overview'!H:H))</f>
        <v>IT</v>
      </c>
      <c r="F1041" s="445" t="str">
        <f>IF(ISBLANK(A1041),"",_xlfn.XLOOKUP(A1041,'Requirement Overview'!C:C,'Requirement Overview'!I:I))</f>
        <v xml:space="preserve">.Net Developer  </v>
      </c>
      <c r="G1041" s="62" t="str">
        <f>IF(ISBLANK(A1041),"",_xlfn.XLOOKUP(A1041,'Requirement Overview'!C:C,'Requirement Overview'!G:G))</f>
        <v>EMIDS</v>
      </c>
      <c r="H1041" s="113" t="s">
        <v>3824</v>
      </c>
      <c r="I1041" s="113" t="s">
        <v>674</v>
      </c>
      <c r="J1041" s="244" t="s">
        <v>3825</v>
      </c>
      <c r="K1041" s="113">
        <v>9987814183</v>
      </c>
      <c r="L1041" s="113" t="s">
        <v>305</v>
      </c>
      <c r="M1041" s="113" t="s">
        <v>1763</v>
      </c>
      <c r="N1041" s="112" t="s">
        <v>3826</v>
      </c>
      <c r="O1041" s="113" t="s">
        <v>1145</v>
      </c>
      <c r="P1041" s="113" t="s">
        <v>1374</v>
      </c>
      <c r="Q1041" s="113" t="s">
        <v>879</v>
      </c>
      <c r="R1041" s="113" t="s">
        <v>3827</v>
      </c>
      <c r="S1041" s="24" t="s">
        <v>518</v>
      </c>
      <c r="T1041" s="24" t="s">
        <v>103</v>
      </c>
      <c r="U1041" s="469">
        <v>46107</v>
      </c>
      <c r="V1041" s="469">
        <v>46107</v>
      </c>
    </row>
    <row r="1042" spans="1:31" ht="15" customHeight="1">
      <c r="A1042" s="24" t="s">
        <v>162</v>
      </c>
      <c r="B1042" s="24" t="s">
        <v>520</v>
      </c>
      <c r="C1042" s="103" t="str">
        <f>IF(ISBLANK(B1042),"",_xlfn.XLOOKUP(B1042,Recruiter!A:A,Recruiter!B:B))</f>
        <v>Narthana</v>
      </c>
      <c r="D1042" s="103" t="str">
        <f>IF(ISBLANK(A1042),"",_xlfn.XLOOKUP(A1042,'Requirement Overview'!C:C,'Requirement Overview'!E:E))</f>
        <v>Talme</v>
      </c>
      <c r="E1042" s="84" t="str">
        <f>IF(ISBLANK(A1042),"",_xlfn.XLOOKUP(A1042,'Requirement Overview'!C:C,'Requirement Overview'!H:H))</f>
        <v>IT</v>
      </c>
      <c r="F1042" s="445" t="str">
        <f>IF(ISBLANK(A1042),"",_xlfn.XLOOKUP(A1042,'Requirement Overview'!C:C,'Requirement Overview'!I:I))</f>
        <v xml:space="preserve">.Net Developer  </v>
      </c>
      <c r="G1042" s="62" t="str">
        <f>IF(ISBLANK(A1042),"",_xlfn.XLOOKUP(A1042,'Requirement Overview'!C:C,'Requirement Overview'!G:G))</f>
        <v>EMIDS</v>
      </c>
      <c r="H1042" s="113" t="s">
        <v>3828</v>
      </c>
      <c r="I1042" s="113" t="s">
        <v>674</v>
      </c>
      <c r="J1042" s="244" t="s">
        <v>3829</v>
      </c>
      <c r="K1042" s="113">
        <v>6364302933</v>
      </c>
      <c r="L1042" s="113" t="s">
        <v>350</v>
      </c>
      <c r="M1042" s="113" t="s">
        <v>1598</v>
      </c>
      <c r="N1042" s="112" t="s">
        <v>3830</v>
      </c>
      <c r="O1042" s="113" t="s">
        <v>1653</v>
      </c>
      <c r="P1042" s="113" t="s">
        <v>268</v>
      </c>
      <c r="Q1042" s="113" t="s">
        <v>268</v>
      </c>
      <c r="R1042" s="113" t="s">
        <v>633</v>
      </c>
      <c r="S1042" s="24" t="s">
        <v>518</v>
      </c>
      <c r="T1042" s="24" t="s">
        <v>103</v>
      </c>
      <c r="U1042" s="469">
        <v>46107</v>
      </c>
      <c r="V1042" s="469">
        <v>46107</v>
      </c>
    </row>
    <row r="1043" spans="1:31" ht="15" customHeight="1">
      <c r="A1043" s="24" t="s">
        <v>162</v>
      </c>
      <c r="B1043" s="24" t="s">
        <v>520</v>
      </c>
      <c r="C1043" s="103" t="str">
        <f>IF(ISBLANK(B1043),"",_xlfn.XLOOKUP(B1043,Recruiter!A:A,Recruiter!B:B))</f>
        <v>Narthana</v>
      </c>
      <c r="D1043" s="103" t="str">
        <f>IF(ISBLANK(A1043),"",_xlfn.XLOOKUP(A1043,'Requirement Overview'!C:C,'Requirement Overview'!E:E))</f>
        <v>Talme</v>
      </c>
      <c r="E1043" s="84" t="str">
        <f>IF(ISBLANK(A1043),"",_xlfn.XLOOKUP(A1043,'Requirement Overview'!C:C,'Requirement Overview'!H:H))</f>
        <v>IT</v>
      </c>
      <c r="F1043" s="445" t="str">
        <f>IF(ISBLANK(A1043),"",_xlfn.XLOOKUP(A1043,'Requirement Overview'!C:C,'Requirement Overview'!I:I))</f>
        <v xml:space="preserve">.Net Developer  </v>
      </c>
      <c r="G1043" s="62" t="str">
        <f>IF(ISBLANK(A1043),"",_xlfn.XLOOKUP(A1043,'Requirement Overview'!C:C,'Requirement Overview'!G:G))</f>
        <v>EMIDS</v>
      </c>
      <c r="H1043" s="113" t="s">
        <v>3831</v>
      </c>
      <c r="I1043" s="113" t="s">
        <v>2625</v>
      </c>
      <c r="J1043" s="244" t="s">
        <v>3832</v>
      </c>
      <c r="K1043" s="113">
        <v>9788112410</v>
      </c>
      <c r="L1043" s="113" t="s">
        <v>378</v>
      </c>
      <c r="M1043" s="113" t="s">
        <v>343</v>
      </c>
      <c r="N1043" s="112" t="s">
        <v>3833</v>
      </c>
      <c r="O1043" s="113" t="s">
        <v>1853</v>
      </c>
      <c r="P1043" s="113" t="s">
        <v>1609</v>
      </c>
      <c r="Q1043" s="113" t="s">
        <v>268</v>
      </c>
      <c r="R1043" s="113" t="s">
        <v>716</v>
      </c>
      <c r="S1043" s="24" t="s">
        <v>601</v>
      </c>
      <c r="T1043" s="24" t="s">
        <v>103</v>
      </c>
      <c r="U1043" s="469">
        <v>46107</v>
      </c>
      <c r="V1043" s="469">
        <v>46107</v>
      </c>
    </row>
    <row r="1044" spans="1:31" ht="15" customHeight="1">
      <c r="A1044" s="24" t="s">
        <v>140</v>
      </c>
      <c r="B1044" s="24" t="s">
        <v>520</v>
      </c>
      <c r="C1044" s="103" t="str">
        <f>IF(ISBLANK(B1044),"",_xlfn.XLOOKUP(B1044,Recruiter!A:A,Recruiter!B:B))</f>
        <v>Narthana</v>
      </c>
      <c r="D1044" s="103" t="str">
        <f>IF(ISBLANK(A1044),"",_xlfn.XLOOKUP(A1044,'Requirement Overview'!C:C,'Requirement Overview'!E:E))</f>
        <v>Talme</v>
      </c>
      <c r="E1044" s="84" t="str">
        <f>IF(ISBLANK(A1044),"",_xlfn.XLOOKUP(A1044,'Requirement Overview'!C:C,'Requirement Overview'!H:H))</f>
        <v>Non - IT</v>
      </c>
      <c r="F1044" s="445" t="str">
        <f>IF(ISBLANK(A1044),"",_xlfn.XLOOKUP(A1044,'Requirement Overview'!C:C,'Requirement Overview'!I:I))</f>
        <v>Production Operator</v>
      </c>
      <c r="G1044" s="62" t="str">
        <f>IF(ISBLANK(A1044),"",_xlfn.XLOOKUP(A1044,'Requirement Overview'!C:C,'Requirement Overview'!G:G))</f>
        <v>Micron</v>
      </c>
      <c r="H1044" s="21" t="s">
        <v>3834</v>
      </c>
      <c r="I1044" s="24" t="s">
        <v>262</v>
      </c>
      <c r="J1044" s="19" t="s">
        <v>3835</v>
      </c>
      <c r="K1044" s="24">
        <v>9428683252</v>
      </c>
      <c r="L1044" s="443" t="s">
        <v>3322</v>
      </c>
      <c r="M1044" s="24" t="s">
        <v>2576</v>
      </c>
      <c r="N1044" s="24" t="s">
        <v>3836</v>
      </c>
      <c r="P1044" s="443" t="s">
        <v>2487</v>
      </c>
      <c r="Q1044" s="24" t="s">
        <v>3268</v>
      </c>
      <c r="S1044" s="24" t="s">
        <v>601</v>
      </c>
      <c r="T1044" s="24" t="s">
        <v>103</v>
      </c>
      <c r="U1044" s="469">
        <v>46108</v>
      </c>
      <c r="V1044" s="469">
        <v>46108</v>
      </c>
    </row>
    <row r="1045" spans="1:31" ht="15" customHeight="1">
      <c r="A1045" s="24" t="s">
        <v>131</v>
      </c>
      <c r="B1045" s="24" t="s">
        <v>520</v>
      </c>
      <c r="C1045" s="103" t="str">
        <f>IF(ISBLANK(B1045),"",_xlfn.XLOOKUP(B1045,Recruiter!A:A,Recruiter!B:B))</f>
        <v>Narthana</v>
      </c>
      <c r="D1045" s="103" t="str">
        <f>IF(ISBLANK(A1045),"",_xlfn.XLOOKUP(A1045,'Requirement Overview'!C:C,'Requirement Overview'!E:E))</f>
        <v>Talme</v>
      </c>
      <c r="E1045" s="84" t="str">
        <f>IF(ISBLANK(A1045),"",_xlfn.XLOOKUP(A1045,'Requirement Overview'!C:C,'Requirement Overview'!H:H))</f>
        <v>IT</v>
      </c>
      <c r="F1045" s="445" t="str">
        <f>IF(ISBLANK(A1045),"",_xlfn.XLOOKUP(A1045,'Requirement Overview'!C:C,'Requirement Overview'!I:I))</f>
        <v>Technical Lead</v>
      </c>
      <c r="G1045" s="62" t="str">
        <f>IF(ISBLANK(A1045),"",_xlfn.XLOOKUP(A1045,'Requirement Overview'!C:C,'Requirement Overview'!G:G))</f>
        <v>Anika Solutions</v>
      </c>
      <c r="H1045" s="440" t="s">
        <v>3837</v>
      </c>
      <c r="I1045" s="440" t="s">
        <v>3838</v>
      </c>
      <c r="J1045" s="441" t="s">
        <v>3839</v>
      </c>
      <c r="K1045" s="440">
        <v>8977696983</v>
      </c>
      <c r="L1045" s="440" t="s">
        <v>305</v>
      </c>
      <c r="M1045" s="440" t="s">
        <v>685</v>
      </c>
      <c r="N1045" s="440" t="s">
        <v>3840</v>
      </c>
      <c r="O1045" s="24" t="s">
        <v>2532</v>
      </c>
      <c r="P1045" s="440" t="s">
        <v>3115</v>
      </c>
      <c r="Q1045" s="440" t="s">
        <v>3115</v>
      </c>
      <c r="R1045" s="24" t="s">
        <v>1302</v>
      </c>
      <c r="S1045" s="24" t="s">
        <v>601</v>
      </c>
      <c r="T1045" s="24" t="s">
        <v>103</v>
      </c>
      <c r="U1045" s="469">
        <v>46107</v>
      </c>
      <c r="V1045" s="469">
        <v>46107</v>
      </c>
    </row>
    <row r="1046" spans="1:31" ht="15" customHeight="1">
      <c r="A1046" s="24" t="s">
        <v>131</v>
      </c>
      <c r="B1046" s="24" t="s">
        <v>520</v>
      </c>
      <c r="C1046" s="103" t="str">
        <f>IF(ISBLANK(B1046),"",_xlfn.XLOOKUP(B1046,Recruiter!A:A,Recruiter!B:B))</f>
        <v>Narthana</v>
      </c>
      <c r="D1046" s="103" t="str">
        <f>IF(ISBLANK(A1046),"",_xlfn.XLOOKUP(A1046,'Requirement Overview'!C:C,'Requirement Overview'!E:E))</f>
        <v>Talme</v>
      </c>
      <c r="E1046" s="84" t="str">
        <f>IF(ISBLANK(A1046),"",_xlfn.XLOOKUP(A1046,'Requirement Overview'!C:C,'Requirement Overview'!H:H))</f>
        <v>IT</v>
      </c>
      <c r="F1046" s="445" t="str">
        <f>IF(ISBLANK(A1046),"",_xlfn.XLOOKUP(A1046,'Requirement Overview'!C:C,'Requirement Overview'!I:I))</f>
        <v>Technical Lead</v>
      </c>
      <c r="G1046" s="62" t="str">
        <f>IF(ISBLANK(A1046),"",_xlfn.XLOOKUP(A1046,'Requirement Overview'!C:C,'Requirement Overview'!G:G))</f>
        <v>Anika Solutions</v>
      </c>
      <c r="H1046" s="440" t="s">
        <v>3841</v>
      </c>
      <c r="I1046" s="440" t="s">
        <v>519</v>
      </c>
      <c r="J1046" s="441" t="s">
        <v>3842</v>
      </c>
      <c r="K1046" s="440">
        <v>8008868764</v>
      </c>
      <c r="L1046" s="440" t="s">
        <v>305</v>
      </c>
      <c r="M1046" s="440" t="s">
        <v>379</v>
      </c>
      <c r="N1046" s="440" t="s">
        <v>3843</v>
      </c>
      <c r="O1046" s="24" t="s">
        <v>730</v>
      </c>
      <c r="P1046" s="440" t="s">
        <v>3844</v>
      </c>
      <c r="Q1046" s="440" t="s">
        <v>3844</v>
      </c>
      <c r="R1046" s="24" t="s">
        <v>368</v>
      </c>
      <c r="S1046" s="24" t="s">
        <v>601</v>
      </c>
      <c r="T1046" s="24" t="s">
        <v>103</v>
      </c>
      <c r="U1046" s="469">
        <v>46107</v>
      </c>
      <c r="V1046" s="469">
        <v>46107</v>
      </c>
    </row>
    <row r="1047" spans="1:31" ht="15" customHeight="1">
      <c r="A1047" s="47" t="s">
        <v>140</v>
      </c>
      <c r="B1047" s="47" t="s">
        <v>236</v>
      </c>
      <c r="C1047" s="103" t="str">
        <f>IF(ISBLANK(B1047),"",_xlfn.XLOOKUP(B1047,Recruiter!A:A,Recruiter!B:B))</f>
        <v>Pooja</v>
      </c>
      <c r="D1047" s="103" t="str">
        <f>IF(ISBLANK(A1047),"",_xlfn.XLOOKUP(A1047,'Requirement Overview'!C:C,'Requirement Overview'!E:E))</f>
        <v>Talme</v>
      </c>
      <c r="E1047" s="84" t="str">
        <f>IF(ISBLANK(A1047),"",_xlfn.XLOOKUP(A1047,'Requirement Overview'!C:C,'Requirement Overview'!H:H))</f>
        <v>Non - IT</v>
      </c>
      <c r="F1047" s="445" t="str">
        <f>IF(ISBLANK(A1047),"",_xlfn.XLOOKUP(A1047,'Requirement Overview'!C:C,'Requirement Overview'!I:I))</f>
        <v>Production Operator</v>
      </c>
      <c r="G1047" s="62" t="str">
        <f>IF(ISBLANK(A1047),"",_xlfn.XLOOKUP(A1047,'Requirement Overview'!C:C,'Requirement Overview'!G:G))</f>
        <v>Micron</v>
      </c>
      <c r="H1047" s="369" t="s">
        <v>3845</v>
      </c>
      <c r="I1047" s="3" t="s">
        <v>519</v>
      </c>
      <c r="J1047" s="375"/>
      <c r="K1047" s="47"/>
      <c r="L1047" s="3" t="s">
        <v>733</v>
      </c>
      <c r="M1047" s="3" t="s">
        <v>978</v>
      </c>
      <c r="N1047" s="47"/>
      <c r="O1047" s="47"/>
      <c r="P1047" s="3" t="s">
        <v>3846</v>
      </c>
      <c r="Q1047" s="47" t="s">
        <v>3268</v>
      </c>
      <c r="R1047" s="47"/>
      <c r="S1047" s="47" t="s">
        <v>375</v>
      </c>
      <c r="T1047" s="47" t="s">
        <v>1012</v>
      </c>
      <c r="U1047" s="118">
        <v>46112</v>
      </c>
      <c r="V1047" s="118">
        <v>46112</v>
      </c>
      <c r="W1047" s="47"/>
      <c r="X1047" s="47"/>
      <c r="Y1047" s="47"/>
      <c r="Z1047" s="47"/>
      <c r="AA1047" s="47"/>
      <c r="AB1047" s="47"/>
      <c r="AC1047" s="47"/>
      <c r="AD1047" s="47"/>
    </row>
    <row r="1048" spans="1:31" ht="15" customHeight="1">
      <c r="A1048" s="24" t="s">
        <v>140</v>
      </c>
      <c r="B1048" s="24" t="s">
        <v>236</v>
      </c>
      <c r="C1048" s="103" t="str">
        <f>IF(ISBLANK(B1048),"",_xlfn.XLOOKUP(B1048,Recruiter!A:A,Recruiter!B:B))</f>
        <v>Pooja</v>
      </c>
      <c r="D1048" s="103" t="str">
        <f>IF(ISBLANK(A1048),"",_xlfn.XLOOKUP(A1048,'Requirement Overview'!C:C,'Requirement Overview'!E:E))</f>
        <v>Talme</v>
      </c>
      <c r="E1048" s="84" t="str">
        <f>IF(ISBLANK(A1048),"",_xlfn.XLOOKUP(A1048,'Requirement Overview'!C:C,'Requirement Overview'!H:H))</f>
        <v>Non - IT</v>
      </c>
      <c r="F1048" s="445" t="str">
        <f>IF(ISBLANK(A1048),"",_xlfn.XLOOKUP(A1048,'Requirement Overview'!C:C,'Requirement Overview'!I:I))</f>
        <v>Production Operator</v>
      </c>
      <c r="G1048" s="62" t="str">
        <f>IF(ISBLANK(A1048),"",_xlfn.XLOOKUP(A1048,'Requirement Overview'!C:C,'Requirement Overview'!G:G))</f>
        <v>Micron</v>
      </c>
      <c r="H1048" s="369" t="s">
        <v>3847</v>
      </c>
      <c r="I1048" s="3" t="s">
        <v>519</v>
      </c>
      <c r="J1048" s="59"/>
      <c r="L1048" s="3" t="s">
        <v>733</v>
      </c>
      <c r="M1048" s="3" t="s">
        <v>514</v>
      </c>
      <c r="P1048" s="3" t="s">
        <v>3504</v>
      </c>
      <c r="Q1048" s="47" t="s">
        <v>3268</v>
      </c>
      <c r="S1048" s="24" t="s">
        <v>375</v>
      </c>
      <c r="T1048" s="24" t="s">
        <v>1012</v>
      </c>
      <c r="U1048" s="118">
        <v>46112</v>
      </c>
      <c r="V1048" s="118">
        <v>46112</v>
      </c>
    </row>
    <row r="1049" spans="1:31" ht="15" customHeight="1">
      <c r="A1049" s="24" t="s">
        <v>140</v>
      </c>
      <c r="B1049" s="24" t="s">
        <v>236</v>
      </c>
      <c r="C1049" s="103" t="str">
        <f>IF(ISBLANK(B1049),"",_xlfn.XLOOKUP(B1049,Recruiter!A:A,Recruiter!B:B))</f>
        <v>Pooja</v>
      </c>
      <c r="D1049" s="103" t="str">
        <f>IF(ISBLANK(A1049),"",_xlfn.XLOOKUP(A1049,'Requirement Overview'!C:C,'Requirement Overview'!E:E))</f>
        <v>Talme</v>
      </c>
      <c r="E1049" s="84" t="str">
        <f>IF(ISBLANK(A1049),"",_xlfn.XLOOKUP(A1049,'Requirement Overview'!C:C,'Requirement Overview'!H:H))</f>
        <v>Non - IT</v>
      </c>
      <c r="F1049" s="445" t="str">
        <f>IF(ISBLANK(A1049),"",_xlfn.XLOOKUP(A1049,'Requirement Overview'!C:C,'Requirement Overview'!I:I))</f>
        <v>Production Operator</v>
      </c>
      <c r="G1049" s="62" t="str">
        <f>IF(ISBLANK(A1049),"",_xlfn.XLOOKUP(A1049,'Requirement Overview'!C:C,'Requirement Overview'!G:G))</f>
        <v>Micron</v>
      </c>
      <c r="H1049" s="369" t="s">
        <v>3848</v>
      </c>
      <c r="I1049" s="3" t="s">
        <v>262</v>
      </c>
      <c r="J1049" s="59"/>
      <c r="L1049" s="3" t="s">
        <v>733</v>
      </c>
      <c r="M1049" s="3" t="s">
        <v>1253</v>
      </c>
      <c r="P1049" s="3" t="s">
        <v>3370</v>
      </c>
      <c r="Q1049" s="47" t="s">
        <v>3268</v>
      </c>
      <c r="S1049" s="24" t="s">
        <v>375</v>
      </c>
      <c r="T1049" s="24" t="s">
        <v>1012</v>
      </c>
      <c r="U1049" s="118">
        <v>46112</v>
      </c>
      <c r="V1049" s="118">
        <v>46112</v>
      </c>
    </row>
    <row r="1050" spans="1:31" ht="15" customHeight="1">
      <c r="A1050" s="24" t="s">
        <v>140</v>
      </c>
      <c r="B1050" s="24" t="s">
        <v>236</v>
      </c>
      <c r="C1050" s="103" t="str">
        <f>IF(ISBLANK(B1050),"",_xlfn.XLOOKUP(B1050,Recruiter!A:A,Recruiter!B:B))</f>
        <v>Pooja</v>
      </c>
      <c r="D1050" s="103" t="str">
        <f>IF(ISBLANK(A1050),"",_xlfn.XLOOKUP(A1050,'Requirement Overview'!C:C,'Requirement Overview'!E:E))</f>
        <v>Talme</v>
      </c>
      <c r="E1050" s="84" t="str">
        <f>IF(ISBLANK(A1050),"",_xlfn.XLOOKUP(A1050,'Requirement Overview'!C:C,'Requirement Overview'!H:H))</f>
        <v>Non - IT</v>
      </c>
      <c r="F1050" s="445" t="str">
        <f>IF(ISBLANK(A1050),"",_xlfn.XLOOKUP(A1050,'Requirement Overview'!C:C,'Requirement Overview'!I:I))</f>
        <v>Production Operator</v>
      </c>
      <c r="G1050" s="62" t="str">
        <f>IF(ISBLANK(A1050),"",_xlfn.XLOOKUP(A1050,'Requirement Overview'!C:C,'Requirement Overview'!G:G))</f>
        <v>Micron</v>
      </c>
      <c r="H1050" s="369" t="s">
        <v>3019</v>
      </c>
      <c r="I1050" s="3" t="s">
        <v>497</v>
      </c>
      <c r="J1050" s="59"/>
      <c r="L1050" s="3" t="s">
        <v>733</v>
      </c>
      <c r="M1050" s="3" t="s">
        <v>514</v>
      </c>
      <c r="P1050" s="3" t="s">
        <v>3504</v>
      </c>
      <c r="Q1050" s="47" t="s">
        <v>3268</v>
      </c>
      <c r="S1050" s="24" t="s">
        <v>375</v>
      </c>
      <c r="T1050" s="24" t="s">
        <v>1012</v>
      </c>
      <c r="U1050" s="118">
        <v>46112</v>
      </c>
      <c r="V1050" s="118">
        <v>46112</v>
      </c>
    </row>
    <row r="1051" spans="1:31" ht="15" customHeight="1">
      <c r="A1051" s="24" t="s">
        <v>143</v>
      </c>
      <c r="B1051" s="24" t="s">
        <v>236</v>
      </c>
      <c r="C1051" s="103" t="str">
        <f>IF(ISBLANK(B1051),"",_xlfn.XLOOKUP(B1051,Recruiter!A:A,Recruiter!B:B))</f>
        <v>Pooja</v>
      </c>
      <c r="D1051" s="103" t="str">
        <f>IF(ISBLANK(A1051),"",_xlfn.XLOOKUP(A1051,'Requirement Overview'!C:C,'Requirement Overview'!E:E))</f>
        <v>Talme</v>
      </c>
      <c r="E1051" s="84" t="str">
        <f>IF(ISBLANK(A1051),"",_xlfn.XLOOKUP(A1051,'Requirement Overview'!C:C,'Requirement Overview'!H:H))</f>
        <v>Non - IT</v>
      </c>
      <c r="F1051" s="445" t="str">
        <f>IF(ISBLANK(A1051),"",_xlfn.XLOOKUP(A1051,'Requirement Overview'!C:C,'Requirement Overview'!I:I))</f>
        <v>Manufacturing ITI</v>
      </c>
      <c r="G1051" s="62" t="str">
        <f>IF(ISBLANK(A1051),"",_xlfn.XLOOKUP(A1051,'Requirement Overview'!C:C,'Requirement Overview'!G:G))</f>
        <v>Micron</v>
      </c>
      <c r="H1051" s="301" t="s">
        <v>3849</v>
      </c>
      <c r="I1051" s="3" t="s">
        <v>497</v>
      </c>
      <c r="J1051" s="59"/>
      <c r="L1051" s="3" t="s">
        <v>3220</v>
      </c>
      <c r="M1051" s="3" t="s">
        <v>968</v>
      </c>
      <c r="P1051" s="3" t="s">
        <v>3511</v>
      </c>
      <c r="Q1051" s="47" t="s">
        <v>3268</v>
      </c>
      <c r="S1051" s="24" t="s">
        <v>375</v>
      </c>
      <c r="T1051" s="24" t="s">
        <v>103</v>
      </c>
      <c r="U1051" s="118">
        <v>46112</v>
      </c>
      <c r="V1051" s="118">
        <v>46112</v>
      </c>
    </row>
    <row r="1052" spans="1:31" ht="15" customHeight="1">
      <c r="A1052" s="24" t="s">
        <v>143</v>
      </c>
      <c r="B1052" s="24" t="s">
        <v>236</v>
      </c>
      <c r="C1052" s="103" t="str">
        <f>IF(ISBLANK(B1052),"",_xlfn.XLOOKUP(B1052,Recruiter!A:A,Recruiter!B:B))</f>
        <v>Pooja</v>
      </c>
      <c r="D1052" s="103" t="str">
        <f>IF(ISBLANK(A1052),"",_xlfn.XLOOKUP(A1052,'Requirement Overview'!C:C,'Requirement Overview'!E:E))</f>
        <v>Talme</v>
      </c>
      <c r="E1052" s="84" t="str">
        <f>IF(ISBLANK(A1052),"",_xlfn.XLOOKUP(A1052,'Requirement Overview'!C:C,'Requirement Overview'!H:H))</f>
        <v>Non - IT</v>
      </c>
      <c r="F1052" s="445" t="str">
        <f>IF(ISBLANK(A1052),"",_xlfn.XLOOKUP(A1052,'Requirement Overview'!C:C,'Requirement Overview'!I:I))</f>
        <v>Manufacturing ITI</v>
      </c>
      <c r="G1052" s="62" t="str">
        <f>IF(ISBLANK(A1052),"",_xlfn.XLOOKUP(A1052,'Requirement Overview'!C:C,'Requirement Overview'!G:G))</f>
        <v>Micron</v>
      </c>
      <c r="H1052" s="301" t="s">
        <v>3850</v>
      </c>
      <c r="I1052" s="3" t="s">
        <v>497</v>
      </c>
      <c r="J1052" s="59"/>
      <c r="L1052" s="3" t="s">
        <v>3220</v>
      </c>
      <c r="M1052" s="3" t="s">
        <v>1253</v>
      </c>
      <c r="P1052" s="3" t="s">
        <v>3511</v>
      </c>
      <c r="Q1052" s="47" t="s">
        <v>3268</v>
      </c>
      <c r="S1052" s="24" t="s">
        <v>375</v>
      </c>
      <c r="T1052" s="24" t="s">
        <v>103</v>
      </c>
      <c r="U1052" s="118">
        <v>46112</v>
      </c>
      <c r="V1052" s="118">
        <v>46112</v>
      </c>
    </row>
    <row r="1053" spans="1:31" ht="15" customHeight="1">
      <c r="A1053" s="51" t="s">
        <v>143</v>
      </c>
      <c r="B1053" s="51" t="s">
        <v>236</v>
      </c>
      <c r="C1053" s="104" t="str">
        <f>IF(ISBLANK(B1053),"",_xlfn.XLOOKUP(B1053,Recruiter!A:A,Recruiter!B:B))</f>
        <v>Pooja</v>
      </c>
      <c r="D1053" s="104" t="str">
        <f>IF(ISBLANK(A1053),"",_xlfn.XLOOKUP(A1053,'Requirement Overview'!C:C,'Requirement Overview'!E:E))</f>
        <v>Talme</v>
      </c>
      <c r="E1053" s="88" t="str">
        <f>IF(ISBLANK(A1053),"",_xlfn.XLOOKUP(A1053,'Requirement Overview'!C:C,'Requirement Overview'!H:H))</f>
        <v>Non - IT</v>
      </c>
      <c r="F1053" s="445" t="str">
        <f>IF(ISBLANK(A1053),"",_xlfn.XLOOKUP(A1053,'Requirement Overview'!C:C,'Requirement Overview'!I:I))</f>
        <v>Manufacturing ITI</v>
      </c>
      <c r="G1053" s="62" t="str">
        <f>IF(ISBLANK(A1053),"",_xlfn.XLOOKUP(A1053,'Requirement Overview'!C:C,'Requirement Overview'!G:G))</f>
        <v>Micron</v>
      </c>
      <c r="H1053" s="400" t="s">
        <v>3508</v>
      </c>
      <c r="I1053" s="50" t="s">
        <v>262</v>
      </c>
      <c r="J1053" s="225"/>
      <c r="K1053" s="51"/>
      <c r="L1053" s="50" t="s">
        <v>3220</v>
      </c>
      <c r="M1053" s="50" t="s">
        <v>978</v>
      </c>
      <c r="N1053" s="51"/>
      <c r="O1053" s="51"/>
      <c r="P1053" s="50" t="s">
        <v>3511</v>
      </c>
      <c r="Q1053" s="49" t="s">
        <v>3268</v>
      </c>
      <c r="R1053" s="51"/>
      <c r="S1053" s="51" t="s">
        <v>375</v>
      </c>
      <c r="T1053" s="51" t="s">
        <v>103</v>
      </c>
      <c r="U1053" s="128">
        <v>46112</v>
      </c>
      <c r="V1053" s="128">
        <v>46112</v>
      </c>
      <c r="W1053" s="51"/>
      <c r="X1053" s="51"/>
      <c r="Y1053" s="51"/>
      <c r="Z1053" s="51"/>
      <c r="AA1053" s="51"/>
      <c r="AB1053" s="51"/>
      <c r="AC1053" s="51"/>
      <c r="AD1053" s="51"/>
    </row>
    <row r="1054" spans="1:31" ht="15" customHeight="1">
      <c r="A1054" s="702" t="s">
        <v>131</v>
      </c>
      <c r="B1054" s="702" t="s">
        <v>258</v>
      </c>
      <c r="C1054" s="103" t="str">
        <f>IF(ISBLANK(B1054),"",_xlfn.XLOOKUP(B1054,Recruiter!A:A,Recruiter!B:B))</f>
        <v>Bhoomika</v>
      </c>
      <c r="D1054" s="487" t="str">
        <f>IF(ISBLANK(A1054),"",_xlfn.XLOOKUP(A1054,'Requirement Overview'!C:C,'Requirement Overview'!E:E))</f>
        <v>Talme</v>
      </c>
      <c r="E1054" s="103" t="str">
        <f>IF(ISBLANK(A1054),"",_xlfn.XLOOKUP(A1054,'Requirement Overview'!C:C,'Requirement Overview'!H:H))</f>
        <v>IT</v>
      </c>
      <c r="F1054" s="77" t="str">
        <f>IF(ISBLANK(A1054),"",_xlfn.XLOOKUP(A1054,'Requirement Overview'!C:C,'Requirement Overview'!I:I))</f>
        <v>Technical Lead</v>
      </c>
      <c r="G1054" s="3" t="str">
        <f>IF(ISBLANK(A1054),"",_xlfn.XLOOKUP(A1054,'Requirement Overview'!C:C,'Requirement Overview'!G:G))</f>
        <v>Anika Solutions</v>
      </c>
      <c r="H1054" s="713" t="s">
        <v>3851</v>
      </c>
      <c r="I1054" s="702" t="s">
        <v>262</v>
      </c>
      <c r="J1054" s="478" t="s">
        <v>3852</v>
      </c>
      <c r="K1054" s="702">
        <v>9000988995</v>
      </c>
      <c r="L1054" s="702" t="s">
        <v>305</v>
      </c>
      <c r="M1054" s="702" t="s">
        <v>379</v>
      </c>
      <c r="N1054" s="702" t="s">
        <v>3853</v>
      </c>
      <c r="O1054" s="702"/>
      <c r="P1054" s="702" t="s">
        <v>879</v>
      </c>
      <c r="Q1054" s="702" t="s">
        <v>268</v>
      </c>
      <c r="R1054" s="702"/>
      <c r="S1054" s="702" t="s">
        <v>601</v>
      </c>
      <c r="T1054" s="702" t="s">
        <v>103</v>
      </c>
      <c r="U1054" s="489">
        <v>46111</v>
      </c>
      <c r="V1054" s="489">
        <v>46111</v>
      </c>
      <c r="W1054" s="702"/>
      <c r="X1054" s="702"/>
      <c r="Y1054" s="702"/>
      <c r="Z1054" s="702"/>
      <c r="AA1054" s="702"/>
      <c r="AB1054" s="702"/>
      <c r="AC1054" s="702"/>
      <c r="AD1054" s="702"/>
      <c r="AE1054" s="46"/>
    </row>
    <row r="1055" spans="1:31" ht="15" customHeight="1">
      <c r="A1055" s="702" t="s">
        <v>131</v>
      </c>
      <c r="B1055" s="702" t="s">
        <v>258</v>
      </c>
      <c r="C1055" s="103" t="str">
        <f>IF(ISBLANK(B1055),"",_xlfn.XLOOKUP(B1055,Recruiter!A:A,Recruiter!B:B))</f>
        <v>Bhoomika</v>
      </c>
      <c r="D1055" s="487" t="str">
        <f>IF(ISBLANK(A1055),"",_xlfn.XLOOKUP(A1055,'Requirement Overview'!C:C,'Requirement Overview'!E:E))</f>
        <v>Talme</v>
      </c>
      <c r="E1055" s="103" t="str">
        <f>IF(ISBLANK(A1055),"",_xlfn.XLOOKUP(A1055,'Requirement Overview'!C:C,'Requirement Overview'!H:H))</f>
        <v>IT</v>
      </c>
      <c r="F1055" s="77" t="str">
        <f>IF(ISBLANK(A1055),"",_xlfn.XLOOKUP(A1055,'Requirement Overview'!C:C,'Requirement Overview'!I:I))</f>
        <v>Technical Lead</v>
      </c>
      <c r="G1055" s="3" t="str">
        <f>IF(ISBLANK(A1055),"",_xlfn.XLOOKUP(A1055,'Requirement Overview'!C:C,'Requirement Overview'!G:G))</f>
        <v>Anika Solutions</v>
      </c>
      <c r="H1055" s="702" t="s">
        <v>3854</v>
      </c>
      <c r="I1055" s="702" t="s">
        <v>1121</v>
      </c>
      <c r="J1055" s="478" t="s">
        <v>3855</v>
      </c>
      <c r="K1055" s="702">
        <v>7569473483</v>
      </c>
      <c r="L1055" s="470" t="s">
        <v>305</v>
      </c>
      <c r="M1055" s="702" t="s">
        <v>685</v>
      </c>
      <c r="N1055" s="702" t="s">
        <v>3856</v>
      </c>
      <c r="O1055" s="702"/>
      <c r="P1055" s="702" t="s">
        <v>3844</v>
      </c>
      <c r="Q1055" s="702" t="s">
        <v>268</v>
      </c>
      <c r="R1055" s="702"/>
      <c r="S1055" s="702" t="s">
        <v>601</v>
      </c>
      <c r="T1055" s="702" t="s">
        <v>103</v>
      </c>
      <c r="U1055" s="489">
        <v>46111</v>
      </c>
      <c r="V1055" s="489">
        <v>46111</v>
      </c>
      <c r="W1055" s="702"/>
      <c r="X1055" s="702"/>
      <c r="Y1055" s="702"/>
      <c r="Z1055" s="702"/>
      <c r="AA1055" s="702"/>
      <c r="AB1055" s="702"/>
      <c r="AC1055" s="702"/>
      <c r="AD1055" s="702"/>
      <c r="AE1055" s="46"/>
    </row>
    <row r="1056" spans="1:31" ht="15" customHeight="1">
      <c r="A1056" s="702" t="s">
        <v>131</v>
      </c>
      <c r="B1056" s="702" t="s">
        <v>258</v>
      </c>
      <c r="C1056" s="103" t="str">
        <f>IF(ISBLANK(B1056),"",_xlfn.XLOOKUP(B1056,Recruiter!A:A,Recruiter!B:B))</f>
        <v>Bhoomika</v>
      </c>
      <c r="D1056" s="487" t="str">
        <f>IF(ISBLANK(A1056),"",_xlfn.XLOOKUP(A1056,'Requirement Overview'!C:C,'Requirement Overview'!E:E))</f>
        <v>Talme</v>
      </c>
      <c r="E1056" s="103" t="str">
        <f>IF(ISBLANK(A1056),"",_xlfn.XLOOKUP(A1056,'Requirement Overview'!C:C,'Requirement Overview'!H:H))</f>
        <v>IT</v>
      </c>
      <c r="F1056" s="77" t="str">
        <f>IF(ISBLANK(A1056),"",_xlfn.XLOOKUP(A1056,'Requirement Overview'!C:C,'Requirement Overview'!I:I))</f>
        <v>Technical Lead</v>
      </c>
      <c r="G1056" s="3" t="str">
        <f>IF(ISBLANK(A1056),"",_xlfn.XLOOKUP(A1056,'Requirement Overview'!C:C,'Requirement Overview'!G:G))</f>
        <v>Anika Solutions</v>
      </c>
      <c r="H1056" s="702" t="s">
        <v>3857</v>
      </c>
      <c r="I1056" s="702" t="s">
        <v>519</v>
      </c>
      <c r="J1056" s="478" t="s">
        <v>3858</v>
      </c>
      <c r="K1056" s="702">
        <v>9550575915</v>
      </c>
      <c r="L1056" s="702" t="s">
        <v>305</v>
      </c>
      <c r="M1056" s="702" t="s">
        <v>379</v>
      </c>
      <c r="N1056" s="491" t="s">
        <v>3859</v>
      </c>
      <c r="O1056" s="702"/>
      <c r="P1056" s="702" t="s">
        <v>879</v>
      </c>
      <c r="Q1056" s="702" t="s">
        <v>268</v>
      </c>
      <c r="R1056" s="702"/>
      <c r="S1056" s="702" t="s">
        <v>601</v>
      </c>
      <c r="T1056" s="702" t="s">
        <v>103</v>
      </c>
      <c r="U1056" s="489">
        <v>46111</v>
      </c>
      <c r="V1056" s="489">
        <v>46111</v>
      </c>
      <c r="W1056" s="702"/>
      <c r="X1056" s="702"/>
      <c r="Y1056" s="702"/>
      <c r="Z1056" s="702"/>
      <c r="AA1056" s="702"/>
      <c r="AB1056" s="702"/>
      <c r="AC1056" s="702"/>
      <c r="AD1056" s="702"/>
      <c r="AE1056" s="46"/>
    </row>
    <row r="1057" spans="1:31" ht="15" customHeight="1">
      <c r="A1057" s="702" t="s">
        <v>131</v>
      </c>
      <c r="B1057" s="702" t="s">
        <v>258</v>
      </c>
      <c r="C1057" s="103" t="str">
        <f>IF(ISBLANK(B1057),"",_xlfn.XLOOKUP(B1057,Recruiter!A:A,Recruiter!B:B))</f>
        <v>Bhoomika</v>
      </c>
      <c r="D1057" s="487" t="str">
        <f>IF(ISBLANK(A1057),"",_xlfn.XLOOKUP(A1057,'Requirement Overview'!C:C,'Requirement Overview'!E:E))</f>
        <v>Talme</v>
      </c>
      <c r="E1057" s="103" t="str">
        <f>IF(ISBLANK(A1057),"",_xlfn.XLOOKUP(A1057,'Requirement Overview'!C:C,'Requirement Overview'!H:H))</f>
        <v>IT</v>
      </c>
      <c r="F1057" s="77" t="str">
        <f>IF(ISBLANK(A1057),"",_xlfn.XLOOKUP(A1057,'Requirement Overview'!C:C,'Requirement Overview'!I:I))</f>
        <v>Technical Lead</v>
      </c>
      <c r="G1057" s="3" t="str">
        <f>IF(ISBLANK(A1057),"",_xlfn.XLOOKUP(A1057,'Requirement Overview'!C:C,'Requirement Overview'!G:G))</f>
        <v>Anika Solutions</v>
      </c>
      <c r="H1057" s="713" t="s">
        <v>3860</v>
      </c>
      <c r="I1057" s="702" t="s">
        <v>519</v>
      </c>
      <c r="J1057" s="478" t="s">
        <v>3861</v>
      </c>
      <c r="K1057" s="702">
        <v>9705479422</v>
      </c>
      <c r="L1057" s="702" t="s">
        <v>305</v>
      </c>
      <c r="M1057" s="702" t="s">
        <v>1639</v>
      </c>
      <c r="N1057" s="702" t="s">
        <v>3862</v>
      </c>
      <c r="O1057" s="702"/>
      <c r="P1057" s="702" t="s">
        <v>879</v>
      </c>
      <c r="Q1057" s="702" t="s">
        <v>268</v>
      </c>
      <c r="R1057" s="702"/>
      <c r="S1057" s="702" t="s">
        <v>601</v>
      </c>
      <c r="T1057" s="702" t="s">
        <v>103</v>
      </c>
      <c r="U1057" s="489">
        <v>46111</v>
      </c>
      <c r="V1057" s="489">
        <v>46111</v>
      </c>
      <c r="W1057" s="702"/>
      <c r="X1057" s="702"/>
      <c r="Y1057" s="702"/>
      <c r="Z1057" s="702"/>
      <c r="AA1057" s="702"/>
      <c r="AB1057" s="702"/>
      <c r="AC1057" s="702"/>
      <c r="AD1057" s="702"/>
      <c r="AE1057" s="46"/>
    </row>
    <row r="1058" spans="1:31" ht="15" customHeight="1">
      <c r="A1058" s="702" t="s">
        <v>131</v>
      </c>
      <c r="B1058" s="702" t="s">
        <v>258</v>
      </c>
      <c r="C1058" s="103" t="str">
        <f>IF(ISBLANK(B1058),"",_xlfn.XLOOKUP(B1058,Recruiter!A:A,Recruiter!B:B))</f>
        <v>Bhoomika</v>
      </c>
      <c r="D1058" s="487" t="str">
        <f>IF(ISBLANK(A1058),"",_xlfn.XLOOKUP(A1058,'Requirement Overview'!C:C,'Requirement Overview'!E:E))</f>
        <v>Talme</v>
      </c>
      <c r="E1058" s="103" t="str">
        <f>IF(ISBLANK(A1058),"",_xlfn.XLOOKUP(A1058,'Requirement Overview'!C:C,'Requirement Overview'!H:H))</f>
        <v>IT</v>
      </c>
      <c r="F1058" s="77" t="str">
        <f>IF(ISBLANK(A1058),"",_xlfn.XLOOKUP(A1058,'Requirement Overview'!C:C,'Requirement Overview'!I:I))</f>
        <v>Technical Lead</v>
      </c>
      <c r="G1058" s="3" t="str">
        <f>IF(ISBLANK(A1058),"",_xlfn.XLOOKUP(A1058,'Requirement Overview'!C:C,'Requirement Overview'!G:G))</f>
        <v>Anika Solutions</v>
      </c>
      <c r="H1058" s="470" t="s">
        <v>3863</v>
      </c>
      <c r="I1058" s="702" t="s">
        <v>1121</v>
      </c>
      <c r="J1058" s="478" t="s">
        <v>3864</v>
      </c>
      <c r="K1058" s="702">
        <v>9642134817</v>
      </c>
      <c r="L1058" s="702" t="s">
        <v>330</v>
      </c>
      <c r="M1058" s="702" t="s">
        <v>685</v>
      </c>
      <c r="N1058" s="702" t="s">
        <v>3865</v>
      </c>
      <c r="O1058" s="702"/>
      <c r="P1058" s="702" t="s">
        <v>268</v>
      </c>
      <c r="Q1058" s="702" t="s">
        <v>268</v>
      </c>
      <c r="R1058" s="702"/>
      <c r="S1058" s="702" t="s">
        <v>601</v>
      </c>
      <c r="T1058" s="702" t="s">
        <v>103</v>
      </c>
      <c r="U1058" s="489">
        <v>46111</v>
      </c>
      <c r="V1058" s="489">
        <v>46111</v>
      </c>
      <c r="W1058" s="702"/>
      <c r="X1058" s="702"/>
      <c r="Y1058" s="702"/>
      <c r="Z1058" s="702"/>
      <c r="AA1058" s="702"/>
      <c r="AB1058" s="702"/>
      <c r="AC1058" s="702"/>
      <c r="AD1058" s="702"/>
      <c r="AE1058" s="46"/>
    </row>
    <row r="1059" spans="1:31" ht="15" customHeight="1">
      <c r="A1059" s="702" t="s">
        <v>162</v>
      </c>
      <c r="B1059" s="702" t="s">
        <v>258</v>
      </c>
      <c r="C1059" s="103" t="str">
        <f>IF(ISBLANK(B1059),"",_xlfn.XLOOKUP(B1059,Recruiter!A:A,Recruiter!B:B))</f>
        <v>Bhoomika</v>
      </c>
      <c r="D1059" s="487" t="str">
        <f>IF(ISBLANK(A1059),"",_xlfn.XLOOKUP(A1059,'Requirement Overview'!C:C,'Requirement Overview'!E:E))</f>
        <v>Talme</v>
      </c>
      <c r="E1059" s="103" t="str">
        <f>IF(ISBLANK(A1059),"",_xlfn.XLOOKUP(A1059,'Requirement Overview'!C:C,'Requirement Overview'!H:H))</f>
        <v>IT</v>
      </c>
      <c r="F1059" s="77" t="str">
        <f>IF(ISBLANK(A1059),"",_xlfn.XLOOKUP(A1059,'Requirement Overview'!C:C,'Requirement Overview'!I:I))</f>
        <v xml:space="preserve">.Net Developer  </v>
      </c>
      <c r="G1059" s="3" t="str">
        <f>IF(ISBLANK(A1059),"",_xlfn.XLOOKUP(A1059,'Requirement Overview'!C:C,'Requirement Overview'!G:G))</f>
        <v>EMIDS</v>
      </c>
      <c r="H1059" s="485" t="s">
        <v>3866</v>
      </c>
      <c r="I1059" s="470" t="s">
        <v>519</v>
      </c>
      <c r="J1059" s="492" t="s">
        <v>3867</v>
      </c>
      <c r="K1059" s="470">
        <v>7503246881</v>
      </c>
      <c r="L1059" s="470" t="s">
        <v>378</v>
      </c>
      <c r="M1059" s="470" t="s">
        <v>351</v>
      </c>
      <c r="N1059" s="470" t="s">
        <v>3868</v>
      </c>
      <c r="O1059" s="470" t="s">
        <v>691</v>
      </c>
      <c r="P1059" s="470" t="s">
        <v>806</v>
      </c>
      <c r="Q1059" s="470" t="s">
        <v>806</v>
      </c>
      <c r="R1059" s="470" t="s">
        <v>358</v>
      </c>
      <c r="S1059" s="702" t="s">
        <v>601</v>
      </c>
      <c r="T1059" s="702" t="s">
        <v>103</v>
      </c>
      <c r="U1059" s="489">
        <v>46111</v>
      </c>
      <c r="V1059" s="489">
        <v>46111</v>
      </c>
      <c r="W1059" s="702"/>
      <c r="X1059" s="702"/>
      <c r="Y1059" s="702"/>
      <c r="Z1059" s="702"/>
      <c r="AA1059" s="702"/>
      <c r="AB1059" s="702"/>
      <c r="AC1059" s="702"/>
      <c r="AD1059" s="702"/>
      <c r="AE1059" s="46"/>
    </row>
    <row r="1060" spans="1:31" ht="15" customHeight="1">
      <c r="A1060" s="702" t="s">
        <v>162</v>
      </c>
      <c r="B1060" s="702" t="s">
        <v>258</v>
      </c>
      <c r="C1060" s="103" t="str">
        <f>IF(ISBLANK(B1060),"",_xlfn.XLOOKUP(B1060,Recruiter!A:A,Recruiter!B:B))</f>
        <v>Bhoomika</v>
      </c>
      <c r="D1060" s="487" t="str">
        <f>IF(ISBLANK(A1060),"",_xlfn.XLOOKUP(A1060,'Requirement Overview'!C:C,'Requirement Overview'!E:E))</f>
        <v>Talme</v>
      </c>
      <c r="E1060" s="103" t="str">
        <f>IF(ISBLANK(A1060),"",_xlfn.XLOOKUP(A1060,'Requirement Overview'!C:C,'Requirement Overview'!H:H))</f>
        <v>IT</v>
      </c>
      <c r="F1060" s="77" t="str">
        <f>IF(ISBLANK(A1060),"",_xlfn.XLOOKUP(A1060,'Requirement Overview'!C:C,'Requirement Overview'!I:I))</f>
        <v xml:space="preserve">.Net Developer  </v>
      </c>
      <c r="G1060" s="3" t="str">
        <f>IF(ISBLANK(A1060),"",_xlfn.XLOOKUP(A1060,'Requirement Overview'!C:C,'Requirement Overview'!G:G))</f>
        <v>EMIDS</v>
      </c>
      <c r="H1060" s="470" t="s">
        <v>3869</v>
      </c>
      <c r="I1060" s="470" t="s">
        <v>519</v>
      </c>
      <c r="J1060" s="493" t="s">
        <v>3870</v>
      </c>
      <c r="K1060" s="470">
        <v>9886963139</v>
      </c>
      <c r="L1060" s="470" t="s">
        <v>305</v>
      </c>
      <c r="M1060" s="470" t="s">
        <v>1598</v>
      </c>
      <c r="N1060" s="470" t="s">
        <v>995</v>
      </c>
      <c r="O1060" s="470" t="s">
        <v>3871</v>
      </c>
      <c r="P1060" s="470" t="s">
        <v>268</v>
      </c>
      <c r="Q1060" s="470" t="s">
        <v>268</v>
      </c>
      <c r="R1060" s="470" t="s">
        <v>353</v>
      </c>
      <c r="S1060" s="702" t="s">
        <v>601</v>
      </c>
      <c r="T1060" s="702" t="s">
        <v>103</v>
      </c>
      <c r="U1060" s="489">
        <v>46111</v>
      </c>
      <c r="V1060" s="489">
        <v>46111</v>
      </c>
      <c r="W1060" s="702"/>
      <c r="X1060" s="702"/>
      <c r="Y1060" s="702"/>
      <c r="Z1060" s="702"/>
      <c r="AA1060" s="702"/>
      <c r="AB1060" s="702"/>
      <c r="AC1060" s="702"/>
      <c r="AD1060" s="702"/>
      <c r="AE1060" s="46"/>
    </row>
    <row r="1061" spans="1:31" ht="15" customHeight="1">
      <c r="A1061" s="702" t="s">
        <v>162</v>
      </c>
      <c r="B1061" s="702" t="s">
        <v>258</v>
      </c>
      <c r="C1061" s="103" t="str">
        <f>IF(ISBLANK(B1061),"",_xlfn.XLOOKUP(B1061,Recruiter!A:A,Recruiter!B:B))</f>
        <v>Bhoomika</v>
      </c>
      <c r="D1061" s="487" t="str">
        <f>IF(ISBLANK(A1061),"",_xlfn.XLOOKUP(A1061,'Requirement Overview'!C:C,'Requirement Overview'!E:E))</f>
        <v>Talme</v>
      </c>
      <c r="E1061" s="103" t="str">
        <f>IF(ISBLANK(A1061),"",_xlfn.XLOOKUP(A1061,'Requirement Overview'!C:C,'Requirement Overview'!H:H))</f>
        <v>IT</v>
      </c>
      <c r="F1061" s="77" t="str">
        <f>IF(ISBLANK(A1061),"",_xlfn.XLOOKUP(A1061,'Requirement Overview'!C:C,'Requirement Overview'!I:I))</f>
        <v xml:space="preserve">.Net Developer  </v>
      </c>
      <c r="G1061" s="3" t="str">
        <f>IF(ISBLANK(A1061),"",_xlfn.XLOOKUP(A1061,'Requirement Overview'!C:C,'Requirement Overview'!G:G))</f>
        <v>EMIDS</v>
      </c>
      <c r="H1061" s="482" t="s">
        <v>3872</v>
      </c>
      <c r="I1061" s="702" t="s">
        <v>519</v>
      </c>
      <c r="J1061" s="478" t="s">
        <v>3873</v>
      </c>
      <c r="K1061" s="702">
        <v>8050807085</v>
      </c>
      <c r="L1061" s="702" t="s">
        <v>305</v>
      </c>
      <c r="M1061" s="702" t="s">
        <v>390</v>
      </c>
      <c r="N1061" s="702" t="s">
        <v>2060</v>
      </c>
      <c r="O1061" s="702" t="s">
        <v>560</v>
      </c>
      <c r="P1061" s="702" t="s">
        <v>268</v>
      </c>
      <c r="Q1061" s="702" t="s">
        <v>268</v>
      </c>
      <c r="R1061" s="702" t="s">
        <v>715</v>
      </c>
      <c r="S1061" s="702" t="s">
        <v>601</v>
      </c>
      <c r="T1061" s="702" t="s">
        <v>103</v>
      </c>
      <c r="U1061" s="489">
        <v>46111</v>
      </c>
      <c r="V1061" s="489">
        <v>46111</v>
      </c>
      <c r="W1061" s="702"/>
      <c r="X1061" s="702"/>
      <c r="Y1061" s="702"/>
      <c r="Z1061" s="702"/>
      <c r="AA1061" s="702"/>
      <c r="AB1061" s="702"/>
      <c r="AC1061" s="702"/>
      <c r="AD1061" s="702"/>
      <c r="AE1061" s="46"/>
    </row>
    <row r="1062" spans="1:31" ht="15" customHeight="1">
      <c r="A1062" s="702" t="s">
        <v>166</v>
      </c>
      <c r="B1062" s="702" t="s">
        <v>258</v>
      </c>
      <c r="C1062" s="103" t="str">
        <f>IF(ISBLANK(B1062),"",_xlfn.XLOOKUP(B1062,Recruiter!A:A,Recruiter!B:B))</f>
        <v>Bhoomika</v>
      </c>
      <c r="D1062" s="487" t="str">
        <f>IF(ISBLANK(A1062),"",_xlfn.XLOOKUP(A1062,'Requirement Overview'!C:C,'Requirement Overview'!E:E))</f>
        <v>Talme</v>
      </c>
      <c r="E1062" s="103" t="str">
        <f>IF(ISBLANK(A1062),"",_xlfn.XLOOKUP(A1062,'Requirement Overview'!C:C,'Requirement Overview'!H:H))</f>
        <v>IT</v>
      </c>
      <c r="F1062" s="77" t="str">
        <f>IF(ISBLANK(A1062),"",_xlfn.XLOOKUP(A1062,'Requirement Overview'!C:C,'Requirement Overview'!I:I))</f>
        <v>Hardware Project manager</v>
      </c>
      <c r="G1062" s="3" t="str">
        <f>IF(ISBLANK(A1062),"",_xlfn.XLOOKUP(A1062,'Requirement Overview'!C:C,'Requirement Overview'!G:G))</f>
        <v>LTTS</v>
      </c>
      <c r="H1062" s="470" t="s">
        <v>3874</v>
      </c>
      <c r="I1062" s="702" t="s">
        <v>3875</v>
      </c>
      <c r="J1062" s="478" t="s">
        <v>3876</v>
      </c>
      <c r="K1062" s="702">
        <v>9500478193</v>
      </c>
      <c r="L1062" s="702" t="s">
        <v>350</v>
      </c>
      <c r="M1062" s="702" t="s">
        <v>3877</v>
      </c>
      <c r="N1062" s="702" t="s">
        <v>3878</v>
      </c>
      <c r="O1062" s="702" t="s">
        <v>1416</v>
      </c>
      <c r="P1062" s="702" t="s">
        <v>268</v>
      </c>
      <c r="Q1062" s="702" t="s">
        <v>268</v>
      </c>
      <c r="R1062" s="702" t="s">
        <v>3879</v>
      </c>
      <c r="S1062" s="702" t="s">
        <v>601</v>
      </c>
      <c r="T1062" s="702" t="s">
        <v>103</v>
      </c>
      <c r="U1062" s="489">
        <v>46112</v>
      </c>
      <c r="V1062" s="489">
        <v>46112</v>
      </c>
      <c r="W1062" s="702"/>
      <c r="X1062" s="702"/>
      <c r="Y1062" s="702"/>
      <c r="Z1062" s="702"/>
      <c r="AA1062" s="702"/>
      <c r="AB1062" s="702"/>
      <c r="AC1062" s="702"/>
      <c r="AD1062" s="702"/>
      <c r="AE1062" s="46"/>
    </row>
    <row r="1063" spans="1:31" ht="15" customHeight="1">
      <c r="A1063" s="702" t="s">
        <v>166</v>
      </c>
      <c r="B1063" s="702" t="s">
        <v>258</v>
      </c>
      <c r="C1063" s="103" t="str">
        <f>IF(ISBLANK(B1063),"",_xlfn.XLOOKUP(B1063,Recruiter!A:A,Recruiter!B:B))</f>
        <v>Bhoomika</v>
      </c>
      <c r="D1063" s="487" t="str">
        <f>IF(ISBLANK(A1063),"",_xlfn.XLOOKUP(A1063,'Requirement Overview'!C:C,'Requirement Overview'!E:E))</f>
        <v>Talme</v>
      </c>
      <c r="E1063" s="103" t="str">
        <f>IF(ISBLANK(A1063),"",_xlfn.XLOOKUP(A1063,'Requirement Overview'!C:C,'Requirement Overview'!H:H))</f>
        <v>IT</v>
      </c>
      <c r="F1063" s="77" t="str">
        <f>IF(ISBLANK(A1063),"",_xlfn.XLOOKUP(A1063,'Requirement Overview'!C:C,'Requirement Overview'!I:I))</f>
        <v>Hardware Project manager</v>
      </c>
      <c r="G1063" s="3" t="str">
        <f>IF(ISBLANK(A1063),"",_xlfn.XLOOKUP(A1063,'Requirement Overview'!C:C,'Requirement Overview'!G:G))</f>
        <v>LTTS</v>
      </c>
      <c r="H1063" s="470" t="s">
        <v>3880</v>
      </c>
      <c r="I1063" s="702" t="s">
        <v>262</v>
      </c>
      <c r="J1063" s="478" t="s">
        <v>3881</v>
      </c>
      <c r="K1063" s="702">
        <v>9657534828</v>
      </c>
      <c r="L1063" s="702" t="s">
        <v>311</v>
      </c>
      <c r="M1063" s="702" t="s">
        <v>1763</v>
      </c>
      <c r="N1063" s="470" t="s">
        <v>3882</v>
      </c>
      <c r="O1063" s="702" t="s">
        <v>474</v>
      </c>
      <c r="P1063" s="702" t="s">
        <v>879</v>
      </c>
      <c r="Q1063" s="702" t="s">
        <v>268</v>
      </c>
      <c r="R1063" s="702" t="s">
        <v>455</v>
      </c>
      <c r="S1063" s="702" t="s">
        <v>601</v>
      </c>
      <c r="T1063" s="702" t="s">
        <v>103</v>
      </c>
      <c r="U1063" s="489">
        <v>46112</v>
      </c>
      <c r="V1063" s="489">
        <v>46112</v>
      </c>
      <c r="W1063" s="702"/>
      <c r="X1063" s="702"/>
      <c r="Y1063" s="702"/>
      <c r="Z1063" s="702"/>
      <c r="AA1063" s="702"/>
      <c r="AB1063" s="702"/>
      <c r="AC1063" s="702"/>
      <c r="AD1063" s="702"/>
      <c r="AE1063" s="46"/>
    </row>
    <row r="1064" spans="1:31" ht="15" customHeight="1">
      <c r="A1064" s="702" t="s">
        <v>166</v>
      </c>
      <c r="B1064" s="702" t="s">
        <v>258</v>
      </c>
      <c r="C1064" s="103" t="str">
        <f>IF(ISBLANK(B1064),"",_xlfn.XLOOKUP(B1064,Recruiter!A:A,Recruiter!B:B))</f>
        <v>Bhoomika</v>
      </c>
      <c r="D1064" s="487" t="str">
        <f>IF(ISBLANK(A1064),"",_xlfn.XLOOKUP(A1064,'Requirement Overview'!C:C,'Requirement Overview'!E:E))</f>
        <v>Talme</v>
      </c>
      <c r="E1064" s="103" t="str">
        <f>IF(ISBLANK(A1064),"",_xlfn.XLOOKUP(A1064,'Requirement Overview'!C:C,'Requirement Overview'!H:H))</f>
        <v>IT</v>
      </c>
      <c r="F1064" s="77" t="str">
        <f>IF(ISBLANK(A1064),"",_xlfn.XLOOKUP(A1064,'Requirement Overview'!C:C,'Requirement Overview'!I:I))</f>
        <v>Hardware Project manager</v>
      </c>
      <c r="G1064" s="3" t="str">
        <f>IF(ISBLANK(A1064),"",_xlfn.XLOOKUP(A1064,'Requirement Overview'!C:C,'Requirement Overview'!G:G))</f>
        <v>LTTS</v>
      </c>
      <c r="H1064" s="470" t="s">
        <v>3883</v>
      </c>
      <c r="I1064" s="702" t="s">
        <v>519</v>
      </c>
      <c r="J1064" s="478" t="s">
        <v>3884</v>
      </c>
      <c r="K1064" s="702">
        <v>8805660920</v>
      </c>
      <c r="L1064" s="702" t="s">
        <v>311</v>
      </c>
      <c r="M1064" s="702" t="s">
        <v>1598</v>
      </c>
      <c r="N1064" s="702" t="s">
        <v>3885</v>
      </c>
      <c r="O1064" s="702" t="s">
        <v>2112</v>
      </c>
      <c r="P1064" s="702" t="s">
        <v>268</v>
      </c>
      <c r="Q1064" s="702" t="s">
        <v>268</v>
      </c>
      <c r="R1064" s="702" t="s">
        <v>450</v>
      </c>
      <c r="S1064" s="702" t="s">
        <v>601</v>
      </c>
      <c r="T1064" s="702" t="s">
        <v>103</v>
      </c>
      <c r="U1064" s="489">
        <v>46112</v>
      </c>
      <c r="V1064" s="489">
        <v>46112</v>
      </c>
      <c r="W1064" s="702"/>
      <c r="X1064" s="702"/>
      <c r="Y1064" s="702"/>
      <c r="Z1064" s="702"/>
      <c r="AA1064" s="702"/>
      <c r="AB1064" s="702"/>
      <c r="AC1064" s="702"/>
      <c r="AD1064" s="702"/>
      <c r="AE1064" s="46"/>
    </row>
    <row r="1065" spans="1:31" ht="15" customHeight="1">
      <c r="A1065" s="702" t="s">
        <v>166</v>
      </c>
      <c r="B1065" s="702" t="s">
        <v>258</v>
      </c>
      <c r="C1065" s="103" t="str">
        <f>IF(ISBLANK(B1065),"",_xlfn.XLOOKUP(B1065,Recruiter!A:A,Recruiter!B:B))</f>
        <v>Bhoomika</v>
      </c>
      <c r="D1065" s="487" t="str">
        <f>IF(ISBLANK(A1065),"",_xlfn.XLOOKUP(A1065,'Requirement Overview'!C:C,'Requirement Overview'!E:E))</f>
        <v>Talme</v>
      </c>
      <c r="E1065" s="103" t="str">
        <f>IF(ISBLANK(A1065),"",_xlfn.XLOOKUP(A1065,'Requirement Overview'!C:C,'Requirement Overview'!H:H))</f>
        <v>IT</v>
      </c>
      <c r="F1065" s="77" t="str">
        <f>IF(ISBLANK(A1065),"",_xlfn.XLOOKUP(A1065,'Requirement Overview'!C:C,'Requirement Overview'!I:I))</f>
        <v>Hardware Project manager</v>
      </c>
      <c r="G1065" s="3" t="str">
        <f>IF(ISBLANK(A1065),"",_xlfn.XLOOKUP(A1065,'Requirement Overview'!C:C,'Requirement Overview'!G:G))</f>
        <v>LTTS</v>
      </c>
      <c r="H1065" s="470" t="s">
        <v>3886</v>
      </c>
      <c r="I1065" s="702" t="s">
        <v>262</v>
      </c>
      <c r="J1065" s="478" t="s">
        <v>3887</v>
      </c>
      <c r="K1065" s="702">
        <v>9669669652</v>
      </c>
      <c r="L1065" s="702" t="s">
        <v>311</v>
      </c>
      <c r="M1065" s="702" t="s">
        <v>343</v>
      </c>
      <c r="N1065" s="702" t="s">
        <v>3888</v>
      </c>
      <c r="O1065" s="702" t="s">
        <v>353</v>
      </c>
      <c r="P1065" s="702" t="s">
        <v>268</v>
      </c>
      <c r="Q1065" s="702" t="s">
        <v>268</v>
      </c>
      <c r="R1065" s="702" t="s">
        <v>455</v>
      </c>
      <c r="S1065" s="702" t="s">
        <v>601</v>
      </c>
      <c r="T1065" s="702" t="s">
        <v>103</v>
      </c>
      <c r="U1065" s="489">
        <v>46112</v>
      </c>
      <c r="V1065" s="489">
        <v>46112</v>
      </c>
      <c r="W1065" s="702"/>
      <c r="X1065" s="702"/>
      <c r="Y1065" s="702"/>
      <c r="Z1065" s="702"/>
      <c r="AA1065" s="702"/>
      <c r="AB1065" s="702"/>
      <c r="AC1065" s="702"/>
      <c r="AD1065" s="702"/>
      <c r="AE1065" s="46"/>
    </row>
    <row r="1066" spans="1:31" ht="15" customHeight="1">
      <c r="A1066" s="702" t="s">
        <v>166</v>
      </c>
      <c r="B1066" s="702" t="s">
        <v>258</v>
      </c>
      <c r="C1066" s="103" t="str">
        <f>IF(ISBLANK(B1066),"",_xlfn.XLOOKUP(B1066,Recruiter!A:A,Recruiter!B:B))</f>
        <v>Bhoomika</v>
      </c>
      <c r="D1066" s="487" t="str">
        <f>IF(ISBLANK(A1066),"",_xlfn.XLOOKUP(A1066,'Requirement Overview'!C:C,'Requirement Overview'!E:E))</f>
        <v>Talme</v>
      </c>
      <c r="E1066" s="103" t="str">
        <f>IF(ISBLANK(A1066),"",_xlfn.XLOOKUP(A1066,'Requirement Overview'!C:C,'Requirement Overview'!H:H))</f>
        <v>IT</v>
      </c>
      <c r="F1066" s="77" t="str">
        <f>IF(ISBLANK(A1066),"",_xlfn.XLOOKUP(A1066,'Requirement Overview'!C:C,'Requirement Overview'!I:I))</f>
        <v>Hardware Project manager</v>
      </c>
      <c r="G1066" s="3" t="str">
        <f>IF(ISBLANK(A1066),"",_xlfn.XLOOKUP(A1066,'Requirement Overview'!C:C,'Requirement Overview'!G:G))</f>
        <v>LTTS</v>
      </c>
      <c r="H1066" s="470" t="s">
        <v>3889</v>
      </c>
      <c r="I1066" s="702" t="s">
        <v>519</v>
      </c>
      <c r="J1066" s="478" t="s">
        <v>3890</v>
      </c>
      <c r="K1066" s="702">
        <v>9986987141</v>
      </c>
      <c r="L1066" s="702" t="s">
        <v>311</v>
      </c>
      <c r="M1066" s="702" t="s">
        <v>1552</v>
      </c>
      <c r="N1066" s="702" t="s">
        <v>3891</v>
      </c>
      <c r="O1066" s="702" t="s">
        <v>2751</v>
      </c>
      <c r="P1066" s="702" t="s">
        <v>268</v>
      </c>
      <c r="Q1066" s="702" t="s">
        <v>268</v>
      </c>
      <c r="R1066" s="702" t="s">
        <v>3664</v>
      </c>
      <c r="S1066" s="702" t="s">
        <v>601</v>
      </c>
      <c r="T1066" s="702" t="s">
        <v>103</v>
      </c>
      <c r="U1066" s="489">
        <v>46112</v>
      </c>
      <c r="V1066" s="489">
        <v>46112</v>
      </c>
      <c r="W1066" s="702"/>
      <c r="X1066" s="702"/>
      <c r="Y1066" s="702"/>
      <c r="Z1066" s="702"/>
      <c r="AA1066" s="702"/>
      <c r="AB1066" s="702"/>
      <c r="AC1066" s="702"/>
      <c r="AD1066" s="702"/>
      <c r="AE1066" s="46"/>
    </row>
    <row r="1067" spans="1:31" ht="15" customHeight="1">
      <c r="A1067" s="702" t="s">
        <v>166</v>
      </c>
      <c r="B1067" s="702" t="s">
        <v>258</v>
      </c>
      <c r="C1067" s="103" t="str">
        <f>IF(ISBLANK(B1067),"",_xlfn.XLOOKUP(B1067,Recruiter!A:A,Recruiter!B:B))</f>
        <v>Bhoomika</v>
      </c>
      <c r="D1067" s="487" t="str">
        <f>IF(ISBLANK(A1067),"",_xlfn.XLOOKUP(A1067,'Requirement Overview'!C:C,'Requirement Overview'!E:E))</f>
        <v>Talme</v>
      </c>
      <c r="E1067" s="103" t="str">
        <f>IF(ISBLANK(A1067),"",_xlfn.XLOOKUP(A1067,'Requirement Overview'!C:C,'Requirement Overview'!H:H))</f>
        <v>IT</v>
      </c>
      <c r="F1067" s="77" t="str">
        <f>IF(ISBLANK(A1067),"",_xlfn.XLOOKUP(A1067,'Requirement Overview'!C:C,'Requirement Overview'!I:I))</f>
        <v>Hardware Project manager</v>
      </c>
      <c r="G1067" s="3" t="str">
        <f>IF(ISBLANK(A1067),"",_xlfn.XLOOKUP(A1067,'Requirement Overview'!C:C,'Requirement Overview'!G:G))</f>
        <v>LTTS</v>
      </c>
      <c r="H1067" s="470" t="s">
        <v>3892</v>
      </c>
      <c r="I1067" s="702" t="s">
        <v>519</v>
      </c>
      <c r="J1067" s="478" t="s">
        <v>3893</v>
      </c>
      <c r="K1067" s="702">
        <v>7757015450</v>
      </c>
      <c r="L1067" s="702" t="s">
        <v>311</v>
      </c>
      <c r="M1067" s="702" t="s">
        <v>1763</v>
      </c>
      <c r="N1067" s="702" t="s">
        <v>3894</v>
      </c>
      <c r="O1067" s="702" t="s">
        <v>3895</v>
      </c>
      <c r="P1067" s="702" t="s">
        <v>268</v>
      </c>
      <c r="Q1067" s="702" t="s">
        <v>268</v>
      </c>
      <c r="R1067" s="702" t="s">
        <v>353</v>
      </c>
      <c r="S1067" s="702" t="s">
        <v>601</v>
      </c>
      <c r="T1067" s="702" t="s">
        <v>103</v>
      </c>
      <c r="U1067" s="489">
        <v>46112</v>
      </c>
      <c r="V1067" s="489">
        <v>46112</v>
      </c>
      <c r="W1067" s="702"/>
      <c r="X1067" s="702"/>
      <c r="Y1067" s="702"/>
      <c r="Z1067" s="702"/>
      <c r="AA1067" s="702"/>
      <c r="AB1067" s="702"/>
      <c r="AC1067" s="702"/>
      <c r="AD1067" s="702"/>
      <c r="AE1067" s="46"/>
    </row>
    <row r="1068" spans="1:31" ht="15" customHeight="1">
      <c r="A1068" s="702" t="s">
        <v>166</v>
      </c>
      <c r="B1068" s="702" t="s">
        <v>258</v>
      </c>
      <c r="C1068" s="103" t="str">
        <f>IF(ISBLANK(B1068),"",_xlfn.XLOOKUP(B1068,Recruiter!A:A,Recruiter!B:B))</f>
        <v>Bhoomika</v>
      </c>
      <c r="D1068" s="487" t="str">
        <f>IF(ISBLANK(A1068),"",_xlfn.XLOOKUP(A1068,'Requirement Overview'!C:C,'Requirement Overview'!E:E))</f>
        <v>Talme</v>
      </c>
      <c r="E1068" s="103" t="str">
        <f>IF(ISBLANK(A1068),"",_xlfn.XLOOKUP(A1068,'Requirement Overview'!C:C,'Requirement Overview'!H:H))</f>
        <v>IT</v>
      </c>
      <c r="F1068" s="77" t="str">
        <f>IF(ISBLANK(A1068),"",_xlfn.XLOOKUP(A1068,'Requirement Overview'!C:C,'Requirement Overview'!I:I))</f>
        <v>Hardware Project manager</v>
      </c>
      <c r="G1068" s="3" t="str">
        <f>IF(ISBLANK(A1068),"",_xlfn.XLOOKUP(A1068,'Requirement Overview'!C:C,'Requirement Overview'!G:G))</f>
        <v>LTTS</v>
      </c>
      <c r="H1068" s="470" t="s">
        <v>3896</v>
      </c>
      <c r="I1068" s="702" t="s">
        <v>262</v>
      </c>
      <c r="J1068" s="478" t="s">
        <v>3897</v>
      </c>
      <c r="K1068" s="702">
        <v>9618875036</v>
      </c>
      <c r="L1068" s="702" t="s">
        <v>305</v>
      </c>
      <c r="M1068" s="702" t="s">
        <v>1763</v>
      </c>
      <c r="N1068" s="702" t="s">
        <v>3898</v>
      </c>
      <c r="O1068" s="702" t="s">
        <v>468</v>
      </c>
      <c r="P1068" s="702" t="s">
        <v>268</v>
      </c>
      <c r="Q1068" s="702" t="s">
        <v>268</v>
      </c>
      <c r="R1068" s="702" t="s">
        <v>345</v>
      </c>
      <c r="S1068" s="702" t="s">
        <v>601</v>
      </c>
      <c r="T1068" s="702" t="s">
        <v>103</v>
      </c>
      <c r="U1068" s="489">
        <v>46112</v>
      </c>
      <c r="V1068" s="489">
        <v>46112</v>
      </c>
      <c r="W1068" s="702"/>
      <c r="X1068" s="702"/>
      <c r="Y1068" s="702"/>
      <c r="Z1068" s="702"/>
      <c r="AA1068" s="702"/>
      <c r="AB1068" s="702"/>
      <c r="AC1068" s="702"/>
      <c r="AD1068" s="702"/>
      <c r="AE1068" s="46"/>
    </row>
    <row r="1069" spans="1:31" ht="15" customHeight="1">
      <c r="A1069" s="702" t="s">
        <v>166</v>
      </c>
      <c r="B1069" s="702" t="s">
        <v>258</v>
      </c>
      <c r="C1069" s="103" t="str">
        <f>IF(ISBLANK(B1069),"",_xlfn.XLOOKUP(B1069,Recruiter!A:A,Recruiter!B:B))</f>
        <v>Bhoomika</v>
      </c>
      <c r="D1069" s="487" t="str">
        <f>IF(ISBLANK(A1069),"",_xlfn.XLOOKUP(A1069,'Requirement Overview'!C:C,'Requirement Overview'!E:E))</f>
        <v>Talme</v>
      </c>
      <c r="E1069" s="103" t="str">
        <f>IF(ISBLANK(A1069),"",_xlfn.XLOOKUP(A1069,'Requirement Overview'!C:C,'Requirement Overview'!H:H))</f>
        <v>IT</v>
      </c>
      <c r="F1069" s="77" t="str">
        <f>IF(ISBLANK(A1069),"",_xlfn.XLOOKUP(A1069,'Requirement Overview'!C:C,'Requirement Overview'!I:I))</f>
        <v>Hardware Project manager</v>
      </c>
      <c r="G1069" s="3" t="str">
        <f>IF(ISBLANK(A1069),"",_xlfn.XLOOKUP(A1069,'Requirement Overview'!C:C,'Requirement Overview'!G:G))</f>
        <v>LTTS</v>
      </c>
      <c r="H1069" s="485" t="s">
        <v>3899</v>
      </c>
      <c r="I1069" s="702" t="s">
        <v>262</v>
      </c>
      <c r="J1069" s="478" t="s">
        <v>3900</v>
      </c>
      <c r="K1069" s="702">
        <v>7259071230</v>
      </c>
      <c r="L1069" s="702" t="s">
        <v>305</v>
      </c>
      <c r="M1069" s="702" t="s">
        <v>1763</v>
      </c>
      <c r="N1069" s="702" t="s">
        <v>3901</v>
      </c>
      <c r="O1069" s="702" t="s">
        <v>1653</v>
      </c>
      <c r="P1069" s="702" t="s">
        <v>268</v>
      </c>
      <c r="Q1069" s="702" t="s">
        <v>268</v>
      </c>
      <c r="R1069" s="702" t="s">
        <v>455</v>
      </c>
      <c r="S1069" s="702" t="s">
        <v>601</v>
      </c>
      <c r="T1069" s="702" t="s">
        <v>103</v>
      </c>
      <c r="U1069" s="489">
        <v>46114</v>
      </c>
      <c r="V1069" s="489">
        <v>46114</v>
      </c>
      <c r="W1069" s="702"/>
      <c r="X1069" s="702"/>
      <c r="Y1069" s="702"/>
      <c r="Z1069" s="702"/>
      <c r="AA1069" s="702"/>
      <c r="AB1069" s="702"/>
      <c r="AC1069" s="702"/>
      <c r="AD1069" s="702"/>
      <c r="AE1069" s="46"/>
    </row>
    <row r="1070" spans="1:31" ht="15" customHeight="1">
      <c r="A1070" s="702" t="s">
        <v>166</v>
      </c>
      <c r="B1070" s="702" t="s">
        <v>258</v>
      </c>
      <c r="C1070" s="103" t="str">
        <f>IF(ISBLANK(B1070),"",_xlfn.XLOOKUP(B1070,Recruiter!A:A,Recruiter!B:B))</f>
        <v>Bhoomika</v>
      </c>
      <c r="D1070" s="487" t="str">
        <f>IF(ISBLANK(A1070),"",_xlfn.XLOOKUP(A1070,'Requirement Overview'!C:C,'Requirement Overview'!E:E))</f>
        <v>Talme</v>
      </c>
      <c r="E1070" s="103" t="str">
        <f>IF(ISBLANK(A1070),"",_xlfn.XLOOKUP(A1070,'Requirement Overview'!C:C,'Requirement Overview'!H:H))</f>
        <v>IT</v>
      </c>
      <c r="F1070" s="77" t="str">
        <f>IF(ISBLANK(A1070),"",_xlfn.XLOOKUP(A1070,'Requirement Overview'!C:C,'Requirement Overview'!I:I))</f>
        <v>Hardware Project manager</v>
      </c>
      <c r="G1070" s="3" t="str">
        <f>IF(ISBLANK(A1070),"",_xlfn.XLOOKUP(A1070,'Requirement Overview'!C:C,'Requirement Overview'!G:G))</f>
        <v>LTTS</v>
      </c>
      <c r="H1070" s="713" t="s">
        <v>3902</v>
      </c>
      <c r="I1070" s="702" t="s">
        <v>3903</v>
      </c>
      <c r="J1070" s="494" t="s">
        <v>3904</v>
      </c>
      <c r="K1070" s="702">
        <v>8050329297</v>
      </c>
      <c r="L1070" s="702" t="s">
        <v>311</v>
      </c>
      <c r="M1070" s="702" t="s">
        <v>1598</v>
      </c>
      <c r="N1070" s="702" t="s">
        <v>3905</v>
      </c>
      <c r="O1070" s="702" t="s">
        <v>450</v>
      </c>
      <c r="P1070" s="702" t="s">
        <v>268</v>
      </c>
      <c r="Q1070" s="702" t="s">
        <v>268</v>
      </c>
      <c r="R1070" s="702" t="s">
        <v>353</v>
      </c>
      <c r="S1070" s="702" t="s">
        <v>601</v>
      </c>
      <c r="T1070" s="702" t="s">
        <v>103</v>
      </c>
      <c r="U1070" s="489">
        <v>46113</v>
      </c>
      <c r="V1070" s="489">
        <v>46113</v>
      </c>
      <c r="W1070" s="702"/>
      <c r="X1070" s="702"/>
      <c r="Y1070" s="702"/>
      <c r="Z1070" s="702"/>
      <c r="AA1070" s="702"/>
      <c r="AB1070" s="702"/>
      <c r="AC1070" s="702"/>
      <c r="AD1070" s="702"/>
      <c r="AE1070" s="46"/>
    </row>
    <row r="1071" spans="1:31" ht="15" customHeight="1">
      <c r="A1071" s="702" t="s">
        <v>166</v>
      </c>
      <c r="B1071" s="702" t="s">
        <v>258</v>
      </c>
      <c r="C1071" s="103" t="str">
        <f>IF(ISBLANK(B1071),"",_xlfn.XLOOKUP(B1071,Recruiter!A:A,Recruiter!B:B))</f>
        <v>Bhoomika</v>
      </c>
      <c r="D1071" s="487" t="str">
        <f>IF(ISBLANK(A1071),"",_xlfn.XLOOKUP(A1071,'Requirement Overview'!C:C,'Requirement Overview'!E:E))</f>
        <v>Talme</v>
      </c>
      <c r="E1071" s="103" t="str">
        <f>IF(ISBLANK(A1071),"",_xlfn.XLOOKUP(A1071,'Requirement Overview'!C:C,'Requirement Overview'!H:H))</f>
        <v>IT</v>
      </c>
      <c r="F1071" s="77" t="str">
        <f>IF(ISBLANK(A1071),"",_xlfn.XLOOKUP(A1071,'Requirement Overview'!C:C,'Requirement Overview'!I:I))</f>
        <v>Hardware Project manager</v>
      </c>
      <c r="G1071" s="3" t="str">
        <f>IF(ISBLANK(A1071),"",_xlfn.XLOOKUP(A1071,'Requirement Overview'!C:C,'Requirement Overview'!G:G))</f>
        <v>LTTS</v>
      </c>
      <c r="H1071" s="713" t="s">
        <v>3906</v>
      </c>
      <c r="I1071" s="702" t="s">
        <v>262</v>
      </c>
      <c r="J1071" s="494" t="s">
        <v>3907</v>
      </c>
      <c r="K1071" s="702">
        <v>9008348796</v>
      </c>
      <c r="L1071" s="702" t="s">
        <v>311</v>
      </c>
      <c r="M1071" s="702" t="s">
        <v>1763</v>
      </c>
      <c r="N1071" s="702" t="s">
        <v>3908</v>
      </c>
      <c r="O1071" s="702" t="s">
        <v>455</v>
      </c>
      <c r="P1071" s="702" t="s">
        <v>268</v>
      </c>
      <c r="Q1071" s="702" t="s">
        <v>268</v>
      </c>
      <c r="R1071" s="702" t="s">
        <v>3909</v>
      </c>
      <c r="S1071" s="702" t="s">
        <v>601</v>
      </c>
      <c r="T1071" s="702" t="s">
        <v>103</v>
      </c>
      <c r="U1071" s="489">
        <v>46113</v>
      </c>
      <c r="V1071" s="489">
        <v>46113</v>
      </c>
      <c r="W1071" s="702"/>
      <c r="X1071" s="702"/>
      <c r="Y1071" s="702"/>
      <c r="Z1071" s="702"/>
      <c r="AA1071" s="702"/>
      <c r="AB1071" s="702"/>
      <c r="AC1071" s="702"/>
      <c r="AD1071" s="702"/>
      <c r="AE1071" s="46"/>
    </row>
    <row r="1072" spans="1:31" ht="15" customHeight="1">
      <c r="A1072" s="702" t="s">
        <v>166</v>
      </c>
      <c r="B1072" s="702" t="s">
        <v>258</v>
      </c>
      <c r="C1072" s="103" t="str">
        <f>IF(ISBLANK(B1072),"",_xlfn.XLOOKUP(B1072,Recruiter!A:A,Recruiter!B:B))</f>
        <v>Bhoomika</v>
      </c>
      <c r="D1072" s="487" t="str">
        <f>IF(ISBLANK(A1072),"",_xlfn.XLOOKUP(A1072,'Requirement Overview'!C:C,'Requirement Overview'!E:E))</f>
        <v>Talme</v>
      </c>
      <c r="E1072" s="103" t="str">
        <f>IF(ISBLANK(A1072),"",_xlfn.XLOOKUP(A1072,'Requirement Overview'!C:C,'Requirement Overview'!H:H))</f>
        <v>IT</v>
      </c>
      <c r="F1072" s="77" t="str">
        <f>IF(ISBLANK(A1072),"",_xlfn.XLOOKUP(A1072,'Requirement Overview'!C:C,'Requirement Overview'!I:I))</f>
        <v>Hardware Project manager</v>
      </c>
      <c r="G1072" s="3" t="str">
        <f>IF(ISBLANK(A1072),"",_xlfn.XLOOKUP(A1072,'Requirement Overview'!C:C,'Requirement Overview'!G:G))</f>
        <v>LTTS</v>
      </c>
      <c r="H1072" s="702" t="s">
        <v>3910</v>
      </c>
      <c r="I1072" s="702" t="s">
        <v>262</v>
      </c>
      <c r="J1072" s="494" t="s">
        <v>3911</v>
      </c>
      <c r="K1072" s="702">
        <v>9986455333</v>
      </c>
      <c r="L1072" s="702" t="s">
        <v>311</v>
      </c>
      <c r="M1072" s="702" t="s">
        <v>3912</v>
      </c>
      <c r="N1072" s="702" t="s">
        <v>3913</v>
      </c>
      <c r="O1072" s="702" t="s">
        <v>1416</v>
      </c>
      <c r="P1072" s="702" t="s">
        <v>268</v>
      </c>
      <c r="Q1072" s="702" t="s">
        <v>268</v>
      </c>
      <c r="R1072" s="702" t="s">
        <v>455</v>
      </c>
      <c r="S1072" s="702" t="s">
        <v>601</v>
      </c>
      <c r="T1072" s="702" t="s">
        <v>103</v>
      </c>
      <c r="U1072" s="489">
        <v>46113</v>
      </c>
      <c r="V1072" s="489">
        <v>46113</v>
      </c>
      <c r="W1072" s="702"/>
      <c r="X1072" s="702"/>
      <c r="Y1072" s="702"/>
      <c r="Z1072" s="702"/>
      <c r="AA1072" s="702"/>
      <c r="AB1072" s="702"/>
      <c r="AC1072" s="702"/>
      <c r="AD1072" s="702"/>
      <c r="AE1072" s="46"/>
    </row>
    <row r="1073" spans="1:31" ht="15" customHeight="1">
      <c r="A1073" s="702" t="s">
        <v>166</v>
      </c>
      <c r="B1073" s="702" t="s">
        <v>258</v>
      </c>
      <c r="C1073" s="103" t="str">
        <f>IF(ISBLANK(B1073),"",_xlfn.XLOOKUP(B1073,Recruiter!A:A,Recruiter!B:B))</f>
        <v>Bhoomika</v>
      </c>
      <c r="D1073" s="487" t="str">
        <f>IF(ISBLANK(A1073),"",_xlfn.XLOOKUP(A1073,'Requirement Overview'!C:C,'Requirement Overview'!E:E))</f>
        <v>Talme</v>
      </c>
      <c r="E1073" s="103" t="str">
        <f>IF(ISBLANK(A1073),"",_xlfn.XLOOKUP(A1073,'Requirement Overview'!C:C,'Requirement Overview'!H:H))</f>
        <v>IT</v>
      </c>
      <c r="F1073" s="77" t="str">
        <f>IF(ISBLANK(A1073),"",_xlfn.XLOOKUP(A1073,'Requirement Overview'!C:C,'Requirement Overview'!I:I))</f>
        <v>Hardware Project manager</v>
      </c>
      <c r="G1073" s="3" t="str">
        <f>IF(ISBLANK(A1073),"",_xlfn.XLOOKUP(A1073,'Requirement Overview'!C:C,'Requirement Overview'!G:G))</f>
        <v>LTTS</v>
      </c>
      <c r="H1073" s="713" t="s">
        <v>3914</v>
      </c>
      <c r="I1073" s="702" t="s">
        <v>262</v>
      </c>
      <c r="J1073" s="494" t="s">
        <v>3915</v>
      </c>
      <c r="K1073" s="702">
        <v>9921168075</v>
      </c>
      <c r="L1073" s="702" t="s">
        <v>311</v>
      </c>
      <c r="M1073" s="702" t="s">
        <v>487</v>
      </c>
      <c r="N1073" s="702" t="s">
        <v>3916</v>
      </c>
      <c r="O1073" s="702" t="s">
        <v>548</v>
      </c>
      <c r="P1073" s="702" t="s">
        <v>268</v>
      </c>
      <c r="Q1073" s="702" t="s">
        <v>268</v>
      </c>
      <c r="R1073" s="702" t="s">
        <v>353</v>
      </c>
      <c r="S1073" s="702" t="s">
        <v>601</v>
      </c>
      <c r="T1073" s="702" t="s">
        <v>103</v>
      </c>
      <c r="U1073" s="489">
        <v>46113</v>
      </c>
      <c r="V1073" s="489">
        <v>46113</v>
      </c>
      <c r="W1073" s="702"/>
      <c r="X1073" s="702"/>
      <c r="Y1073" s="702"/>
      <c r="Z1073" s="702"/>
      <c r="AA1073" s="702"/>
      <c r="AB1073" s="702"/>
      <c r="AC1073" s="702"/>
      <c r="AD1073" s="702"/>
      <c r="AE1073" s="46"/>
    </row>
    <row r="1074" spans="1:31" ht="15" customHeight="1">
      <c r="A1074" s="702" t="s">
        <v>166</v>
      </c>
      <c r="B1074" s="702" t="s">
        <v>258</v>
      </c>
      <c r="C1074" s="103" t="str">
        <f>IF(ISBLANK(B1074),"",_xlfn.XLOOKUP(B1074,Recruiter!A:A,Recruiter!B:B))</f>
        <v>Bhoomika</v>
      </c>
      <c r="D1074" s="487" t="str">
        <f>IF(ISBLANK(A1074),"",_xlfn.XLOOKUP(A1074,'Requirement Overview'!C:C,'Requirement Overview'!E:E))</f>
        <v>Talme</v>
      </c>
      <c r="E1074" s="103" t="str">
        <f>IF(ISBLANK(A1074),"",_xlfn.XLOOKUP(A1074,'Requirement Overview'!C:C,'Requirement Overview'!H:H))</f>
        <v>IT</v>
      </c>
      <c r="F1074" s="77" t="str">
        <f>IF(ISBLANK(A1074),"",_xlfn.XLOOKUP(A1074,'Requirement Overview'!C:C,'Requirement Overview'!I:I))</f>
        <v>Hardware Project manager</v>
      </c>
      <c r="G1074" s="3" t="str">
        <f>IF(ISBLANK(A1074),"",_xlfn.XLOOKUP(A1074,'Requirement Overview'!C:C,'Requirement Overview'!G:G))</f>
        <v>LTTS</v>
      </c>
      <c r="H1074" s="713" t="s">
        <v>3917</v>
      </c>
      <c r="I1074" s="702" t="s">
        <v>497</v>
      </c>
      <c r="J1074" s="494" t="s">
        <v>3918</v>
      </c>
      <c r="K1074" s="702">
        <v>9686958183</v>
      </c>
      <c r="L1074" s="702" t="s">
        <v>3919</v>
      </c>
      <c r="M1074" s="702" t="s">
        <v>343</v>
      </c>
      <c r="N1074" s="702" t="s">
        <v>3920</v>
      </c>
      <c r="O1074" s="702" t="s">
        <v>548</v>
      </c>
      <c r="P1074" s="702" t="s">
        <v>268</v>
      </c>
      <c r="Q1074" s="702" t="s">
        <v>268</v>
      </c>
      <c r="R1074" s="702" t="s">
        <v>691</v>
      </c>
      <c r="S1074" s="702" t="s">
        <v>601</v>
      </c>
      <c r="T1074" s="702" t="s">
        <v>103</v>
      </c>
      <c r="U1074" s="489">
        <v>46113</v>
      </c>
      <c r="V1074" s="489">
        <v>46113</v>
      </c>
      <c r="W1074" s="702"/>
      <c r="X1074" s="702"/>
      <c r="Y1074" s="702"/>
      <c r="Z1074" s="702"/>
      <c r="AA1074" s="702"/>
      <c r="AB1074" s="702"/>
      <c r="AC1074" s="702"/>
      <c r="AD1074" s="702"/>
      <c r="AE1074" s="46"/>
    </row>
    <row r="1075" spans="1:31" ht="15" customHeight="1">
      <c r="A1075" s="702" t="s">
        <v>170</v>
      </c>
      <c r="B1075" s="702" t="s">
        <v>258</v>
      </c>
      <c r="C1075" s="103" t="str">
        <f>IF(ISBLANK(B1075),"",_xlfn.XLOOKUP(B1075,Recruiter!A:A,Recruiter!B:B))</f>
        <v>Bhoomika</v>
      </c>
      <c r="D1075" s="487" t="s">
        <v>25</v>
      </c>
      <c r="E1075" s="103" t="s">
        <v>27</v>
      </c>
      <c r="F1075" s="77" t="str">
        <f>IF(ISBLANK(A1075),"",_xlfn.XLOOKUP(A1075,'Requirement Overview'!C:C,'Requirement Overview'!I:I))</f>
        <v>Devops AWS</v>
      </c>
      <c r="G1075" s="3" t="s">
        <v>26</v>
      </c>
      <c r="H1075" s="470" t="s">
        <v>3921</v>
      </c>
      <c r="I1075" s="702" t="s">
        <v>519</v>
      </c>
      <c r="J1075" s="470" t="s">
        <v>3922</v>
      </c>
      <c r="K1075" s="470">
        <v>6300906592</v>
      </c>
      <c r="L1075" s="702" t="s">
        <v>404</v>
      </c>
      <c r="M1075" s="702" t="s">
        <v>768</v>
      </c>
      <c r="N1075" s="702" t="s">
        <v>3923</v>
      </c>
      <c r="O1075" s="702" t="s">
        <v>1302</v>
      </c>
      <c r="P1075" s="702" t="s">
        <v>879</v>
      </c>
      <c r="Q1075" s="702" t="s">
        <v>1139</v>
      </c>
      <c r="R1075" s="702" t="s">
        <v>541</v>
      </c>
      <c r="S1075" s="702" t="s">
        <v>601</v>
      </c>
      <c r="T1075" s="702" t="s">
        <v>103</v>
      </c>
      <c r="U1075" s="489">
        <v>46114</v>
      </c>
      <c r="V1075" s="489">
        <v>46114</v>
      </c>
      <c r="W1075" s="702"/>
      <c r="X1075" s="702"/>
      <c r="Y1075" s="702"/>
      <c r="Z1075" s="702"/>
      <c r="AA1075" s="702"/>
      <c r="AB1075" s="702"/>
      <c r="AC1075" s="702"/>
      <c r="AD1075" s="702"/>
      <c r="AE1075" s="46"/>
    </row>
    <row r="1076" spans="1:31" ht="15" customHeight="1">
      <c r="A1076" s="702" t="s">
        <v>170</v>
      </c>
      <c r="B1076" s="702" t="s">
        <v>258</v>
      </c>
      <c r="C1076" s="103" t="str">
        <f>IF(ISBLANK(B1076),"",_xlfn.XLOOKUP(B1076,Recruiter!A:A,Recruiter!B:B))</f>
        <v>Bhoomika</v>
      </c>
      <c r="D1076" s="487" t="s">
        <v>25</v>
      </c>
      <c r="E1076" s="103" t="s">
        <v>27</v>
      </c>
      <c r="F1076" s="77" t="str">
        <f>IF(ISBLANK(A1076),"",_xlfn.XLOOKUP(A1076,'Requirement Overview'!C:C,'Requirement Overview'!I:I))</f>
        <v>Devops AWS</v>
      </c>
      <c r="G1076" s="3" t="s">
        <v>26</v>
      </c>
      <c r="H1076" s="470" t="s">
        <v>3924</v>
      </c>
      <c r="I1076" s="702" t="s">
        <v>519</v>
      </c>
      <c r="J1076" s="470" t="s">
        <v>3925</v>
      </c>
      <c r="K1076" s="470">
        <v>8700234827</v>
      </c>
      <c r="L1076" s="702" t="s">
        <v>305</v>
      </c>
      <c r="M1076" s="702" t="s">
        <v>379</v>
      </c>
      <c r="N1076" s="702" t="s">
        <v>3926</v>
      </c>
      <c r="O1076" s="702" t="s">
        <v>541</v>
      </c>
      <c r="P1076" s="702" t="s">
        <v>3739</v>
      </c>
      <c r="Q1076" s="702" t="s">
        <v>1139</v>
      </c>
      <c r="R1076" s="702" t="s">
        <v>474</v>
      </c>
      <c r="S1076" s="702" t="s">
        <v>601</v>
      </c>
      <c r="T1076" s="702" t="s">
        <v>103</v>
      </c>
      <c r="U1076" s="489">
        <v>46114</v>
      </c>
      <c r="V1076" s="489">
        <v>46114</v>
      </c>
      <c r="W1076" s="702"/>
      <c r="X1076" s="702"/>
      <c r="Y1076" s="702"/>
      <c r="Z1076" s="702"/>
      <c r="AA1076" s="702"/>
      <c r="AB1076" s="702"/>
      <c r="AC1076" s="702"/>
      <c r="AD1076" s="702"/>
      <c r="AE1076" s="46"/>
    </row>
    <row r="1077" spans="1:31" ht="15" customHeight="1">
      <c r="A1077" s="702" t="s">
        <v>170</v>
      </c>
      <c r="B1077" s="702" t="s">
        <v>258</v>
      </c>
      <c r="C1077" s="103" t="str">
        <f>IF(ISBLANK(B1077),"",_xlfn.XLOOKUP(B1077,Recruiter!A:A,Recruiter!B:B))</f>
        <v>Bhoomika</v>
      </c>
      <c r="D1077" s="487" t="s">
        <v>25</v>
      </c>
      <c r="E1077" s="103" t="s">
        <v>27</v>
      </c>
      <c r="F1077" s="77" t="str">
        <f>IF(ISBLANK(A1077),"",_xlfn.XLOOKUP(A1077,'Requirement Overview'!C:C,'Requirement Overview'!I:I))</f>
        <v>Devops AWS</v>
      </c>
      <c r="G1077" s="3" t="s">
        <v>26</v>
      </c>
      <c r="H1077" s="470" t="s">
        <v>3927</v>
      </c>
      <c r="I1077" s="702" t="s">
        <v>3928</v>
      </c>
      <c r="J1077" s="470" t="s">
        <v>3929</v>
      </c>
      <c r="K1077" s="470">
        <v>7972971818</v>
      </c>
      <c r="L1077" s="702" t="s">
        <v>305</v>
      </c>
      <c r="M1077" s="702" t="s">
        <v>390</v>
      </c>
      <c r="N1077" s="702" t="s">
        <v>3930</v>
      </c>
      <c r="O1077" s="702" t="s">
        <v>1145</v>
      </c>
      <c r="P1077" s="702" t="s">
        <v>569</v>
      </c>
      <c r="Q1077" s="702" t="s">
        <v>1139</v>
      </c>
      <c r="R1077" s="702" t="s">
        <v>474</v>
      </c>
      <c r="S1077" s="702" t="s">
        <v>601</v>
      </c>
      <c r="T1077" s="702" t="s">
        <v>103</v>
      </c>
      <c r="U1077" s="489">
        <v>46114</v>
      </c>
      <c r="V1077" s="489">
        <v>46114</v>
      </c>
      <c r="W1077" s="702"/>
      <c r="X1077" s="702"/>
      <c r="Y1077" s="702"/>
      <c r="Z1077" s="702"/>
      <c r="AA1077" s="702"/>
      <c r="AB1077" s="702"/>
      <c r="AC1077" s="702"/>
      <c r="AD1077" s="702"/>
      <c r="AE1077" s="46"/>
    </row>
    <row r="1078" spans="1:31" ht="15" customHeight="1">
      <c r="A1078" s="47" t="s">
        <v>168</v>
      </c>
      <c r="B1078" s="47" t="s">
        <v>340</v>
      </c>
      <c r="C1078" s="433" t="str">
        <f>IF(ISBLANK(B1078),"",_xlfn.XLOOKUP(B1078,Recruiter!A:A,Recruiter!B:B))</f>
        <v>Harshitha</v>
      </c>
      <c r="D1078" s="433" t="str">
        <f>IF(ISBLANK(A1078),"",_xlfn.XLOOKUP(A1078,'Requirement Overview'!C:C,'Requirement Overview'!E:E))</f>
        <v>Talme</v>
      </c>
      <c r="E1078" s="129" t="str">
        <f>IF(ISBLANK(A1078),"",_xlfn.XLOOKUP(A1078,'Requirement Overview'!C:C,'Requirement Overview'!H:H))</f>
        <v>IT</v>
      </c>
      <c r="F1078" s="662" t="str">
        <f>IF(ISBLANK(A1078),"",_xlfn.XLOOKUP(A1078,'Requirement Overview'!C:C,'Requirement Overview'!I:I))</f>
        <v>Devops Lead</v>
      </c>
      <c r="G1078" s="338" t="str">
        <f>IF(ISBLANK(A1078),"",_xlfn.XLOOKUP(A1078,'Requirement Overview'!C:C,'Requirement Overview'!G:G))</f>
        <v>EMIDS</v>
      </c>
      <c r="H1078" s="622" t="s">
        <v>3931</v>
      </c>
      <c r="I1078" s="184" t="s">
        <v>519</v>
      </c>
      <c r="J1078" s="625" t="s">
        <v>3932</v>
      </c>
      <c r="K1078" s="624">
        <v>8977244524</v>
      </c>
      <c r="L1078" s="184" t="s">
        <v>305</v>
      </c>
      <c r="M1078" s="47" t="s">
        <v>487</v>
      </c>
      <c r="N1078" s="663" t="s">
        <v>3933</v>
      </c>
      <c r="O1078" s="47" t="s">
        <v>1144</v>
      </c>
      <c r="P1078" s="47" t="s">
        <v>879</v>
      </c>
      <c r="Q1078" s="47" t="s">
        <v>879</v>
      </c>
      <c r="R1078" s="47" t="s">
        <v>1844</v>
      </c>
      <c r="S1078" s="47" t="s">
        <v>270</v>
      </c>
      <c r="T1078" s="47" t="s">
        <v>103</v>
      </c>
      <c r="U1078" s="47"/>
      <c r="V1078" s="47"/>
      <c r="W1078" s="47"/>
      <c r="X1078" s="47"/>
      <c r="Y1078" s="47"/>
      <c r="Z1078" s="47"/>
      <c r="AA1078" s="47"/>
      <c r="AB1078" s="47"/>
      <c r="AC1078" s="47"/>
      <c r="AD1078" s="47"/>
    </row>
    <row r="1079" spans="1:31" ht="15" customHeight="1">
      <c r="A1079" s="24" t="s">
        <v>172</v>
      </c>
      <c r="B1079" s="24" t="s">
        <v>340</v>
      </c>
      <c r="C1079" s="103" t="str">
        <f>IF(ISBLANK(B1079),"",_xlfn.XLOOKUP(B1079,Recruiter!A:A,Recruiter!B:B))</f>
        <v>Harshitha</v>
      </c>
      <c r="D1079" s="103" t="str">
        <f>IF(ISBLANK(A1079),"",_xlfn.XLOOKUP(A1079,'Requirement Overview'!C:C,'Requirement Overview'!E:E))</f>
        <v>Talme</v>
      </c>
      <c r="E1079" s="84" t="str">
        <f>IF(ISBLANK(A1079),"",_xlfn.XLOOKUP(A1079,'Requirement Overview'!C:C,'Requirement Overview'!H:H))</f>
        <v>IT</v>
      </c>
      <c r="F1079" s="445" t="str">
        <f>IF(ISBLANK(A1079),"",_xlfn.XLOOKUP(A1079,'Requirement Overview'!C:C,'Requirement Overview'!I:I))</f>
        <v>Data Architect</v>
      </c>
      <c r="G1079" s="62" t="str">
        <f>IF(ISBLANK(A1079),"",_xlfn.XLOOKUP(A1079,'Requirement Overview'!C:C,'Requirement Overview'!G:G))</f>
        <v>EMIDS</v>
      </c>
      <c r="H1079" s="276" t="s">
        <v>3934</v>
      </c>
      <c r="I1079" s="46" t="s">
        <v>519</v>
      </c>
      <c r="J1079" s="257" t="s">
        <v>3935</v>
      </c>
      <c r="K1079" s="277">
        <v>7893618606</v>
      </c>
      <c r="L1079" s="46" t="s">
        <v>794</v>
      </c>
      <c r="M1079" s="24" t="s">
        <v>1552</v>
      </c>
      <c r="N1079" s="126" t="s">
        <v>3936</v>
      </c>
      <c r="O1079" s="24" t="s">
        <v>3937</v>
      </c>
      <c r="P1079" s="24" t="s">
        <v>879</v>
      </c>
      <c r="Q1079" s="24" t="s">
        <v>1139</v>
      </c>
      <c r="R1079" s="24" t="s">
        <v>469</v>
      </c>
    </row>
    <row r="1080" spans="1:31" ht="15" customHeight="1">
      <c r="A1080" s="24" t="s">
        <v>172</v>
      </c>
      <c r="B1080" s="24" t="s">
        <v>340</v>
      </c>
      <c r="C1080" s="103" t="str">
        <f>IF(ISBLANK(B1080),"",_xlfn.XLOOKUP(B1080,Recruiter!A:A,Recruiter!B:B))</f>
        <v>Harshitha</v>
      </c>
      <c r="D1080" s="103" t="str">
        <f>IF(ISBLANK(A1080),"",_xlfn.XLOOKUP(A1080,'Requirement Overview'!C:C,'Requirement Overview'!E:E))</f>
        <v>Talme</v>
      </c>
      <c r="E1080" s="84" t="str">
        <f>IF(ISBLANK(A1080),"",_xlfn.XLOOKUP(A1080,'Requirement Overview'!C:C,'Requirement Overview'!H:H))</f>
        <v>IT</v>
      </c>
      <c r="F1080" s="445" t="str">
        <f>IF(ISBLANK(A1080),"",_xlfn.XLOOKUP(A1080,'Requirement Overview'!C:C,'Requirement Overview'!I:I))</f>
        <v>Data Architect</v>
      </c>
      <c r="G1080" s="62" t="str">
        <f>IF(ISBLANK(A1080),"",_xlfn.XLOOKUP(A1080,'Requirement Overview'!C:C,'Requirement Overview'!G:G))</f>
        <v>EMIDS</v>
      </c>
      <c r="H1080" s="276" t="s">
        <v>3938</v>
      </c>
      <c r="I1080" s="46" t="s">
        <v>519</v>
      </c>
      <c r="J1080" s="260" t="s">
        <v>3939</v>
      </c>
      <c r="K1080" s="44">
        <v>9903521788</v>
      </c>
      <c r="L1080" s="46" t="s">
        <v>305</v>
      </c>
      <c r="M1080" s="24" t="s">
        <v>3940</v>
      </c>
      <c r="N1080" s="44" t="s">
        <v>400</v>
      </c>
      <c r="O1080" s="24" t="s">
        <v>3664</v>
      </c>
      <c r="P1080" s="24" t="s">
        <v>1139</v>
      </c>
      <c r="Q1080" s="24" t="s">
        <v>1139</v>
      </c>
      <c r="R1080" s="24" t="s">
        <v>445</v>
      </c>
    </row>
    <row r="1081" spans="1:31" ht="15" customHeight="1">
      <c r="A1081" s="24" t="s">
        <v>170</v>
      </c>
      <c r="B1081" s="24" t="s">
        <v>340</v>
      </c>
      <c r="C1081" s="103" t="str">
        <f>IF(ISBLANK(B1081),"",_xlfn.XLOOKUP(B1081,Recruiter!A:A,Recruiter!B:B))</f>
        <v>Harshitha</v>
      </c>
      <c r="D1081" s="103" t="str">
        <f>IF(ISBLANK(A1081),"",_xlfn.XLOOKUP(A1081,'Requirement Overview'!C:C,'Requirement Overview'!E:E))</f>
        <v>Talme</v>
      </c>
      <c r="E1081" s="84" t="str">
        <f>IF(ISBLANK(A1081),"",_xlfn.XLOOKUP(A1081,'Requirement Overview'!C:C,'Requirement Overview'!H:H))</f>
        <v>IT</v>
      </c>
      <c r="F1081" s="445" t="str">
        <f>IF(ISBLANK(A1081),"",_xlfn.XLOOKUP(A1081,'Requirement Overview'!C:C,'Requirement Overview'!I:I))</f>
        <v>Devops AWS</v>
      </c>
      <c r="G1081" s="62" t="str">
        <f>IF(ISBLANK(A1081),"",_xlfn.XLOOKUP(A1081,'Requirement Overview'!C:C,'Requirement Overview'!G:G))</f>
        <v>EMIDS</v>
      </c>
      <c r="H1081" s="276" t="s">
        <v>3941</v>
      </c>
      <c r="I1081" s="3" t="s">
        <v>3534</v>
      </c>
      <c r="J1081" s="257" t="s">
        <v>3942</v>
      </c>
      <c r="K1081" s="277">
        <v>9046849262</v>
      </c>
      <c r="L1081" s="46" t="s">
        <v>305</v>
      </c>
      <c r="M1081" s="3" t="s">
        <v>2184</v>
      </c>
      <c r="N1081" s="126" t="s">
        <v>3943</v>
      </c>
      <c r="O1081" s="3" t="s">
        <v>386</v>
      </c>
      <c r="P1081" s="3" t="s">
        <v>1139</v>
      </c>
      <c r="Q1081" s="3" t="s">
        <v>1139</v>
      </c>
      <c r="R1081" s="3" t="s">
        <v>3944</v>
      </c>
      <c r="S1081" s="24" t="s">
        <v>375</v>
      </c>
      <c r="T1081" s="24" t="s">
        <v>103</v>
      </c>
    </row>
    <row r="1082" spans="1:31" ht="15" customHeight="1">
      <c r="A1082" s="24" t="s">
        <v>170</v>
      </c>
      <c r="B1082" s="24" t="s">
        <v>340</v>
      </c>
      <c r="C1082" s="103" t="str">
        <f>IF(ISBLANK(B1082),"",_xlfn.XLOOKUP(B1082,Recruiter!A:A,Recruiter!B:B))</f>
        <v>Harshitha</v>
      </c>
      <c r="D1082" s="103" t="str">
        <f>IF(ISBLANK(A1082),"",_xlfn.XLOOKUP(A1082,'Requirement Overview'!C:C,'Requirement Overview'!E:E))</f>
        <v>Talme</v>
      </c>
      <c r="E1082" s="84" t="str">
        <f>IF(ISBLANK(A1082),"",_xlfn.XLOOKUP(A1082,'Requirement Overview'!C:C,'Requirement Overview'!H:H))</f>
        <v>IT</v>
      </c>
      <c r="F1082" s="445" t="str">
        <f>IF(ISBLANK(A1082),"",_xlfn.XLOOKUP(A1082,'Requirement Overview'!C:C,'Requirement Overview'!I:I))</f>
        <v>Devops AWS</v>
      </c>
      <c r="G1082" s="62" t="str">
        <f>IF(ISBLANK(A1082),"",_xlfn.XLOOKUP(A1082,'Requirement Overview'!C:C,'Requirement Overview'!G:G))</f>
        <v>EMIDS</v>
      </c>
      <c r="H1082" s="276" t="s">
        <v>3945</v>
      </c>
      <c r="I1082" s="3" t="s">
        <v>3946</v>
      </c>
      <c r="J1082" s="260" t="s">
        <v>3947</v>
      </c>
      <c r="K1082" s="44">
        <v>7908112084</v>
      </c>
      <c r="L1082" s="46" t="s">
        <v>305</v>
      </c>
      <c r="M1082" s="3" t="s">
        <v>685</v>
      </c>
      <c r="N1082" s="252" t="s">
        <v>1519</v>
      </c>
      <c r="O1082" s="3" t="s">
        <v>1145</v>
      </c>
      <c r="P1082" s="3" t="s">
        <v>1139</v>
      </c>
      <c r="Q1082" s="3" t="s">
        <v>1139</v>
      </c>
      <c r="R1082" s="3" t="s">
        <v>3948</v>
      </c>
      <c r="S1082" s="24" t="s">
        <v>375</v>
      </c>
      <c r="T1082" s="24" t="s">
        <v>103</v>
      </c>
    </row>
    <row r="1083" spans="1:31" ht="15" customHeight="1">
      <c r="C1083" s="103"/>
      <c r="D1083" s="103"/>
      <c r="E1083" s="84"/>
      <c r="F1083" s="445"/>
      <c r="G1083" s="62"/>
      <c r="I1083" s="46"/>
      <c r="J1083" s="59"/>
      <c r="L1083" s="46"/>
    </row>
    <row r="1084" spans="1:31" ht="15" customHeight="1">
      <c r="C1084" s="103" t="str">
        <f>IF(ISBLANK(B1084),"",_xlfn.XLOOKUP(B1084,Recruiter!A:A,Recruiter!B:B))</f>
        <v/>
      </c>
      <c r="D1084" s="103" t="str">
        <f>IF(ISBLANK(A1084),"",_xlfn.XLOOKUP(A1084,'Requirement Overview'!C:C,'Requirement Overview'!E:E))</f>
        <v/>
      </c>
      <c r="E1084" s="84" t="str">
        <f>IF(ISBLANK(A1084),"",_xlfn.XLOOKUP(A1084,'Requirement Overview'!C:C,'Requirement Overview'!H:H))</f>
        <v/>
      </c>
      <c r="F1084" s="445" t="str">
        <f>IF(ISBLANK(A1084),"",_xlfn.XLOOKUP(A1084,'Requirement Overview'!C:C,'Requirement Overview'!I:I))</f>
        <v/>
      </c>
      <c r="G1084" s="62" t="str">
        <f>IF(ISBLANK(A1084),"",_xlfn.XLOOKUP(A1084,'Requirement Overview'!C:C,'Requirement Overview'!G:G))</f>
        <v/>
      </c>
      <c r="I1084" s="46"/>
      <c r="J1084" s="59"/>
      <c r="L1084" s="46"/>
    </row>
    <row r="1085" spans="1:31" ht="15" customHeight="1">
      <c r="A1085" s="24" t="s">
        <v>143</v>
      </c>
      <c r="B1085" s="24" t="s">
        <v>520</v>
      </c>
      <c r="C1085" s="103" t="str">
        <f>IF(ISBLANK(B1085),"",_xlfn.XLOOKUP(B1085,Recruiter!A:A,Recruiter!B:B))</f>
        <v>Narthana</v>
      </c>
      <c r="D1085" s="103" t="str">
        <f>IF(ISBLANK(A1085),"",_xlfn.XLOOKUP(A1085,'Requirement Overview'!C:C,'Requirement Overview'!E:E))</f>
        <v>Talme</v>
      </c>
      <c r="E1085" s="84" t="str">
        <f>IF(ISBLANK(A1085),"",_xlfn.XLOOKUP(A1085,'Requirement Overview'!C:C,'Requirement Overview'!H:H))</f>
        <v>Non - IT</v>
      </c>
      <c r="F1085" s="445" t="str">
        <f>IF(ISBLANK(A1085),"",_xlfn.XLOOKUP(A1085,'Requirement Overview'!C:C,'Requirement Overview'!I:I))</f>
        <v>Manufacturing ITI</v>
      </c>
      <c r="G1085" s="62" t="str">
        <f>IF(ISBLANK(A1085),"",_xlfn.XLOOKUP(A1085,'Requirement Overview'!C:C,'Requirement Overview'!G:G))</f>
        <v>Micron</v>
      </c>
      <c r="H1085" s="139" t="s">
        <v>3949</v>
      </c>
      <c r="I1085" s="634" t="s">
        <v>297</v>
      </c>
      <c r="J1085" s="634" t="s">
        <v>3950</v>
      </c>
      <c r="K1085" s="634">
        <v>9016862163</v>
      </c>
      <c r="L1085" s="24" t="s">
        <v>3220</v>
      </c>
      <c r="M1085" s="24" t="s">
        <v>1230</v>
      </c>
      <c r="O1085" s="113" t="s">
        <v>3448</v>
      </c>
      <c r="P1085" s="113" t="s">
        <v>2487</v>
      </c>
      <c r="Q1085" s="24" t="s">
        <v>3951</v>
      </c>
      <c r="R1085" s="113" t="s">
        <v>293</v>
      </c>
      <c r="S1085" s="24" t="s">
        <v>601</v>
      </c>
      <c r="T1085" s="24" t="s">
        <v>103</v>
      </c>
      <c r="U1085" s="29">
        <v>46111</v>
      </c>
      <c r="V1085" s="29">
        <v>46111</v>
      </c>
    </row>
    <row r="1086" spans="1:31" ht="15" customHeight="1">
      <c r="A1086" s="24" t="s">
        <v>140</v>
      </c>
      <c r="B1086" s="24" t="s">
        <v>520</v>
      </c>
      <c r="C1086" s="103" t="str">
        <f>IF(ISBLANK(B1086),"",_xlfn.XLOOKUP(B1086,Recruiter!A:A,Recruiter!B:B))</f>
        <v>Narthana</v>
      </c>
      <c r="D1086" s="103" t="str">
        <f>IF(ISBLANK(A1086),"",_xlfn.XLOOKUP(A1086,'Requirement Overview'!C:C,'Requirement Overview'!E:E))</f>
        <v>Talme</v>
      </c>
      <c r="E1086" s="84" t="str">
        <f>IF(ISBLANK(A1086),"",_xlfn.XLOOKUP(A1086,'Requirement Overview'!C:C,'Requirement Overview'!H:H))</f>
        <v>Non - IT</v>
      </c>
      <c r="F1086" s="445" t="str">
        <f>IF(ISBLANK(A1086),"",_xlfn.XLOOKUP(A1086,'Requirement Overview'!C:C,'Requirement Overview'!I:I))</f>
        <v>Production Operator</v>
      </c>
      <c r="G1086" s="62" t="str">
        <f>IF(ISBLANK(A1086),"",_xlfn.XLOOKUP(A1086,'Requirement Overview'!C:C,'Requirement Overview'!G:G))</f>
        <v>Micron</v>
      </c>
      <c r="H1086" s="139" t="s">
        <v>3952</v>
      </c>
      <c r="I1086" s="113" t="s">
        <v>262</v>
      </c>
      <c r="J1086" s="189" t="s">
        <v>3953</v>
      </c>
      <c r="K1086" s="189">
        <v>8305843945</v>
      </c>
      <c r="L1086" s="113" t="s">
        <v>733</v>
      </c>
      <c r="M1086" s="113" t="s">
        <v>3954</v>
      </c>
      <c r="P1086" s="113" t="s">
        <v>3234</v>
      </c>
      <c r="Q1086" s="24" t="s">
        <v>3951</v>
      </c>
      <c r="S1086" s="24" t="s">
        <v>601</v>
      </c>
      <c r="T1086" s="24" t="s">
        <v>103</v>
      </c>
      <c r="U1086" s="29">
        <v>46114</v>
      </c>
      <c r="V1086" s="29">
        <v>46114</v>
      </c>
    </row>
    <row r="1087" spans="1:31" ht="15" customHeight="1">
      <c r="A1087" s="24" t="s">
        <v>140</v>
      </c>
      <c r="B1087" s="24" t="s">
        <v>520</v>
      </c>
      <c r="C1087" s="103" t="str">
        <f>IF(ISBLANK(B1087),"",_xlfn.XLOOKUP(B1087,Recruiter!A:A,Recruiter!B:B))</f>
        <v>Narthana</v>
      </c>
      <c r="D1087" s="103" t="str">
        <f>IF(ISBLANK(A1087),"",_xlfn.XLOOKUP(A1087,'Requirement Overview'!C:C,'Requirement Overview'!E:E))</f>
        <v>Talme</v>
      </c>
      <c r="E1087" s="84" t="str">
        <f>IF(ISBLANK(A1087),"",_xlfn.XLOOKUP(A1087,'Requirement Overview'!C:C,'Requirement Overview'!H:H))</f>
        <v>Non - IT</v>
      </c>
      <c r="F1087" s="445" t="str">
        <f>IF(ISBLANK(A1087),"",_xlfn.XLOOKUP(A1087,'Requirement Overview'!C:C,'Requirement Overview'!I:I))</f>
        <v>Production Operator</v>
      </c>
      <c r="G1087" s="62" t="str">
        <f>IF(ISBLANK(A1087),"",_xlfn.XLOOKUP(A1087,'Requirement Overview'!C:C,'Requirement Overview'!G:G))</f>
        <v>Micron</v>
      </c>
      <c r="H1087" s="139" t="s">
        <v>3955</v>
      </c>
      <c r="I1087" s="113" t="s">
        <v>262</v>
      </c>
      <c r="J1087" s="189" t="s">
        <v>3956</v>
      </c>
      <c r="K1087" s="189">
        <v>6200475614</v>
      </c>
      <c r="L1087" s="113" t="s">
        <v>733</v>
      </c>
      <c r="M1087" s="113" t="s">
        <v>3957</v>
      </c>
      <c r="P1087" s="113" t="s">
        <v>1055</v>
      </c>
      <c r="Q1087" s="24" t="s">
        <v>3951</v>
      </c>
      <c r="S1087" s="24" t="s">
        <v>601</v>
      </c>
      <c r="T1087" s="24" t="s">
        <v>103</v>
      </c>
      <c r="U1087" s="29">
        <v>46114</v>
      </c>
      <c r="V1087" s="29">
        <v>46114</v>
      </c>
    </row>
    <row r="1088" spans="1:31" ht="15" customHeight="1">
      <c r="A1088" s="24" t="s">
        <v>140</v>
      </c>
      <c r="B1088" s="24" t="s">
        <v>520</v>
      </c>
      <c r="C1088" s="103" t="str">
        <f>IF(ISBLANK(B1088),"",_xlfn.XLOOKUP(B1088,Recruiter!A:A,Recruiter!B:B))</f>
        <v>Narthana</v>
      </c>
      <c r="D1088" s="103" t="str">
        <f>IF(ISBLANK(A1088),"",_xlfn.XLOOKUP(A1088,'Requirement Overview'!C:C,'Requirement Overview'!E:E))</f>
        <v>Talme</v>
      </c>
      <c r="E1088" s="84" t="str">
        <f>IF(ISBLANK(A1088),"",_xlfn.XLOOKUP(A1088,'Requirement Overview'!C:C,'Requirement Overview'!H:H))</f>
        <v>Non - IT</v>
      </c>
      <c r="F1088" s="445" t="str">
        <f>IF(ISBLANK(A1088),"",_xlfn.XLOOKUP(A1088,'Requirement Overview'!C:C,'Requirement Overview'!I:I))</f>
        <v>Production Operator</v>
      </c>
      <c r="G1088" s="62" t="str">
        <f>IF(ISBLANK(A1088),"",_xlfn.XLOOKUP(A1088,'Requirement Overview'!C:C,'Requirement Overview'!G:G))</f>
        <v>Micron</v>
      </c>
      <c r="H1088" s="189" t="s">
        <v>3958</v>
      </c>
      <c r="I1088" s="189" t="s">
        <v>497</v>
      </c>
      <c r="J1088" s="189" t="s">
        <v>3959</v>
      </c>
      <c r="K1088" s="189">
        <v>9795435246</v>
      </c>
      <c r="L1088" s="189" t="s">
        <v>733</v>
      </c>
      <c r="M1088" s="189" t="s">
        <v>1454</v>
      </c>
      <c r="P1088" s="189" t="s">
        <v>569</v>
      </c>
      <c r="Q1088" s="24" t="s">
        <v>3951</v>
      </c>
      <c r="S1088" s="24" t="s">
        <v>601</v>
      </c>
      <c r="T1088" s="24" t="s">
        <v>103</v>
      </c>
      <c r="U1088" s="29">
        <v>46114</v>
      </c>
      <c r="V1088" s="29">
        <v>46114</v>
      </c>
    </row>
    <row r="1089" spans="1:22" ht="15" customHeight="1">
      <c r="A1089" s="24" t="s">
        <v>140</v>
      </c>
      <c r="B1089" s="24" t="s">
        <v>520</v>
      </c>
      <c r="C1089" s="103" t="str">
        <f>IF(ISBLANK(B1089),"",_xlfn.XLOOKUP(B1089,Recruiter!A:A,Recruiter!B:B))</f>
        <v>Narthana</v>
      </c>
      <c r="D1089" s="103" t="str">
        <f>IF(ISBLANK(A1089),"",_xlfn.XLOOKUP(A1089,'Requirement Overview'!C:C,'Requirement Overview'!E:E))</f>
        <v>Talme</v>
      </c>
      <c r="E1089" s="84" t="str">
        <f>IF(ISBLANK(A1089),"",_xlfn.XLOOKUP(A1089,'Requirement Overview'!C:C,'Requirement Overview'!H:H))</f>
        <v>Non - IT</v>
      </c>
      <c r="F1089" s="445" t="str">
        <f>IF(ISBLANK(A1089),"",_xlfn.XLOOKUP(A1089,'Requirement Overview'!C:C,'Requirement Overview'!I:I))</f>
        <v>Production Operator</v>
      </c>
      <c r="G1089" s="62" t="str">
        <f>IF(ISBLANK(A1089),"",_xlfn.XLOOKUP(A1089,'Requirement Overview'!C:C,'Requirement Overview'!G:G))</f>
        <v>Micron</v>
      </c>
      <c r="H1089" s="189" t="s">
        <v>3960</v>
      </c>
      <c r="I1089" s="189" t="s">
        <v>262</v>
      </c>
      <c r="J1089" s="189" t="s">
        <v>3961</v>
      </c>
      <c r="K1089" s="189">
        <v>7854950540</v>
      </c>
      <c r="L1089" s="189" t="s">
        <v>733</v>
      </c>
      <c r="M1089" s="189" t="s">
        <v>306</v>
      </c>
      <c r="P1089" s="189" t="s">
        <v>1676</v>
      </c>
      <c r="Q1089" s="24" t="s">
        <v>3951</v>
      </c>
      <c r="S1089" s="24" t="s">
        <v>601</v>
      </c>
      <c r="T1089" s="24" t="s">
        <v>103</v>
      </c>
      <c r="U1089" s="29">
        <v>46114</v>
      </c>
      <c r="V1089" s="29">
        <v>46114</v>
      </c>
    </row>
    <row r="1090" spans="1:22" ht="15" customHeight="1">
      <c r="A1090" s="24" t="s">
        <v>140</v>
      </c>
      <c r="B1090" s="24" t="s">
        <v>520</v>
      </c>
      <c r="C1090" s="84" t="str">
        <f>IF(ISBLANK(B1090),"",_xlfn.XLOOKUP(B1090,Recruiter!A:A,Recruiter!B:B))</f>
        <v>Narthana</v>
      </c>
      <c r="D1090" s="103" t="str">
        <f>IF(ISBLANK(A1090),"",_xlfn.XLOOKUP(A1090,'Requirement Overview'!C:C,'Requirement Overview'!E:E))</f>
        <v>Talme</v>
      </c>
      <c r="E1090" s="84" t="str">
        <f>IF(ISBLANK(A1090),"",_xlfn.XLOOKUP(A1090,'Requirement Overview'!C:C,'Requirement Overview'!H:H))</f>
        <v>Non - IT</v>
      </c>
      <c r="F1090" s="445" t="str">
        <f>IF(ISBLANK(A1090),"",_xlfn.XLOOKUP(A1090,'Requirement Overview'!C:C,'Requirement Overview'!I:I))</f>
        <v>Production Operator</v>
      </c>
      <c r="G1090" s="62" t="str">
        <f>IF(ISBLANK(A1090),"",_xlfn.XLOOKUP(A1090,'Requirement Overview'!C:C,'Requirement Overview'!G:G))</f>
        <v>Micron</v>
      </c>
      <c r="H1090" s="634" t="s">
        <v>3962</v>
      </c>
      <c r="I1090" s="634" t="s">
        <v>262</v>
      </c>
      <c r="J1090" s="635" t="s">
        <v>3963</v>
      </c>
      <c r="K1090" s="634">
        <v>7607901967</v>
      </c>
      <c r="L1090" s="634" t="s">
        <v>733</v>
      </c>
      <c r="M1090" s="634" t="s">
        <v>2079</v>
      </c>
      <c r="P1090" s="634" t="s">
        <v>806</v>
      </c>
      <c r="Q1090" s="24" t="s">
        <v>3951</v>
      </c>
      <c r="S1090" s="24" t="s">
        <v>601</v>
      </c>
      <c r="T1090" s="24" t="s">
        <v>103</v>
      </c>
      <c r="U1090" s="29">
        <v>46114</v>
      </c>
      <c r="V1090" s="29">
        <v>46114</v>
      </c>
    </row>
    <row r="1091" spans="1:22" ht="15" customHeight="1">
      <c r="A1091" s="24" t="s">
        <v>140</v>
      </c>
      <c r="B1091" s="24" t="s">
        <v>520</v>
      </c>
      <c r="C1091" s="84" t="str">
        <f>IF(ISBLANK(B1091),"",_xlfn.XLOOKUP(B1091,Recruiter!A:A,Recruiter!B:B))</f>
        <v>Narthana</v>
      </c>
      <c r="D1091" s="84" t="str">
        <f>IF(ISBLANK(A1091),"",_xlfn.XLOOKUP(A1091,'Requirement Overview'!C:C,'Requirement Overview'!E:E))</f>
        <v>Talme</v>
      </c>
      <c r="E1091" s="84" t="str">
        <f>IF(ISBLANK(A1091),"",_xlfn.XLOOKUP(A1091,'Requirement Overview'!C:C,'Requirement Overview'!H:H))</f>
        <v>Non - IT</v>
      </c>
      <c r="F1091" s="445" t="str">
        <f>IF(ISBLANK(A1091),"",_xlfn.XLOOKUP(A1091,'Requirement Overview'!C:C,'Requirement Overview'!I:I))</f>
        <v>Production Operator</v>
      </c>
      <c r="G1091" s="62" t="str">
        <f>IF(ISBLANK(A1091),"",_xlfn.XLOOKUP(A1091,'Requirement Overview'!C:C,'Requirement Overview'!G:G))</f>
        <v>Micron</v>
      </c>
      <c r="H1091" s="139" t="s">
        <v>3964</v>
      </c>
      <c r="I1091" s="113" t="s">
        <v>3417</v>
      </c>
      <c r="J1091" s="189" t="s">
        <v>3965</v>
      </c>
      <c r="K1091" s="189">
        <v>8447939260</v>
      </c>
      <c r="L1091" s="113" t="s">
        <v>3789</v>
      </c>
      <c r="M1091" s="113" t="s">
        <v>1219</v>
      </c>
      <c r="P1091" s="113" t="s">
        <v>3234</v>
      </c>
      <c r="Q1091" s="24" t="s">
        <v>3951</v>
      </c>
      <c r="S1091" s="24" t="s">
        <v>601</v>
      </c>
      <c r="T1091" s="24" t="s">
        <v>103</v>
      </c>
      <c r="U1091" s="29">
        <v>46111</v>
      </c>
      <c r="V1091" s="29">
        <v>46111</v>
      </c>
    </row>
    <row r="1092" spans="1:22" ht="15" customHeight="1">
      <c r="B1092" s="24" t="s">
        <v>520</v>
      </c>
      <c r="C1092" s="84" t="str">
        <f>IF(ISBLANK(B1092),"",_xlfn.XLOOKUP(B1092,Recruiter!A:A,Recruiter!B:B))</f>
        <v>Narthana</v>
      </c>
      <c r="D1092" s="84" t="s">
        <v>25</v>
      </c>
      <c r="E1092" s="84" t="s">
        <v>27</v>
      </c>
      <c r="F1092" s="445" t="s">
        <v>3966</v>
      </c>
      <c r="G1092" s="62" t="s">
        <v>146</v>
      </c>
      <c r="H1092" s="304" t="s">
        <v>3967</v>
      </c>
      <c r="I1092" s="304" t="s">
        <v>3968</v>
      </c>
      <c r="J1092" s="244" t="s">
        <v>3969</v>
      </c>
      <c r="K1092" s="304">
        <v>7002026484</v>
      </c>
      <c r="L1092" s="24" t="s">
        <v>350</v>
      </c>
      <c r="M1092" s="304" t="s">
        <v>3970</v>
      </c>
      <c r="O1092" s="304" t="s">
        <v>1144</v>
      </c>
      <c r="P1092" s="24" t="s">
        <v>268</v>
      </c>
      <c r="Q1092" s="24" t="s">
        <v>268</v>
      </c>
      <c r="R1092" s="304" t="s">
        <v>1844</v>
      </c>
      <c r="S1092" s="24" t="s">
        <v>3971</v>
      </c>
      <c r="T1092" s="24" t="s">
        <v>103</v>
      </c>
      <c r="U1092" s="29">
        <v>46111</v>
      </c>
      <c r="V1092" s="29">
        <v>46111</v>
      </c>
    </row>
    <row r="1093" spans="1:22" ht="15" customHeight="1">
      <c r="B1093" s="24" t="s">
        <v>520</v>
      </c>
      <c r="C1093" s="84" t="str">
        <f>IF(ISBLANK(B1093),"",_xlfn.XLOOKUP(B1093,Recruiter!A:A,Recruiter!B:B))</f>
        <v>Narthana</v>
      </c>
      <c r="D1093" s="84" t="s">
        <v>25</v>
      </c>
      <c r="E1093" s="84" t="s">
        <v>27</v>
      </c>
      <c r="F1093" s="445" t="s">
        <v>3966</v>
      </c>
      <c r="G1093" s="62" t="s">
        <v>146</v>
      </c>
      <c r="H1093" s="304" t="s">
        <v>3972</v>
      </c>
      <c r="I1093" s="304" t="s">
        <v>3973</v>
      </c>
      <c r="J1093" s="244" t="s">
        <v>3974</v>
      </c>
      <c r="K1093" s="304">
        <v>9600788663</v>
      </c>
      <c r="L1093" s="24" t="s">
        <v>311</v>
      </c>
      <c r="M1093" s="304" t="s">
        <v>379</v>
      </c>
      <c r="O1093" s="304" t="s">
        <v>1608</v>
      </c>
      <c r="P1093" s="24" t="s">
        <v>268</v>
      </c>
      <c r="Q1093" s="24" t="s">
        <v>268</v>
      </c>
      <c r="R1093" s="304" t="s">
        <v>3975</v>
      </c>
      <c r="S1093" s="24" t="s">
        <v>3971</v>
      </c>
      <c r="T1093" s="24" t="s">
        <v>103</v>
      </c>
      <c r="U1093" s="29">
        <v>46111</v>
      </c>
      <c r="V1093" s="29">
        <v>46111</v>
      </c>
    </row>
    <row r="1094" spans="1:22" ht="15" customHeight="1">
      <c r="A1094" s="24" t="s">
        <v>131</v>
      </c>
      <c r="B1094" s="24" t="s">
        <v>520</v>
      </c>
      <c r="C1094" s="84" t="str">
        <f>IF(ISBLANK(B1094),"",_xlfn.XLOOKUP(B1094,Recruiter!A:A,Recruiter!B:B))</f>
        <v>Narthana</v>
      </c>
      <c r="D1094" s="84" t="str">
        <f>IF(ISBLANK(A1094),"",_xlfn.XLOOKUP(A1094,'Requirement Overview'!C:C,'Requirement Overview'!E:E))</f>
        <v>Talme</v>
      </c>
      <c r="E1094" s="84" t="str">
        <f>IF(ISBLANK(A1094),"",_xlfn.XLOOKUP(A1094,'Requirement Overview'!C:C,'Requirement Overview'!H:H))</f>
        <v>IT</v>
      </c>
      <c r="F1094" s="445" t="str">
        <f>IF(ISBLANK(A1094),"",_xlfn.XLOOKUP(A1094,'Requirement Overview'!C:C,'Requirement Overview'!I:I))</f>
        <v>Technical Lead</v>
      </c>
      <c r="G1094" s="62" t="str">
        <f>IF(ISBLANK(A1094),"",_xlfn.XLOOKUP(A1094,'Requirement Overview'!C:C,'Requirement Overview'!G:G))</f>
        <v>Anika Solutions</v>
      </c>
      <c r="H1094" s="52" t="s">
        <v>3976</v>
      </c>
      <c r="I1094" s="52" t="s">
        <v>3534</v>
      </c>
      <c r="J1094" s="641" t="s">
        <v>3977</v>
      </c>
      <c r="K1094" s="24">
        <v>8522070645</v>
      </c>
      <c r="L1094" s="52" t="s">
        <v>290</v>
      </c>
      <c r="M1094" s="52" t="s">
        <v>685</v>
      </c>
      <c r="N1094" s="52"/>
      <c r="P1094" s="52" t="s">
        <v>879</v>
      </c>
      <c r="Q1094" s="52" t="s">
        <v>879</v>
      </c>
      <c r="S1094" s="24" t="s">
        <v>601</v>
      </c>
      <c r="T1094" s="24" t="s">
        <v>103</v>
      </c>
      <c r="U1094" s="29">
        <v>46111</v>
      </c>
      <c r="V1094" s="29">
        <v>46111</v>
      </c>
    </row>
    <row r="1095" spans="1:22" ht="15" customHeight="1">
      <c r="A1095" s="24" t="s">
        <v>131</v>
      </c>
      <c r="B1095" s="24" t="s">
        <v>520</v>
      </c>
      <c r="C1095" s="84" t="str">
        <f>IF(ISBLANK(B1095),"",_xlfn.XLOOKUP(B1095,Recruiter!A:A,Recruiter!B:B))</f>
        <v>Narthana</v>
      </c>
      <c r="D1095" s="84" t="str">
        <f>IF(ISBLANK(A1095),"",_xlfn.XLOOKUP(A1095,'Requirement Overview'!C:C,'Requirement Overview'!E:E))</f>
        <v>Talme</v>
      </c>
      <c r="E1095" s="84" t="str">
        <f>IF(ISBLANK(A1095),"",_xlfn.XLOOKUP(A1095,'Requirement Overview'!C:C,'Requirement Overview'!H:H))</f>
        <v>IT</v>
      </c>
      <c r="F1095" s="445" t="str">
        <f>IF(ISBLANK(A1095),"",_xlfn.XLOOKUP(A1095,'Requirement Overview'!C:C,'Requirement Overview'!I:I))</f>
        <v>Technical Lead</v>
      </c>
      <c r="G1095" s="62" t="str">
        <f>IF(ISBLANK(A1095),"",_xlfn.XLOOKUP(A1095,'Requirement Overview'!C:C,'Requirement Overview'!G:G))</f>
        <v>Anika Solutions</v>
      </c>
      <c r="H1095" s="52" t="s">
        <v>3978</v>
      </c>
      <c r="I1095" s="52" t="s">
        <v>3674</v>
      </c>
      <c r="J1095" s="24" t="s">
        <v>3979</v>
      </c>
      <c r="K1095" s="24">
        <v>7842972533</v>
      </c>
      <c r="L1095" s="52" t="s">
        <v>2563</v>
      </c>
      <c r="M1095" s="52" t="s">
        <v>3980</v>
      </c>
      <c r="N1095" s="52"/>
      <c r="P1095" s="52" t="s">
        <v>1128</v>
      </c>
      <c r="Q1095" s="52" t="s">
        <v>1128</v>
      </c>
      <c r="S1095" s="24" t="s">
        <v>601</v>
      </c>
      <c r="T1095" s="24" t="s">
        <v>103</v>
      </c>
      <c r="U1095" s="29">
        <v>46111</v>
      </c>
      <c r="V1095" s="29">
        <v>46111</v>
      </c>
    </row>
    <row r="1096" spans="1:22" ht="15" customHeight="1">
      <c r="B1096" s="24" t="s">
        <v>520</v>
      </c>
      <c r="C1096" s="84" t="str">
        <f>IF(ISBLANK(B1096),"",_xlfn.XLOOKUP(B1096,Recruiter!A:A,Recruiter!B:B))</f>
        <v>Narthana</v>
      </c>
      <c r="D1096" s="84" t="s">
        <v>25</v>
      </c>
      <c r="E1096" s="84" t="s">
        <v>27</v>
      </c>
      <c r="F1096" s="445" t="s">
        <v>3981</v>
      </c>
      <c r="G1096" s="62" t="s">
        <v>3982</v>
      </c>
      <c r="H1096" s="52" t="s">
        <v>3983</v>
      </c>
      <c r="I1096" s="52" t="s">
        <v>3984</v>
      </c>
      <c r="J1096" s="244" t="s">
        <v>3985</v>
      </c>
      <c r="K1096" s="52">
        <v>9043867963</v>
      </c>
      <c r="L1096" s="52" t="s">
        <v>631</v>
      </c>
      <c r="M1096" s="52" t="s">
        <v>365</v>
      </c>
      <c r="N1096" s="440" t="s">
        <v>3986</v>
      </c>
      <c r="O1096" s="315" t="s">
        <v>810</v>
      </c>
      <c r="P1096" s="52" t="s">
        <v>1128</v>
      </c>
      <c r="Q1096" s="52" t="s">
        <v>1128</v>
      </c>
      <c r="R1096" s="315" t="s">
        <v>374</v>
      </c>
      <c r="S1096" s="24" t="s">
        <v>1511</v>
      </c>
      <c r="T1096" s="24" t="s">
        <v>103</v>
      </c>
      <c r="U1096" s="29">
        <v>46112</v>
      </c>
      <c r="V1096" s="29">
        <v>46112</v>
      </c>
    </row>
    <row r="1097" spans="1:22" ht="15" customHeight="1">
      <c r="B1097" s="24" t="s">
        <v>520</v>
      </c>
      <c r="C1097" s="84" t="str">
        <f>IF(ISBLANK(B1097),"",_xlfn.XLOOKUP(B1097,Recruiter!A:A,Recruiter!B:B))</f>
        <v>Narthana</v>
      </c>
      <c r="D1097" s="84" t="s">
        <v>25</v>
      </c>
      <c r="E1097" s="84" t="s">
        <v>27</v>
      </c>
      <c r="F1097" s="445" t="s">
        <v>3981</v>
      </c>
      <c r="G1097" s="62" t="s">
        <v>3982</v>
      </c>
      <c r="H1097" s="52" t="s">
        <v>3987</v>
      </c>
      <c r="I1097" s="52" t="s">
        <v>519</v>
      </c>
      <c r="J1097" s="244" t="s">
        <v>3988</v>
      </c>
      <c r="K1097" s="52">
        <v>7448976145</v>
      </c>
      <c r="L1097" s="52" t="s">
        <v>311</v>
      </c>
      <c r="M1097" s="52" t="s">
        <v>405</v>
      </c>
      <c r="N1097" s="440" t="s">
        <v>3989</v>
      </c>
      <c r="O1097" s="315" t="s">
        <v>3990</v>
      </c>
      <c r="P1097" s="52" t="s">
        <v>1128</v>
      </c>
      <c r="Q1097" s="52" t="s">
        <v>1128</v>
      </c>
      <c r="R1097" s="315" t="s">
        <v>3991</v>
      </c>
      <c r="S1097" s="24" t="s">
        <v>1511</v>
      </c>
      <c r="T1097" s="24" t="s">
        <v>103</v>
      </c>
      <c r="U1097" s="29">
        <v>46112</v>
      </c>
      <c r="V1097" s="29">
        <v>46112</v>
      </c>
    </row>
    <row r="1098" spans="1:22" ht="15" customHeight="1">
      <c r="B1098" s="24" t="s">
        <v>520</v>
      </c>
      <c r="C1098" s="84" t="str">
        <f>IF(ISBLANK(B1098),"",_xlfn.XLOOKUP(B1098,Recruiter!A:A,Recruiter!B:B))</f>
        <v>Narthana</v>
      </c>
      <c r="D1098" s="84" t="s">
        <v>25</v>
      </c>
      <c r="E1098" s="84" t="s">
        <v>27</v>
      </c>
      <c r="F1098" s="445" t="s">
        <v>3981</v>
      </c>
      <c r="G1098" s="62" t="s">
        <v>3982</v>
      </c>
      <c r="H1098" s="440" t="s">
        <v>3992</v>
      </c>
      <c r="I1098" s="52" t="s">
        <v>3349</v>
      </c>
      <c r="J1098" s="244" t="s">
        <v>3993</v>
      </c>
      <c r="K1098" s="52">
        <v>9944109493</v>
      </c>
      <c r="L1098" s="52" t="s">
        <v>305</v>
      </c>
      <c r="M1098" s="52" t="s">
        <v>533</v>
      </c>
      <c r="N1098" s="440" t="s">
        <v>3994</v>
      </c>
      <c r="O1098" s="315" t="s">
        <v>3995</v>
      </c>
      <c r="P1098" s="52" t="s">
        <v>3996</v>
      </c>
      <c r="Q1098" s="52" t="s">
        <v>3996</v>
      </c>
      <c r="R1098" s="315" t="s">
        <v>3997</v>
      </c>
      <c r="S1098" s="24" t="s">
        <v>601</v>
      </c>
      <c r="T1098" s="24" t="s">
        <v>103</v>
      </c>
      <c r="U1098" s="29">
        <v>46112</v>
      </c>
      <c r="V1098" s="29">
        <v>46112</v>
      </c>
    </row>
    <row r="1099" spans="1:22" ht="15" customHeight="1">
      <c r="B1099" s="24" t="s">
        <v>520</v>
      </c>
      <c r="C1099" s="84" t="str">
        <f>IF(ISBLANK(B1099),"",_xlfn.XLOOKUP(B1099,Recruiter!A:A,Recruiter!B:B))</f>
        <v>Narthana</v>
      </c>
      <c r="D1099" s="84" t="s">
        <v>25</v>
      </c>
      <c r="E1099" s="84" t="s">
        <v>27</v>
      </c>
      <c r="F1099" s="445" t="s">
        <v>3981</v>
      </c>
      <c r="G1099" s="62" t="s">
        <v>3982</v>
      </c>
      <c r="H1099" s="637" t="s">
        <v>3998</v>
      </c>
      <c r="I1099" s="637" t="s">
        <v>3417</v>
      </c>
      <c r="J1099" s="637" t="s">
        <v>3999</v>
      </c>
      <c r="K1099" s="637">
        <v>7780307354</v>
      </c>
      <c r="L1099" s="637" t="s">
        <v>305</v>
      </c>
      <c r="M1099" s="637" t="s">
        <v>371</v>
      </c>
      <c r="N1099" s="637" t="s">
        <v>1420</v>
      </c>
      <c r="O1099" s="380" t="s">
        <v>4000</v>
      </c>
      <c r="P1099" s="639" t="s">
        <v>4001</v>
      </c>
      <c r="Q1099" s="639" t="s">
        <v>4001</v>
      </c>
      <c r="R1099" s="380" t="s">
        <v>4002</v>
      </c>
      <c r="S1099" s="24" t="s">
        <v>601</v>
      </c>
      <c r="T1099" s="24" t="s">
        <v>103</v>
      </c>
      <c r="U1099" s="29">
        <v>46113</v>
      </c>
      <c r="V1099" s="29">
        <v>46113</v>
      </c>
    </row>
    <row r="1100" spans="1:22" ht="15" customHeight="1">
      <c r="B1100" s="24" t="s">
        <v>520</v>
      </c>
      <c r="C1100" s="84" t="str">
        <f>IF(ISBLANK(B1100),"",_xlfn.XLOOKUP(B1100,Recruiter!A:A,Recruiter!B:B))</f>
        <v>Narthana</v>
      </c>
      <c r="D1100" s="84" t="s">
        <v>25</v>
      </c>
      <c r="E1100" s="84" t="s">
        <v>27</v>
      </c>
      <c r="F1100" s="445" t="s">
        <v>3981</v>
      </c>
      <c r="G1100" s="62" t="s">
        <v>3982</v>
      </c>
      <c r="H1100" s="638" t="s">
        <v>4003</v>
      </c>
      <c r="I1100" s="637" t="s">
        <v>4004</v>
      </c>
      <c r="J1100" s="637" t="s">
        <v>4005</v>
      </c>
      <c r="K1100" s="637">
        <v>7569515271</v>
      </c>
      <c r="L1100" s="637" t="s">
        <v>305</v>
      </c>
      <c r="M1100" s="637" t="s">
        <v>390</v>
      </c>
      <c r="N1100" s="637" t="s">
        <v>4006</v>
      </c>
      <c r="O1100" s="380" t="s">
        <v>4007</v>
      </c>
      <c r="P1100" s="639" t="s">
        <v>268</v>
      </c>
      <c r="Q1100" s="639" t="s">
        <v>268</v>
      </c>
      <c r="R1100" s="380" t="s">
        <v>4008</v>
      </c>
      <c r="S1100" s="24" t="s">
        <v>601</v>
      </c>
      <c r="T1100" s="24" t="s">
        <v>103</v>
      </c>
      <c r="U1100" s="29">
        <v>46113</v>
      </c>
      <c r="V1100" s="29">
        <v>46113</v>
      </c>
    </row>
    <row r="1101" spans="1:22" ht="15" customHeight="1">
      <c r="B1101" s="24" t="s">
        <v>520</v>
      </c>
      <c r="C1101" s="84" t="str">
        <f>IF(ISBLANK(B1101),"",_xlfn.XLOOKUP(B1101,Recruiter!A:A,Recruiter!B:B))</f>
        <v>Narthana</v>
      </c>
      <c r="D1101" s="84" t="s">
        <v>25</v>
      </c>
      <c r="E1101" s="84" t="s">
        <v>27</v>
      </c>
      <c r="F1101" s="445" t="s">
        <v>3981</v>
      </c>
      <c r="G1101" s="62" t="s">
        <v>3982</v>
      </c>
      <c r="H1101" s="637" t="s">
        <v>4009</v>
      </c>
      <c r="I1101" s="637" t="s">
        <v>3417</v>
      </c>
      <c r="J1101" s="637" t="s">
        <v>4010</v>
      </c>
      <c r="K1101" s="637">
        <v>7397479635</v>
      </c>
      <c r="L1101" s="637" t="s">
        <v>305</v>
      </c>
      <c r="M1101" s="637" t="s">
        <v>524</v>
      </c>
      <c r="N1101" s="637" t="s">
        <v>400</v>
      </c>
      <c r="O1101" s="380" t="s">
        <v>3997</v>
      </c>
      <c r="P1101" s="639" t="s">
        <v>1128</v>
      </c>
      <c r="Q1101" s="637" t="s">
        <v>1128</v>
      </c>
      <c r="R1101" s="380" t="s">
        <v>4011</v>
      </c>
      <c r="S1101" s="24" t="s">
        <v>601</v>
      </c>
      <c r="T1101" s="24" t="s">
        <v>103</v>
      </c>
      <c r="U1101" s="29">
        <v>46113</v>
      </c>
      <c r="V1101" s="29">
        <v>46113</v>
      </c>
    </row>
    <row r="1102" spans="1:22" ht="15" customHeight="1">
      <c r="B1102" s="24" t="s">
        <v>520</v>
      </c>
      <c r="C1102" s="84" t="str">
        <f>IF(ISBLANK(B1102),"",_xlfn.XLOOKUP(B1102,Recruiter!A:A,Recruiter!B:B))</f>
        <v>Narthana</v>
      </c>
      <c r="D1102" s="84" t="s">
        <v>25</v>
      </c>
      <c r="E1102" s="84" t="s">
        <v>27</v>
      </c>
      <c r="F1102" s="445" t="s">
        <v>3981</v>
      </c>
      <c r="G1102" s="62" t="s">
        <v>3982</v>
      </c>
      <c r="H1102" s="19" t="s">
        <v>4012</v>
      </c>
      <c r="I1102" s="637" t="s">
        <v>3417</v>
      </c>
      <c r="J1102" s="19" t="s">
        <v>4013</v>
      </c>
      <c r="K1102" s="19">
        <v>9500532491</v>
      </c>
      <c r="L1102" s="637" t="s">
        <v>311</v>
      </c>
      <c r="M1102" s="637" t="s">
        <v>2179</v>
      </c>
      <c r="N1102" s="19" t="s">
        <v>4014</v>
      </c>
      <c r="O1102" s="380" t="s">
        <v>4015</v>
      </c>
      <c r="P1102" s="19" t="s">
        <v>1128</v>
      </c>
      <c r="Q1102" s="19" t="s">
        <v>1128</v>
      </c>
      <c r="R1102" s="380" t="s">
        <v>4008</v>
      </c>
      <c r="S1102" s="24" t="s">
        <v>601</v>
      </c>
      <c r="T1102" s="24" t="s">
        <v>103</v>
      </c>
      <c r="U1102" s="29">
        <v>46113</v>
      </c>
      <c r="V1102" s="29">
        <v>46113</v>
      </c>
    </row>
    <row r="1103" spans="1:22" ht="15" customHeight="1">
      <c r="B1103" s="24" t="s">
        <v>520</v>
      </c>
      <c r="C1103" s="84" t="str">
        <f>IF(ISBLANK(B1103),"",_xlfn.XLOOKUP(B1103,Recruiter!A:A,Recruiter!B:B))</f>
        <v>Narthana</v>
      </c>
      <c r="D1103" s="84" t="s">
        <v>25</v>
      </c>
      <c r="E1103" s="84" t="s">
        <v>27</v>
      </c>
      <c r="F1103" s="445" t="s">
        <v>4016</v>
      </c>
      <c r="G1103" s="62" t="s">
        <v>132</v>
      </c>
      <c r="H1103" s="304" t="s">
        <v>4017</v>
      </c>
      <c r="I1103" s="52" t="s">
        <v>4018</v>
      </c>
      <c r="J1103" s="244" t="s">
        <v>4019</v>
      </c>
      <c r="K1103" s="304">
        <v>7011377651</v>
      </c>
      <c r="L1103" s="52" t="s">
        <v>794</v>
      </c>
      <c r="M1103" s="304" t="s">
        <v>379</v>
      </c>
      <c r="N1103" s="380" t="s">
        <v>4020</v>
      </c>
      <c r="O1103" s="52" t="s">
        <v>4021</v>
      </c>
      <c r="P1103" s="52" t="s">
        <v>268</v>
      </c>
      <c r="Q1103" s="52" t="s">
        <v>268</v>
      </c>
      <c r="R1103" s="52" t="s">
        <v>1844</v>
      </c>
      <c r="S1103" s="24" t="s">
        <v>601</v>
      </c>
      <c r="T1103" s="24" t="s">
        <v>103</v>
      </c>
      <c r="U1103" s="29">
        <v>46113</v>
      </c>
      <c r="V1103" s="29">
        <v>46113</v>
      </c>
    </row>
    <row r="1104" spans="1:22" ht="15" customHeight="1">
      <c r="B1104" s="24" t="s">
        <v>520</v>
      </c>
      <c r="C1104" s="84" t="str">
        <f>IF(ISBLANK(B1104),"",_xlfn.XLOOKUP(B1104,Recruiter!A:A,Recruiter!B:B))</f>
        <v>Narthana</v>
      </c>
      <c r="D1104" s="84" t="s">
        <v>25</v>
      </c>
      <c r="E1104" s="84" t="s">
        <v>27</v>
      </c>
      <c r="F1104" s="445" t="s">
        <v>4016</v>
      </c>
      <c r="G1104" s="62" t="s">
        <v>132</v>
      </c>
      <c r="H1104" s="52" t="s">
        <v>4022</v>
      </c>
      <c r="I1104" s="52" t="s">
        <v>519</v>
      </c>
      <c r="J1104" s="244" t="s">
        <v>4023</v>
      </c>
      <c r="K1104" s="304">
        <v>8431751479</v>
      </c>
      <c r="L1104" s="52" t="s">
        <v>404</v>
      </c>
      <c r="M1104" s="52" t="s">
        <v>405</v>
      </c>
      <c r="N1104" s="380" t="s">
        <v>4024</v>
      </c>
      <c r="O1104" s="52" t="s">
        <v>1844</v>
      </c>
      <c r="P1104" s="52" t="s">
        <v>806</v>
      </c>
      <c r="Q1104" s="52" t="s">
        <v>806</v>
      </c>
      <c r="R1104" s="52" t="s">
        <v>553</v>
      </c>
      <c r="S1104" s="24" t="s">
        <v>601</v>
      </c>
      <c r="T1104" s="24" t="s">
        <v>103</v>
      </c>
      <c r="U1104" s="29">
        <v>46113</v>
      </c>
      <c r="V1104" s="29">
        <v>46113</v>
      </c>
    </row>
    <row r="1105" spans="1:22" ht="15" customHeight="1">
      <c r="A1105" s="24" t="s">
        <v>131</v>
      </c>
      <c r="B1105" s="24" t="s">
        <v>520</v>
      </c>
      <c r="C1105" s="84" t="str">
        <f>IF(ISBLANK(B1105),"",_xlfn.XLOOKUP(B1105,Recruiter!A:A,Recruiter!B:B))</f>
        <v>Narthana</v>
      </c>
      <c r="D1105" s="19" t="str">
        <f>IF(ISBLANK(A1105),"",_xlfn.XLOOKUP(A1105,'Requirement Overview'!C:C,'Requirement Overview'!E:E))</f>
        <v>Talme</v>
      </c>
      <c r="E1105" s="19" t="str">
        <f>IF(ISBLANK(A1105),"",_xlfn.XLOOKUP(A1105,'Requirement Overview'!C:C,'Requirement Overview'!H:H))</f>
        <v>IT</v>
      </c>
      <c r="F1105" s="19" t="str">
        <f>IF(ISBLANK(A1105),"",_xlfn.XLOOKUP(A1105,'Requirement Overview'!C:C,'Requirement Overview'!I:I))</f>
        <v>Technical Lead</v>
      </c>
      <c r="G1105" s="24" t="str">
        <f>IF(ISBLANK(A1105),"",_xlfn.XLOOKUP(A1105,'Requirement Overview'!C:C,'Requirement Overview'!G:G))</f>
        <v>Anika Solutions</v>
      </c>
      <c r="H1105" s="382" t="s">
        <v>4025</v>
      </c>
      <c r="I1105" s="51" t="s">
        <v>519</v>
      </c>
      <c r="J1105" s="648" t="s">
        <v>4026</v>
      </c>
      <c r="K1105" s="51">
        <v>8309794690</v>
      </c>
      <c r="L1105" s="51" t="s">
        <v>305</v>
      </c>
      <c r="M1105" s="51" t="s">
        <v>768</v>
      </c>
      <c r="N1105" s="649" t="s">
        <v>4027</v>
      </c>
      <c r="O1105" s="51" t="s">
        <v>386</v>
      </c>
      <c r="P1105" s="51" t="s">
        <v>879</v>
      </c>
      <c r="Q1105" s="51" t="s">
        <v>879</v>
      </c>
      <c r="R1105" s="51" t="s">
        <v>540</v>
      </c>
      <c r="S1105" s="24" t="s">
        <v>601</v>
      </c>
      <c r="T1105" s="24" t="s">
        <v>103</v>
      </c>
      <c r="U1105" s="29">
        <v>46114</v>
      </c>
      <c r="V1105" s="29">
        <v>46114</v>
      </c>
    </row>
    <row r="1106" spans="1:22" ht="15" customHeight="1">
      <c r="A1106" s="24" t="s">
        <v>176</v>
      </c>
      <c r="B1106" s="24" t="s">
        <v>340</v>
      </c>
      <c r="C1106" s="84" t="str">
        <f>IF(ISBLANK(B1106),"",_xlfn.XLOOKUP(B1106,Recruiter!A:A,Recruiter!B:B))</f>
        <v>Harshitha</v>
      </c>
      <c r="D1106" s="103" t="str">
        <f>IF(ISBLANK(A1106),"",_xlfn.XLOOKUP(A1106,'Requirement Overview'!C:C,'Requirement Overview'!E:E))</f>
        <v>Talme</v>
      </c>
      <c r="E1106" s="84" t="str">
        <f>IF(ISBLANK(A1106),"",_xlfn.XLOOKUP(A1106,'Requirement Overview'!C:C,'Requirement Overview'!H:H))</f>
        <v>IT</v>
      </c>
      <c r="F1106" s="445" t="str">
        <f>IF(ISBLANK(A1106),"",_xlfn.XLOOKUP(A1106,'Requirement Overview'!C:C,'Requirement Overview'!I:I))</f>
        <v>Test Automation engineer</v>
      </c>
      <c r="G1106" s="62" t="str">
        <f>IF(ISBLANK(A1106),"",_xlfn.XLOOKUP(A1106,'Requirement Overview'!C:C,'Requirement Overview'!G:G))</f>
        <v>LTTS</v>
      </c>
      <c r="H1106" s="650" t="s">
        <v>4028</v>
      </c>
      <c r="I1106" s="3" t="s">
        <v>519</v>
      </c>
      <c r="J1106" s="651" t="s">
        <v>4029</v>
      </c>
      <c r="K1106" s="652">
        <v>9962715863</v>
      </c>
      <c r="L1106" s="3"/>
      <c r="M1106" s="3" t="s">
        <v>1029</v>
      </c>
      <c r="N1106" s="3"/>
      <c r="O1106" s="3" t="s">
        <v>1583</v>
      </c>
      <c r="P1106" s="3" t="s">
        <v>1128</v>
      </c>
      <c r="Q1106" s="3" t="s">
        <v>1128</v>
      </c>
      <c r="R1106" s="3" t="s">
        <v>368</v>
      </c>
      <c r="S1106" s="24" t="s">
        <v>601</v>
      </c>
      <c r="T1106" s="24" t="s">
        <v>103</v>
      </c>
      <c r="U1106" s="29">
        <v>46118</v>
      </c>
      <c r="V1106" s="29">
        <v>46118</v>
      </c>
    </row>
    <row r="1107" spans="1:22" ht="15" customHeight="1">
      <c r="A1107" s="24" t="s">
        <v>176</v>
      </c>
      <c r="B1107" s="24" t="s">
        <v>340</v>
      </c>
      <c r="C1107" s="84" t="str">
        <f>IF(ISBLANK(B1107),"",_xlfn.XLOOKUP(B1107,Recruiter!A:A,Recruiter!B:B))</f>
        <v>Harshitha</v>
      </c>
      <c r="D1107" s="103" t="str">
        <f>IF(ISBLANK(A1107),"",_xlfn.XLOOKUP(A1107,'Requirement Overview'!C:C,'Requirement Overview'!E:E))</f>
        <v>Talme</v>
      </c>
      <c r="E1107" s="84" t="str">
        <f>IF(ISBLANK(A1107),"",_xlfn.XLOOKUP(A1107,'Requirement Overview'!C:C,'Requirement Overview'!H:H))</f>
        <v>IT</v>
      </c>
      <c r="F1107" s="445" t="str">
        <f>IF(ISBLANK(A1107),"",_xlfn.XLOOKUP(A1107,'Requirement Overview'!C:C,'Requirement Overview'!I:I))</f>
        <v>Test Automation engineer</v>
      </c>
      <c r="G1107" s="62" t="str">
        <f>IF(ISBLANK(A1107),"",_xlfn.XLOOKUP(A1107,'Requirement Overview'!C:C,'Requirement Overview'!G:G))</f>
        <v>LTTS</v>
      </c>
      <c r="H1107" s="650" t="s">
        <v>4030</v>
      </c>
      <c r="I1107" s="3" t="s">
        <v>4031</v>
      </c>
      <c r="J1107" s="651" t="s">
        <v>4032</v>
      </c>
      <c r="K1107" s="652" t="s">
        <v>4033</v>
      </c>
      <c r="L1107" s="3"/>
      <c r="M1107" s="3" t="s">
        <v>1035</v>
      </c>
      <c r="N1107" s="3"/>
      <c r="O1107" s="3" t="s">
        <v>382</v>
      </c>
      <c r="P1107" s="3" t="s">
        <v>1128</v>
      </c>
      <c r="Q1107" s="3" t="s">
        <v>1128</v>
      </c>
      <c r="R1107" s="3" t="s">
        <v>4015</v>
      </c>
      <c r="S1107" s="24" t="s">
        <v>601</v>
      </c>
      <c r="T1107" s="24" t="s">
        <v>103</v>
      </c>
      <c r="U1107" s="29">
        <v>46118</v>
      </c>
      <c r="V1107" s="29">
        <v>46118</v>
      </c>
    </row>
    <row r="1108" spans="1:22" ht="15" customHeight="1">
      <c r="A1108" s="24" t="s">
        <v>176</v>
      </c>
      <c r="B1108" s="24" t="s">
        <v>340</v>
      </c>
      <c r="C1108" s="84" t="str">
        <f>IF(ISBLANK(B1108),"",_xlfn.XLOOKUP(B1108,Recruiter!A:A,Recruiter!B:B))</f>
        <v>Harshitha</v>
      </c>
      <c r="D1108" s="103" t="str">
        <f>IF(ISBLANK(A1108),"",_xlfn.XLOOKUP(A1108,'Requirement Overview'!C:C,'Requirement Overview'!E:E))</f>
        <v>Talme</v>
      </c>
      <c r="E1108" s="84" t="str">
        <f>IF(ISBLANK(A1108),"",_xlfn.XLOOKUP(A1108,'Requirement Overview'!C:C,'Requirement Overview'!H:H))</f>
        <v>IT</v>
      </c>
      <c r="F1108" s="445" t="str">
        <f>IF(ISBLANK(A1108),"",_xlfn.XLOOKUP(A1108,'Requirement Overview'!C:C,'Requirement Overview'!I:I))</f>
        <v>Test Automation engineer</v>
      </c>
      <c r="G1108" s="62" t="str">
        <f>IF(ISBLANK(A1108),"",_xlfn.XLOOKUP(A1108,'Requirement Overview'!C:C,'Requirement Overview'!G:G))</f>
        <v>LTTS</v>
      </c>
      <c r="H1108" s="650" t="s">
        <v>4034</v>
      </c>
      <c r="I1108" s="3" t="s">
        <v>1198</v>
      </c>
      <c r="J1108" s="651" t="s">
        <v>4035</v>
      </c>
      <c r="K1108" s="652" t="s">
        <v>4036</v>
      </c>
      <c r="L1108" s="3"/>
      <c r="M1108" s="3" t="s">
        <v>1284</v>
      </c>
      <c r="N1108" s="3"/>
      <c r="O1108" s="3" t="s">
        <v>4037</v>
      </c>
      <c r="P1108" s="3" t="s">
        <v>1128</v>
      </c>
      <c r="Q1108" s="3" t="s">
        <v>1128</v>
      </c>
      <c r="R1108" s="3" t="s">
        <v>715</v>
      </c>
      <c r="S1108" s="24" t="s">
        <v>601</v>
      </c>
      <c r="T1108" s="24" t="s">
        <v>103</v>
      </c>
      <c r="U1108" s="29">
        <v>46118</v>
      </c>
      <c r="V1108" s="29">
        <v>46118</v>
      </c>
    </row>
    <row r="1109" spans="1:22" ht="15" customHeight="1">
      <c r="A1109" s="24" t="s">
        <v>176</v>
      </c>
      <c r="B1109" s="24" t="s">
        <v>340</v>
      </c>
      <c r="C1109" s="84" t="str">
        <f>IF(ISBLANK(B1109),"",_xlfn.XLOOKUP(B1109,Recruiter!A:A,Recruiter!B:B))</f>
        <v>Harshitha</v>
      </c>
      <c r="D1109" s="103" t="str">
        <f>IF(ISBLANK(A1109),"",_xlfn.XLOOKUP(A1109,'Requirement Overview'!C:C,'Requirement Overview'!E:E))</f>
        <v>Talme</v>
      </c>
      <c r="E1109" s="84" t="str">
        <f>IF(ISBLANK(A1109),"",_xlfn.XLOOKUP(A1109,'Requirement Overview'!C:C,'Requirement Overview'!H:H))</f>
        <v>IT</v>
      </c>
      <c r="F1109" s="445" t="str">
        <f>IF(ISBLANK(A1109),"",_xlfn.XLOOKUP(A1109,'Requirement Overview'!C:C,'Requirement Overview'!I:I))</f>
        <v>Test Automation engineer</v>
      </c>
      <c r="G1109" s="62" t="str">
        <f>IF(ISBLANK(A1109),"",_xlfn.XLOOKUP(A1109,'Requirement Overview'!C:C,'Requirement Overview'!G:G))</f>
        <v>LTTS</v>
      </c>
      <c r="H1109" s="650" t="s">
        <v>4038</v>
      </c>
      <c r="I1109" s="3" t="s">
        <v>519</v>
      </c>
      <c r="J1109" s="651" t="s">
        <v>4039</v>
      </c>
      <c r="K1109" s="652">
        <v>7338829385</v>
      </c>
      <c r="L1109" s="3"/>
      <c r="M1109" s="3" t="s">
        <v>1001</v>
      </c>
      <c r="N1109" s="3"/>
      <c r="O1109" s="3" t="s">
        <v>368</v>
      </c>
      <c r="P1109" s="3" t="s">
        <v>1128</v>
      </c>
      <c r="Q1109" s="3" t="s">
        <v>1128</v>
      </c>
      <c r="R1109" s="3" t="s">
        <v>374</v>
      </c>
      <c r="S1109" s="24" t="s">
        <v>601</v>
      </c>
      <c r="T1109" s="24" t="s">
        <v>103</v>
      </c>
      <c r="U1109" s="29">
        <v>46118</v>
      </c>
      <c r="V1109" s="29">
        <v>46118</v>
      </c>
    </row>
    <row r="1110" spans="1:22" ht="15" customHeight="1">
      <c r="A1110" s="24" t="s">
        <v>176</v>
      </c>
      <c r="B1110" s="24" t="s">
        <v>340</v>
      </c>
      <c r="C1110" s="84" t="str">
        <f>IF(ISBLANK(B1110),"",_xlfn.XLOOKUP(B1110,Recruiter!A:A,Recruiter!B:B))</f>
        <v>Harshitha</v>
      </c>
      <c r="D1110" s="103" t="str">
        <f>IF(ISBLANK(A1110),"",_xlfn.XLOOKUP(A1110,'Requirement Overview'!C:C,'Requirement Overview'!E:E))</f>
        <v>Talme</v>
      </c>
      <c r="E1110" s="84" t="str">
        <f>IF(ISBLANK(A1110),"",_xlfn.XLOOKUP(A1110,'Requirement Overview'!C:C,'Requirement Overview'!H:H))</f>
        <v>IT</v>
      </c>
      <c r="F1110" s="445" t="str">
        <f>IF(ISBLANK(A1110),"",_xlfn.XLOOKUP(A1110,'Requirement Overview'!C:C,'Requirement Overview'!I:I))</f>
        <v>Test Automation engineer</v>
      </c>
      <c r="G1110" s="62" t="str">
        <f>IF(ISBLANK(A1110),"",_xlfn.XLOOKUP(A1110,'Requirement Overview'!C:C,'Requirement Overview'!G:G))</f>
        <v>LTTS</v>
      </c>
      <c r="H1110" s="650" t="s">
        <v>4040</v>
      </c>
      <c r="I1110" s="3" t="s">
        <v>4041</v>
      </c>
      <c r="J1110" s="651" t="s">
        <v>4042</v>
      </c>
      <c r="K1110" s="652">
        <v>9381609697</v>
      </c>
      <c r="L1110" s="3"/>
      <c r="M1110" s="3" t="s">
        <v>1966</v>
      </c>
      <c r="N1110" s="3"/>
      <c r="O1110" s="3" t="s">
        <v>367</v>
      </c>
      <c r="P1110" s="3" t="s">
        <v>1128</v>
      </c>
      <c r="Q1110" s="3" t="s">
        <v>1128</v>
      </c>
      <c r="R1110" s="3" t="s">
        <v>589</v>
      </c>
      <c r="S1110" s="24" t="s">
        <v>601</v>
      </c>
      <c r="T1110" s="24" t="s">
        <v>103</v>
      </c>
      <c r="U1110" s="29">
        <v>46118</v>
      </c>
      <c r="V1110" s="29">
        <v>46118</v>
      </c>
    </row>
    <row r="1111" spans="1:22" ht="15" customHeight="1">
      <c r="A1111" s="24" t="s">
        <v>176</v>
      </c>
      <c r="B1111" s="24" t="s">
        <v>340</v>
      </c>
      <c r="C1111" s="84" t="str">
        <f>IF(ISBLANK(B1111),"",_xlfn.XLOOKUP(B1111,Recruiter!A:A,Recruiter!B:B))</f>
        <v>Harshitha</v>
      </c>
      <c r="D1111" s="103" t="str">
        <f>IF(ISBLANK(A1111),"",_xlfn.XLOOKUP(A1111,'Requirement Overview'!C:C,'Requirement Overview'!E:E))</f>
        <v>Talme</v>
      </c>
      <c r="E1111" s="84" t="str">
        <f>IF(ISBLANK(A1111),"",_xlfn.XLOOKUP(A1111,'Requirement Overview'!C:C,'Requirement Overview'!H:H))</f>
        <v>IT</v>
      </c>
      <c r="F1111" s="445" t="str">
        <f>IF(ISBLANK(A1111),"",_xlfn.XLOOKUP(A1111,'Requirement Overview'!C:C,'Requirement Overview'!I:I))</f>
        <v>Test Automation engineer</v>
      </c>
      <c r="G1111" s="62" t="str">
        <f>IF(ISBLANK(A1111),"",_xlfn.XLOOKUP(A1111,'Requirement Overview'!C:C,'Requirement Overview'!G:G))</f>
        <v>LTTS</v>
      </c>
      <c r="H1111" s="650" t="s">
        <v>4043</v>
      </c>
      <c r="I1111" s="3" t="s">
        <v>519</v>
      </c>
      <c r="J1111" s="651" t="s">
        <v>4044</v>
      </c>
      <c r="K1111" s="652">
        <v>6383853706</v>
      </c>
      <c r="L1111" s="3"/>
      <c r="M1111" s="3" t="s">
        <v>279</v>
      </c>
      <c r="N1111" s="3"/>
      <c r="O1111" s="3" t="s">
        <v>374</v>
      </c>
      <c r="P1111" s="3" t="s">
        <v>2992</v>
      </c>
      <c r="Q1111" s="3" t="s">
        <v>1128</v>
      </c>
      <c r="R1111" s="3" t="s">
        <v>540</v>
      </c>
      <c r="S1111" s="24" t="s">
        <v>601</v>
      </c>
      <c r="T1111" s="24" t="s">
        <v>103</v>
      </c>
      <c r="U1111" s="29">
        <v>46118</v>
      </c>
      <c r="V1111" s="29">
        <v>46118</v>
      </c>
    </row>
    <row r="1112" spans="1:22" ht="15" customHeight="1">
      <c r="A1112" s="24" t="s">
        <v>176</v>
      </c>
      <c r="B1112" s="24" t="s">
        <v>340</v>
      </c>
      <c r="C1112" s="84" t="str">
        <f>IF(ISBLANK(B1112),"",_xlfn.XLOOKUP(B1112,Recruiter!A:A,Recruiter!B:B))</f>
        <v>Harshitha</v>
      </c>
      <c r="D1112" s="103" t="str">
        <f>IF(ISBLANK(A1112),"",_xlfn.XLOOKUP(A1112,'Requirement Overview'!C:C,'Requirement Overview'!E:E))</f>
        <v>Talme</v>
      </c>
      <c r="E1112" s="84" t="str">
        <f>IF(ISBLANK(A1112),"",_xlfn.XLOOKUP(A1112,'Requirement Overview'!C:C,'Requirement Overview'!H:H))</f>
        <v>IT</v>
      </c>
      <c r="F1112" s="445" t="str">
        <f>IF(ISBLANK(A1112),"",_xlfn.XLOOKUP(A1112,'Requirement Overview'!C:C,'Requirement Overview'!I:I))</f>
        <v>Test Automation engineer</v>
      </c>
      <c r="G1112" s="62" t="str">
        <f>IF(ISBLANK(A1112),"",_xlfn.XLOOKUP(A1112,'Requirement Overview'!C:C,'Requirement Overview'!G:G))</f>
        <v>LTTS</v>
      </c>
      <c r="H1112" s="650" t="s">
        <v>4045</v>
      </c>
      <c r="I1112" s="3" t="s">
        <v>4046</v>
      </c>
      <c r="J1112" s="651" t="s">
        <v>4047</v>
      </c>
      <c r="K1112" s="652">
        <v>7418831309</v>
      </c>
      <c r="L1112" s="3"/>
      <c r="M1112" s="3" t="s">
        <v>1001</v>
      </c>
      <c r="N1112" s="3"/>
      <c r="O1112" s="3" t="s">
        <v>382</v>
      </c>
      <c r="P1112" s="3" t="s">
        <v>1128</v>
      </c>
      <c r="Q1112" s="3" t="s">
        <v>1128</v>
      </c>
      <c r="R1112" s="3" t="s">
        <v>589</v>
      </c>
      <c r="S1112" s="24" t="s">
        <v>601</v>
      </c>
      <c r="T1112" s="24" t="s">
        <v>103</v>
      </c>
      <c r="U1112" s="29">
        <v>46118</v>
      </c>
      <c r="V1112" s="29">
        <v>46118</v>
      </c>
    </row>
    <row r="1113" spans="1:22" ht="15" customHeight="1">
      <c r="A1113" s="24" t="s">
        <v>176</v>
      </c>
      <c r="B1113" s="24" t="s">
        <v>340</v>
      </c>
      <c r="C1113" s="84" t="str">
        <f>IF(ISBLANK(B1113),"",_xlfn.XLOOKUP(B1113,Recruiter!A:A,Recruiter!B:B))</f>
        <v>Harshitha</v>
      </c>
      <c r="D1113" s="103" t="str">
        <f>IF(ISBLANK(A1113),"",_xlfn.XLOOKUP(A1113,'Requirement Overview'!C:C,'Requirement Overview'!E:E))</f>
        <v>Talme</v>
      </c>
      <c r="E1113" s="84" t="str">
        <f>IF(ISBLANK(A1113),"",_xlfn.XLOOKUP(A1113,'Requirement Overview'!C:C,'Requirement Overview'!H:H))</f>
        <v>IT</v>
      </c>
      <c r="F1113" s="445" t="str">
        <f>IF(ISBLANK(A1113),"",_xlfn.XLOOKUP(A1113,'Requirement Overview'!C:C,'Requirement Overview'!I:I))</f>
        <v>Test Automation engineer</v>
      </c>
      <c r="G1113" s="62" t="str">
        <f>IF(ISBLANK(A1113),"",_xlfn.XLOOKUP(A1113,'Requirement Overview'!C:C,'Requirement Overview'!G:G))</f>
        <v>LTTS</v>
      </c>
      <c r="H1113" s="650" t="s">
        <v>4048</v>
      </c>
      <c r="I1113" s="3" t="s">
        <v>3414</v>
      </c>
      <c r="J1113" s="651" t="s">
        <v>4049</v>
      </c>
      <c r="K1113" s="652">
        <v>6383589692</v>
      </c>
      <c r="L1113" s="3"/>
      <c r="M1113" s="3" t="s">
        <v>1029</v>
      </c>
      <c r="N1113" s="3"/>
      <c r="O1113" s="3" t="s">
        <v>407</v>
      </c>
      <c r="P1113" s="3" t="s">
        <v>1128</v>
      </c>
      <c r="Q1113" s="3" t="s">
        <v>1128</v>
      </c>
      <c r="R1113" s="3" t="s">
        <v>374</v>
      </c>
      <c r="S1113" s="24" t="s">
        <v>601</v>
      </c>
      <c r="T1113" s="24" t="s">
        <v>103</v>
      </c>
      <c r="U1113" s="29">
        <v>46118</v>
      </c>
      <c r="V1113" s="29">
        <v>46118</v>
      </c>
    </row>
    <row r="1114" spans="1:22" ht="15" customHeight="1">
      <c r="A1114" s="24" t="s">
        <v>176</v>
      </c>
      <c r="B1114" s="24" t="s">
        <v>340</v>
      </c>
      <c r="C1114" s="84" t="str">
        <f>IF(ISBLANK(B1114),"",_xlfn.XLOOKUP(B1114,Recruiter!A:A,Recruiter!B:B))</f>
        <v>Harshitha</v>
      </c>
      <c r="D1114" s="103" t="str">
        <f>IF(ISBLANK(A1114),"",_xlfn.XLOOKUP(A1114,'Requirement Overview'!C:C,'Requirement Overview'!E:E))</f>
        <v>Talme</v>
      </c>
      <c r="E1114" s="84" t="str">
        <f>IF(ISBLANK(A1114),"",_xlfn.XLOOKUP(A1114,'Requirement Overview'!C:C,'Requirement Overview'!H:H))</f>
        <v>IT</v>
      </c>
      <c r="F1114" s="445" t="str">
        <f>IF(ISBLANK(A1114),"",_xlfn.XLOOKUP(A1114,'Requirement Overview'!C:C,'Requirement Overview'!I:I))</f>
        <v>Test Automation engineer</v>
      </c>
      <c r="G1114" s="62" t="str">
        <f>IF(ISBLANK(A1114),"",_xlfn.XLOOKUP(A1114,'Requirement Overview'!C:C,'Requirement Overview'!G:G))</f>
        <v>LTTS</v>
      </c>
      <c r="H1114" s="650" t="s">
        <v>4050</v>
      </c>
      <c r="I1114" s="3" t="s">
        <v>519</v>
      </c>
      <c r="J1114" s="651" t="s">
        <v>4051</v>
      </c>
      <c r="K1114" s="652">
        <v>8122938120</v>
      </c>
      <c r="L1114" s="3"/>
      <c r="M1114" s="3" t="s">
        <v>279</v>
      </c>
      <c r="N1114" s="3"/>
      <c r="O1114" s="3" t="s">
        <v>540</v>
      </c>
      <c r="P1114" s="3" t="s">
        <v>1128</v>
      </c>
      <c r="Q1114" s="3" t="s">
        <v>1128</v>
      </c>
      <c r="R1114" s="3" t="s">
        <v>757</v>
      </c>
      <c r="S1114" s="24" t="s">
        <v>601</v>
      </c>
      <c r="T1114" s="24" t="s">
        <v>103</v>
      </c>
      <c r="U1114" s="29">
        <v>46119</v>
      </c>
      <c r="V1114" s="29">
        <v>46119</v>
      </c>
    </row>
    <row r="1115" spans="1:22" ht="15" customHeight="1">
      <c r="A1115" s="24" t="s">
        <v>176</v>
      </c>
      <c r="B1115" s="24" t="s">
        <v>340</v>
      </c>
      <c r="C1115" s="84" t="str">
        <f>IF(ISBLANK(B1115),"",_xlfn.XLOOKUP(B1115,Recruiter!A:A,Recruiter!B:B))</f>
        <v>Harshitha</v>
      </c>
      <c r="D1115" s="103" t="str">
        <f>IF(ISBLANK(A1115),"",_xlfn.XLOOKUP(A1115,'Requirement Overview'!C:C,'Requirement Overview'!E:E))</f>
        <v>Talme</v>
      </c>
      <c r="E1115" s="84" t="str">
        <f>IF(ISBLANK(A1115),"",_xlfn.XLOOKUP(A1115,'Requirement Overview'!C:C,'Requirement Overview'!H:H))</f>
        <v>IT</v>
      </c>
      <c r="F1115" s="445" t="str">
        <f>IF(ISBLANK(A1115),"",_xlfn.XLOOKUP(A1115,'Requirement Overview'!C:C,'Requirement Overview'!I:I))</f>
        <v>Test Automation engineer</v>
      </c>
      <c r="G1115" s="62" t="str">
        <f>IF(ISBLANK(A1115),"",_xlfn.XLOOKUP(A1115,'Requirement Overview'!C:C,'Requirement Overview'!G:G))</f>
        <v>LTTS</v>
      </c>
      <c r="H1115" s="650" t="s">
        <v>4052</v>
      </c>
      <c r="I1115" s="3" t="s">
        <v>4053</v>
      </c>
      <c r="J1115" s="651" t="s">
        <v>4054</v>
      </c>
      <c r="K1115" s="652">
        <v>9025192014</v>
      </c>
      <c r="L1115" s="3"/>
      <c r="M1115" s="3" t="s">
        <v>279</v>
      </c>
      <c r="N1115" s="3"/>
      <c r="O1115" s="3" t="s">
        <v>1865</v>
      </c>
      <c r="P1115" s="3" t="s">
        <v>1128</v>
      </c>
      <c r="Q1115" s="3" t="s">
        <v>1128</v>
      </c>
      <c r="R1115" s="3" t="s">
        <v>4055</v>
      </c>
      <c r="S1115" s="24" t="s">
        <v>601</v>
      </c>
      <c r="T1115" s="24" t="s">
        <v>103</v>
      </c>
      <c r="U1115" s="29">
        <v>46119</v>
      </c>
      <c r="V1115" s="29">
        <v>46119</v>
      </c>
    </row>
    <row r="1116" spans="1:22" ht="15" customHeight="1">
      <c r="A1116" s="24" t="s">
        <v>176</v>
      </c>
      <c r="B1116" s="24" t="s">
        <v>340</v>
      </c>
      <c r="C1116" s="84" t="str">
        <f>IF(ISBLANK(B1116),"",_xlfn.XLOOKUP(B1116,Recruiter!A:A,Recruiter!B:B))</f>
        <v>Harshitha</v>
      </c>
      <c r="D1116" s="103" t="str">
        <f>IF(ISBLANK(A1116),"",_xlfn.XLOOKUP(A1116,'Requirement Overview'!C:C,'Requirement Overview'!E:E))</f>
        <v>Talme</v>
      </c>
      <c r="E1116" s="84" t="str">
        <f>IF(ISBLANK(A1116),"",_xlfn.XLOOKUP(A1116,'Requirement Overview'!C:C,'Requirement Overview'!H:H))</f>
        <v>IT</v>
      </c>
      <c r="F1116" s="445" t="str">
        <f>IF(ISBLANK(A1116),"",_xlfn.XLOOKUP(A1116,'Requirement Overview'!C:C,'Requirement Overview'!I:I))</f>
        <v>Test Automation engineer</v>
      </c>
      <c r="G1116" s="62" t="str">
        <f>IF(ISBLANK(A1116),"",_xlfn.XLOOKUP(A1116,'Requirement Overview'!C:C,'Requirement Overview'!G:G))</f>
        <v>LTTS</v>
      </c>
      <c r="H1116" s="650" t="s">
        <v>4056</v>
      </c>
      <c r="I1116" s="3" t="s">
        <v>4057</v>
      </c>
      <c r="J1116" s="651" t="s">
        <v>4058</v>
      </c>
      <c r="K1116" s="652">
        <v>9704783172</v>
      </c>
      <c r="L1116" s="3"/>
      <c r="M1116" s="3" t="s">
        <v>1230</v>
      </c>
      <c r="N1116" s="3"/>
      <c r="O1116" s="3" t="s">
        <v>678</v>
      </c>
      <c r="P1116" s="3" t="s">
        <v>1128</v>
      </c>
      <c r="Q1116" s="3" t="s">
        <v>1128</v>
      </c>
      <c r="R1116" s="3" t="s">
        <v>540</v>
      </c>
      <c r="S1116" s="24" t="s">
        <v>601</v>
      </c>
      <c r="T1116" s="24" t="s">
        <v>103</v>
      </c>
      <c r="U1116" s="29">
        <v>46119</v>
      </c>
      <c r="V1116" s="29">
        <v>46119</v>
      </c>
    </row>
    <row r="1117" spans="1:22" ht="15" customHeight="1">
      <c r="A1117" s="24" t="s">
        <v>176</v>
      </c>
      <c r="B1117" s="24" t="s">
        <v>340</v>
      </c>
      <c r="C1117" s="84" t="str">
        <f>IF(ISBLANK(B1117),"",_xlfn.XLOOKUP(B1117,Recruiter!A:A,Recruiter!B:B))</f>
        <v>Harshitha</v>
      </c>
      <c r="D1117" s="103" t="str">
        <f>IF(ISBLANK(A1117),"",_xlfn.XLOOKUP(A1117,'Requirement Overview'!C:C,'Requirement Overview'!E:E))</f>
        <v>Talme</v>
      </c>
      <c r="E1117" s="84" t="str">
        <f>IF(ISBLANK(A1117),"",_xlfn.XLOOKUP(A1117,'Requirement Overview'!C:C,'Requirement Overview'!H:H))</f>
        <v>IT</v>
      </c>
      <c r="F1117" s="445" t="str">
        <f>IF(ISBLANK(A1117),"",_xlfn.XLOOKUP(A1117,'Requirement Overview'!C:C,'Requirement Overview'!I:I))</f>
        <v>Test Automation engineer</v>
      </c>
      <c r="G1117" s="62" t="str">
        <f>IF(ISBLANK(A1117),"",_xlfn.XLOOKUP(A1117,'Requirement Overview'!C:C,'Requirement Overview'!G:G))</f>
        <v>LTTS</v>
      </c>
      <c r="H1117" s="650" t="s">
        <v>4059</v>
      </c>
      <c r="I1117" s="3" t="s">
        <v>1198</v>
      </c>
      <c r="J1117" s="651" t="s">
        <v>4060</v>
      </c>
      <c r="K1117" s="652">
        <v>7418551965</v>
      </c>
      <c r="L1117" s="3"/>
      <c r="M1117" s="3" t="s">
        <v>942</v>
      </c>
      <c r="N1117" s="3"/>
      <c r="O1117" s="3" t="s">
        <v>903</v>
      </c>
      <c r="P1117" s="3" t="s">
        <v>1128</v>
      </c>
      <c r="Q1117" s="3" t="s">
        <v>1128</v>
      </c>
      <c r="R1117" s="3" t="s">
        <v>368</v>
      </c>
      <c r="S1117" s="24" t="s">
        <v>601</v>
      </c>
      <c r="T1117" s="24" t="s">
        <v>103</v>
      </c>
      <c r="U1117" s="29">
        <v>46119</v>
      </c>
      <c r="V1117" s="29">
        <v>46119</v>
      </c>
    </row>
    <row r="1118" spans="1:22" ht="15" customHeight="1">
      <c r="A1118" s="24" t="s">
        <v>176</v>
      </c>
      <c r="B1118" s="24" t="s">
        <v>340</v>
      </c>
      <c r="C1118" s="84" t="str">
        <f>IF(ISBLANK(B1118),"",_xlfn.XLOOKUP(B1118,Recruiter!A:A,Recruiter!B:B))</f>
        <v>Harshitha</v>
      </c>
      <c r="D1118" s="103" t="str">
        <f>IF(ISBLANK(A1118),"",_xlfn.XLOOKUP(A1118,'Requirement Overview'!C:C,'Requirement Overview'!E:E))</f>
        <v>Talme</v>
      </c>
      <c r="E1118" s="84" t="str">
        <f>IF(ISBLANK(A1118),"",_xlfn.XLOOKUP(A1118,'Requirement Overview'!C:C,'Requirement Overview'!H:H))</f>
        <v>IT</v>
      </c>
      <c r="F1118" s="445" t="str">
        <f>IF(ISBLANK(A1118),"",_xlfn.XLOOKUP(A1118,'Requirement Overview'!C:C,'Requirement Overview'!I:I))</f>
        <v>Test Automation engineer</v>
      </c>
      <c r="G1118" s="62" t="str">
        <f>IF(ISBLANK(A1118),"",_xlfn.XLOOKUP(A1118,'Requirement Overview'!C:C,'Requirement Overview'!G:G))</f>
        <v>LTTS</v>
      </c>
      <c r="H1118" s="650" t="s">
        <v>4061</v>
      </c>
      <c r="I1118" s="3" t="s">
        <v>3270</v>
      </c>
      <c r="J1118" s="651" t="s">
        <v>4062</v>
      </c>
      <c r="K1118" s="651">
        <v>8807696593</v>
      </c>
      <c r="L1118" s="3"/>
      <c r="M1118" s="3" t="s">
        <v>1181</v>
      </c>
      <c r="N1118" s="3"/>
      <c r="O1118" s="3" t="s">
        <v>903</v>
      </c>
      <c r="P1118" s="3" t="s">
        <v>1128</v>
      </c>
      <c r="Q1118" s="3" t="s">
        <v>1128</v>
      </c>
      <c r="R1118" s="3" t="s">
        <v>368</v>
      </c>
      <c r="S1118" s="24" t="s">
        <v>601</v>
      </c>
      <c r="T1118" s="24" t="s">
        <v>103</v>
      </c>
      <c r="U1118" s="29">
        <v>46119</v>
      </c>
      <c r="V1118" s="29">
        <v>46119</v>
      </c>
    </row>
    <row r="1119" spans="1:22" ht="15" customHeight="1">
      <c r="A1119" s="24" t="s">
        <v>176</v>
      </c>
      <c r="B1119" s="24" t="s">
        <v>340</v>
      </c>
      <c r="C1119" s="84" t="str">
        <f>IF(ISBLANK(B1119),"",_xlfn.XLOOKUP(B1119,Recruiter!A:A,Recruiter!B:B))</f>
        <v>Harshitha</v>
      </c>
      <c r="D1119" s="103" t="str">
        <f>IF(ISBLANK(A1119),"",_xlfn.XLOOKUP(A1119,'Requirement Overview'!C:C,'Requirement Overview'!E:E))</f>
        <v>Talme</v>
      </c>
      <c r="E1119" s="84" t="str">
        <f>IF(ISBLANK(A1119),"",_xlfn.XLOOKUP(A1119,'Requirement Overview'!C:C,'Requirement Overview'!H:H))</f>
        <v>IT</v>
      </c>
      <c r="F1119" s="445" t="str">
        <f>IF(ISBLANK(A1119),"",_xlfn.XLOOKUP(A1119,'Requirement Overview'!C:C,'Requirement Overview'!I:I))</f>
        <v>Test Automation engineer</v>
      </c>
      <c r="G1119" s="62" t="str">
        <f>IF(ISBLANK(A1119),"",_xlfn.XLOOKUP(A1119,'Requirement Overview'!C:C,'Requirement Overview'!G:G))</f>
        <v>LTTS</v>
      </c>
      <c r="H1119" s="369" t="s">
        <v>4063</v>
      </c>
      <c r="I1119" s="3" t="s">
        <v>519</v>
      </c>
      <c r="J1119" s="243" t="s">
        <v>4064</v>
      </c>
      <c r="K1119" s="3">
        <v>6382653509</v>
      </c>
      <c r="L1119" s="3"/>
      <c r="M1119" s="3" t="s">
        <v>1181</v>
      </c>
      <c r="N1119" s="3"/>
      <c r="O1119" s="3" t="s">
        <v>327</v>
      </c>
      <c r="P1119" s="3" t="s">
        <v>1128</v>
      </c>
      <c r="Q1119" s="3" t="s">
        <v>1128</v>
      </c>
      <c r="R1119" s="3" t="s">
        <v>429</v>
      </c>
      <c r="S1119" s="24" t="s">
        <v>601</v>
      </c>
      <c r="T1119" s="24" t="s">
        <v>103</v>
      </c>
      <c r="U1119" s="29">
        <v>46119</v>
      </c>
      <c r="V1119" s="29">
        <v>46119</v>
      </c>
    </row>
    <row r="1120" spans="1:22" ht="15" customHeight="1">
      <c r="A1120" s="24" t="s">
        <v>166</v>
      </c>
      <c r="B1120" s="24" t="s">
        <v>258</v>
      </c>
      <c r="C1120" s="84" t="str">
        <f>IF(ISBLANK(B1120),"",_xlfn.XLOOKUP(B1120,Recruiter!A:A,Recruiter!B:B))</f>
        <v>Bhoomika</v>
      </c>
      <c r="D1120" s="103" t="str">
        <f>IF(ISBLANK(A1120),"",_xlfn.XLOOKUP(A1120,'Requirement Overview'!C:C,'Requirement Overview'!E:E))</f>
        <v>Talme</v>
      </c>
      <c r="E1120" s="84" t="str">
        <f>IF(ISBLANK(A1120),"",_xlfn.XLOOKUP(A1120,'Requirement Overview'!C:C,'Requirement Overview'!H:H))</f>
        <v>IT</v>
      </c>
      <c r="F1120" s="445" t="str">
        <f>IF(ISBLANK(A1120),"",_xlfn.XLOOKUP(A1120,'Requirement Overview'!C:C,'Requirement Overview'!I:I))</f>
        <v>Hardware Project manager</v>
      </c>
      <c r="G1120" s="62" t="str">
        <f>IF(ISBLANK(A1120),"",_xlfn.XLOOKUP(A1120,'Requirement Overview'!C:C,'Requirement Overview'!G:G))</f>
        <v>LTTS</v>
      </c>
      <c r="H1120" s="653" t="s">
        <v>4065</v>
      </c>
      <c r="I1120" s="654" t="s">
        <v>519</v>
      </c>
      <c r="J1120" s="655" t="s">
        <v>4066</v>
      </c>
      <c r="K1120" s="654">
        <v>9739875993</v>
      </c>
      <c r="L1120" s="654" t="s">
        <v>311</v>
      </c>
      <c r="M1120" s="654" t="s">
        <v>390</v>
      </c>
      <c r="N1120" s="654" t="s">
        <v>4067</v>
      </c>
      <c r="O1120" s="654" t="s">
        <v>1144</v>
      </c>
      <c r="P1120" s="654" t="s">
        <v>268</v>
      </c>
      <c r="Q1120" s="654" t="s">
        <v>268</v>
      </c>
      <c r="R1120" s="654" t="s">
        <v>1844</v>
      </c>
      <c r="S1120" s="24" t="s">
        <v>601</v>
      </c>
      <c r="T1120" s="24" t="s">
        <v>103</v>
      </c>
      <c r="U1120" s="29">
        <v>46119</v>
      </c>
      <c r="V1120" s="29">
        <v>46119</v>
      </c>
    </row>
    <row r="1121" spans="1:22" ht="15" customHeight="1">
      <c r="A1121" s="24" t="s">
        <v>166</v>
      </c>
      <c r="B1121" s="24" t="s">
        <v>258</v>
      </c>
      <c r="C1121" s="84" t="str">
        <f>IF(ISBLANK(B1121),"",_xlfn.XLOOKUP(B1121,Recruiter!A:A,Recruiter!B:B))</f>
        <v>Bhoomika</v>
      </c>
      <c r="D1121" s="103" t="str">
        <f>IF(ISBLANK(A1121),"",_xlfn.XLOOKUP(A1121,'Requirement Overview'!C:C,'Requirement Overview'!E:E))</f>
        <v>Talme</v>
      </c>
      <c r="E1121" s="84" t="str">
        <f>IF(ISBLANK(A1121),"",_xlfn.XLOOKUP(A1121,'Requirement Overview'!C:C,'Requirement Overview'!H:H))</f>
        <v>IT</v>
      </c>
      <c r="F1121" s="445" t="str">
        <f>IF(ISBLANK(A1121),"",_xlfn.XLOOKUP(A1121,'Requirement Overview'!C:C,'Requirement Overview'!I:I))</f>
        <v>Hardware Project manager</v>
      </c>
      <c r="G1121" s="62" t="str">
        <f>IF(ISBLANK(A1121),"",_xlfn.XLOOKUP(A1121,'Requirement Overview'!C:C,'Requirement Overview'!G:G))</f>
        <v>LTTS</v>
      </c>
      <c r="H1121" s="653" t="s">
        <v>4068</v>
      </c>
      <c r="I1121" s="654" t="s">
        <v>497</v>
      </c>
      <c r="J1121" s="655" t="s">
        <v>4069</v>
      </c>
      <c r="K1121" s="654">
        <v>9398548182</v>
      </c>
      <c r="L1121" s="654" t="s">
        <v>305</v>
      </c>
      <c r="M1121" s="654" t="s">
        <v>395</v>
      </c>
      <c r="N1121" s="654" t="s">
        <v>4070</v>
      </c>
      <c r="O1121" s="654" t="s">
        <v>1144</v>
      </c>
      <c r="P1121" s="654" t="s">
        <v>268</v>
      </c>
      <c r="Q1121" s="654" t="s">
        <v>268</v>
      </c>
      <c r="R1121" s="654" t="s">
        <v>715</v>
      </c>
      <c r="S1121" s="24" t="s">
        <v>601</v>
      </c>
      <c r="T1121" s="24" t="s">
        <v>103</v>
      </c>
      <c r="U1121" s="29">
        <v>46119</v>
      </c>
      <c r="V1121" s="29">
        <v>46119</v>
      </c>
    </row>
    <row r="1122" spans="1:22" ht="15" customHeight="1">
      <c r="A1122" s="24" t="s">
        <v>166</v>
      </c>
      <c r="B1122" s="24" t="s">
        <v>258</v>
      </c>
      <c r="C1122" s="84" t="str">
        <f>IF(ISBLANK(B1122),"",_xlfn.XLOOKUP(B1122,Recruiter!A:A,Recruiter!B:B))</f>
        <v>Bhoomika</v>
      </c>
      <c r="D1122" s="103" t="str">
        <f>IF(ISBLANK(A1122),"",_xlfn.XLOOKUP(A1122,'Requirement Overview'!C:C,'Requirement Overview'!E:E))</f>
        <v>Talme</v>
      </c>
      <c r="E1122" s="84" t="str">
        <f>IF(ISBLANK(A1122),"",_xlfn.XLOOKUP(A1122,'Requirement Overview'!C:C,'Requirement Overview'!H:H))</f>
        <v>IT</v>
      </c>
      <c r="F1122" s="445" t="str">
        <f>IF(ISBLANK(A1122),"",_xlfn.XLOOKUP(A1122,'Requirement Overview'!C:C,'Requirement Overview'!I:I))</f>
        <v>Hardware Project manager</v>
      </c>
      <c r="G1122" s="62" t="str">
        <f>IF(ISBLANK(A1122),"",_xlfn.XLOOKUP(A1122,'Requirement Overview'!C:C,'Requirement Overview'!G:G))</f>
        <v>LTTS</v>
      </c>
      <c r="H1122" s="653" t="s">
        <v>4071</v>
      </c>
      <c r="I1122" s="654" t="s">
        <v>262</v>
      </c>
      <c r="J1122" s="655" t="s">
        <v>4072</v>
      </c>
      <c r="K1122" s="654">
        <v>9585173620</v>
      </c>
      <c r="L1122" s="654" t="s">
        <v>311</v>
      </c>
      <c r="M1122" s="654" t="s">
        <v>1230</v>
      </c>
      <c r="N1122" s="654" t="s">
        <v>4073</v>
      </c>
      <c r="O1122" s="654" t="s">
        <v>540</v>
      </c>
      <c r="P1122" s="654" t="s">
        <v>268</v>
      </c>
      <c r="Q1122" s="654" t="s">
        <v>268</v>
      </c>
      <c r="R1122" s="654" t="s">
        <v>715</v>
      </c>
      <c r="S1122" s="24" t="s">
        <v>601</v>
      </c>
      <c r="T1122" s="24" t="s">
        <v>103</v>
      </c>
      <c r="U1122" s="29">
        <v>46119</v>
      </c>
      <c r="V1122" s="29">
        <v>46119</v>
      </c>
    </row>
    <row r="1123" spans="1:22" ht="15" customHeight="1">
      <c r="A1123" s="24" t="s">
        <v>166</v>
      </c>
      <c r="B1123" s="24" t="s">
        <v>258</v>
      </c>
      <c r="C1123" s="84" t="str">
        <f>IF(ISBLANK(B1123),"",_xlfn.XLOOKUP(B1123,Recruiter!A:A,Recruiter!B:B))</f>
        <v>Bhoomika</v>
      </c>
      <c r="D1123" s="103" t="str">
        <f>IF(ISBLANK(A1123),"",_xlfn.XLOOKUP(A1123,'Requirement Overview'!C:C,'Requirement Overview'!E:E))</f>
        <v>Talme</v>
      </c>
      <c r="E1123" s="84" t="str">
        <f>IF(ISBLANK(A1123),"",_xlfn.XLOOKUP(A1123,'Requirement Overview'!C:C,'Requirement Overview'!H:H))</f>
        <v>IT</v>
      </c>
      <c r="F1123" s="445" t="str">
        <f>IF(ISBLANK(A1123),"",_xlfn.XLOOKUP(A1123,'Requirement Overview'!C:C,'Requirement Overview'!I:I))</f>
        <v>Hardware Project manager</v>
      </c>
      <c r="G1123" s="62" t="str">
        <f>IF(ISBLANK(A1123),"",_xlfn.XLOOKUP(A1123,'Requirement Overview'!C:C,'Requirement Overview'!G:G))</f>
        <v>LTTS</v>
      </c>
      <c r="H1123" s="653" t="s">
        <v>4074</v>
      </c>
      <c r="I1123" s="654" t="s">
        <v>262</v>
      </c>
      <c r="J1123" s="655" t="s">
        <v>4075</v>
      </c>
      <c r="K1123" s="654">
        <v>9284706891</v>
      </c>
      <c r="L1123" s="654" t="s">
        <v>311</v>
      </c>
      <c r="M1123" s="654" t="s">
        <v>2079</v>
      </c>
      <c r="N1123" s="654" t="s">
        <v>4076</v>
      </c>
      <c r="O1123" s="654" t="s">
        <v>374</v>
      </c>
      <c r="P1123" s="654" t="s">
        <v>268</v>
      </c>
      <c r="Q1123" s="654" t="s">
        <v>268</v>
      </c>
      <c r="R1123" s="654" t="s">
        <v>1144</v>
      </c>
      <c r="S1123" s="24" t="s">
        <v>601</v>
      </c>
      <c r="T1123" s="24" t="s">
        <v>103</v>
      </c>
      <c r="U1123" s="29">
        <v>46119</v>
      </c>
      <c r="V1123" s="29">
        <v>46119</v>
      </c>
    </row>
    <row r="1124" spans="1:22" ht="15" customHeight="1">
      <c r="A1124" s="24" t="s">
        <v>166</v>
      </c>
      <c r="B1124" s="24" t="s">
        <v>258</v>
      </c>
      <c r="C1124" s="84" t="str">
        <f>IF(ISBLANK(B1124),"",_xlfn.XLOOKUP(B1124,Recruiter!A:A,Recruiter!B:B))</f>
        <v>Bhoomika</v>
      </c>
      <c r="D1124" s="103" t="str">
        <f>IF(ISBLANK(A1124),"",_xlfn.XLOOKUP(A1124,'Requirement Overview'!C:C,'Requirement Overview'!E:E))</f>
        <v>Talme</v>
      </c>
      <c r="E1124" s="84" t="str">
        <f>IF(ISBLANK(A1124),"",_xlfn.XLOOKUP(A1124,'Requirement Overview'!C:C,'Requirement Overview'!H:H))</f>
        <v>IT</v>
      </c>
      <c r="F1124" s="445" t="str">
        <f>IF(ISBLANK(A1124),"",_xlfn.XLOOKUP(A1124,'Requirement Overview'!C:C,'Requirement Overview'!I:I))</f>
        <v>Hardware Project manager</v>
      </c>
      <c r="G1124" s="62" t="str">
        <f>IF(ISBLANK(A1124),"",_xlfn.XLOOKUP(A1124,'Requirement Overview'!C:C,'Requirement Overview'!G:G))</f>
        <v>LTTS</v>
      </c>
      <c r="H1124" s="653" t="s">
        <v>4077</v>
      </c>
      <c r="I1124" s="654" t="s">
        <v>3618</v>
      </c>
      <c r="J1124" s="655" t="s">
        <v>4078</v>
      </c>
      <c r="K1124" s="654">
        <v>7906220913</v>
      </c>
      <c r="L1124" s="654" t="s">
        <v>305</v>
      </c>
      <c r="M1124" s="654" t="s">
        <v>1230</v>
      </c>
      <c r="N1124" s="654" t="s">
        <v>4079</v>
      </c>
      <c r="O1124" s="654" t="s">
        <v>589</v>
      </c>
      <c r="P1124" s="654" t="s">
        <v>268</v>
      </c>
      <c r="Q1124" s="654" t="s">
        <v>268</v>
      </c>
      <c r="R1124" s="654" t="s">
        <v>1844</v>
      </c>
      <c r="S1124" s="24" t="s">
        <v>601</v>
      </c>
      <c r="T1124" s="24" t="s">
        <v>103</v>
      </c>
      <c r="U1124" s="29">
        <v>46119</v>
      </c>
      <c r="V1124" s="29">
        <v>46119</v>
      </c>
    </row>
    <row r="1125" spans="1:22" ht="15" customHeight="1">
      <c r="A1125" s="24" t="s">
        <v>166</v>
      </c>
      <c r="B1125" s="24" t="s">
        <v>258</v>
      </c>
      <c r="C1125" s="84" t="str">
        <f>IF(ISBLANK(B1125),"",_xlfn.XLOOKUP(B1125,Recruiter!A:A,Recruiter!B:B))</f>
        <v>Bhoomika</v>
      </c>
      <c r="D1125" s="103" t="str">
        <f>IF(ISBLANK(A1125),"",_xlfn.XLOOKUP(A1125,'Requirement Overview'!C:C,'Requirement Overview'!E:E))</f>
        <v>Talme</v>
      </c>
      <c r="E1125" s="84" t="str">
        <f>IF(ISBLANK(A1125),"",_xlfn.XLOOKUP(A1125,'Requirement Overview'!C:C,'Requirement Overview'!H:H))</f>
        <v>IT</v>
      </c>
      <c r="F1125" s="445" t="str">
        <f>IF(ISBLANK(A1125),"",_xlfn.XLOOKUP(A1125,'Requirement Overview'!C:C,'Requirement Overview'!I:I))</f>
        <v>Hardware Project manager</v>
      </c>
      <c r="G1125" s="62" t="str">
        <f>IF(ISBLANK(A1125),"",_xlfn.XLOOKUP(A1125,'Requirement Overview'!C:C,'Requirement Overview'!G:G))</f>
        <v>LTTS</v>
      </c>
      <c r="H1125" s="653" t="s">
        <v>4080</v>
      </c>
      <c r="I1125" s="654" t="s">
        <v>519</v>
      </c>
      <c r="J1125" s="655" t="s">
        <v>4081</v>
      </c>
      <c r="K1125" s="654">
        <v>8249681017</v>
      </c>
      <c r="L1125" s="654" t="s">
        <v>305</v>
      </c>
      <c r="M1125" s="654" t="s">
        <v>1284</v>
      </c>
      <c r="N1125" s="654" t="s">
        <v>4082</v>
      </c>
      <c r="O1125" s="654" t="s">
        <v>424</v>
      </c>
      <c r="P1125" s="654" t="s">
        <v>268</v>
      </c>
      <c r="Q1125" s="654" t="s">
        <v>268</v>
      </c>
      <c r="R1125" s="654" t="s">
        <v>1657</v>
      </c>
      <c r="S1125" s="24" t="s">
        <v>601</v>
      </c>
      <c r="T1125" s="24" t="s">
        <v>103</v>
      </c>
      <c r="U1125" s="29">
        <v>46119</v>
      </c>
      <c r="V1125" s="29">
        <v>46119</v>
      </c>
    </row>
    <row r="1126" spans="1:22" ht="15" customHeight="1">
      <c r="A1126" s="24" t="s">
        <v>166</v>
      </c>
      <c r="B1126" s="24" t="s">
        <v>258</v>
      </c>
      <c r="C1126" s="84" t="str">
        <f>IF(ISBLANK(B1126),"",_xlfn.XLOOKUP(B1126,Recruiter!A:A,Recruiter!B:B))</f>
        <v>Bhoomika</v>
      </c>
      <c r="D1126" s="103" t="str">
        <f>IF(ISBLANK(A1126),"",_xlfn.XLOOKUP(A1126,'Requirement Overview'!C:C,'Requirement Overview'!E:E))</f>
        <v>Talme</v>
      </c>
      <c r="E1126" s="84" t="str">
        <f>IF(ISBLANK(A1126),"",_xlfn.XLOOKUP(A1126,'Requirement Overview'!C:C,'Requirement Overview'!H:H))</f>
        <v>IT</v>
      </c>
      <c r="F1126" s="445" t="str">
        <f>IF(ISBLANK(A1126),"",_xlfn.XLOOKUP(A1126,'Requirement Overview'!C:C,'Requirement Overview'!I:I))</f>
        <v>Hardware Project manager</v>
      </c>
      <c r="G1126" s="62" t="str">
        <f>IF(ISBLANK(A1126),"",_xlfn.XLOOKUP(A1126,'Requirement Overview'!C:C,'Requirement Overview'!G:G))</f>
        <v>LTTS</v>
      </c>
      <c r="H1126" s="654" t="s">
        <v>4083</v>
      </c>
      <c r="I1126" s="654" t="s">
        <v>519</v>
      </c>
      <c r="J1126" s="655" t="s">
        <v>4084</v>
      </c>
      <c r="K1126" s="654">
        <v>8008917783</v>
      </c>
      <c r="L1126" s="654" t="s">
        <v>305</v>
      </c>
      <c r="M1126" s="654" t="s">
        <v>279</v>
      </c>
      <c r="N1126" s="654" t="s">
        <v>4085</v>
      </c>
      <c r="O1126" s="654" t="s">
        <v>1144</v>
      </c>
      <c r="P1126" s="654" t="s">
        <v>268</v>
      </c>
      <c r="Q1126" s="654" t="s">
        <v>268</v>
      </c>
      <c r="R1126" s="654" t="s">
        <v>715</v>
      </c>
      <c r="S1126" s="24" t="s">
        <v>601</v>
      </c>
      <c r="T1126" s="24" t="s">
        <v>103</v>
      </c>
      <c r="U1126" s="29">
        <v>46119</v>
      </c>
      <c r="V1126" s="29">
        <v>46119</v>
      </c>
    </row>
    <row r="1127" spans="1:22" ht="15" customHeight="1">
      <c r="A1127" s="24" t="s">
        <v>178</v>
      </c>
      <c r="B1127" s="24" t="s">
        <v>258</v>
      </c>
      <c r="C1127" s="84" t="str">
        <f>IF(ISBLANK(B1127),"",_xlfn.XLOOKUP(B1127,Recruiter!A:A,Recruiter!B:B))</f>
        <v>Bhoomika</v>
      </c>
      <c r="D1127" s="103" t="s">
        <v>25</v>
      </c>
      <c r="E1127" s="84" t="s">
        <v>27</v>
      </c>
      <c r="F1127" s="445" t="s">
        <v>4086</v>
      </c>
      <c r="G1127" s="62" t="s">
        <v>146</v>
      </c>
      <c r="H1127" s="656" t="s">
        <v>4087</v>
      </c>
      <c r="I1127" s="3" t="s">
        <v>519</v>
      </c>
      <c r="J1127" s="243" t="s">
        <v>4088</v>
      </c>
      <c r="K1127" s="3">
        <v>9495934251</v>
      </c>
      <c r="L1127" s="3" t="s">
        <v>311</v>
      </c>
      <c r="M1127" s="3" t="s">
        <v>1284</v>
      </c>
      <c r="N1127" s="3" t="s">
        <v>4089</v>
      </c>
      <c r="O1127" s="3" t="s">
        <v>540</v>
      </c>
      <c r="P1127" s="3" t="s">
        <v>268</v>
      </c>
      <c r="Q1127" s="3" t="s">
        <v>268</v>
      </c>
      <c r="R1127" s="3" t="s">
        <v>1145</v>
      </c>
      <c r="S1127" s="24" t="s">
        <v>601</v>
      </c>
      <c r="T1127" s="24" t="s">
        <v>103</v>
      </c>
      <c r="U1127" s="29">
        <v>46119</v>
      </c>
      <c r="V1127" s="29">
        <v>46119</v>
      </c>
    </row>
    <row r="1128" spans="1:22" ht="15" customHeight="1">
      <c r="A1128" s="24" t="s">
        <v>178</v>
      </c>
      <c r="B1128" s="24" t="s">
        <v>258</v>
      </c>
      <c r="C1128" s="84" t="str">
        <f>IF(ISBLANK(B1128),"",_xlfn.XLOOKUP(B1128,Recruiter!A:A,Recruiter!B:B))</f>
        <v>Bhoomika</v>
      </c>
      <c r="D1128" s="103" t="s">
        <v>25</v>
      </c>
      <c r="E1128" s="84" t="s">
        <v>27</v>
      </c>
      <c r="F1128" s="445" t="s">
        <v>4086</v>
      </c>
      <c r="G1128" s="62" t="s">
        <v>146</v>
      </c>
      <c r="H1128" s="656" t="s">
        <v>4090</v>
      </c>
      <c r="I1128" s="3" t="s">
        <v>519</v>
      </c>
      <c r="J1128" s="243" t="s">
        <v>4091</v>
      </c>
      <c r="K1128" s="3">
        <v>9751421839</v>
      </c>
      <c r="L1128" s="3" t="s">
        <v>305</v>
      </c>
      <c r="M1128" s="3" t="s">
        <v>1650</v>
      </c>
      <c r="N1128" s="3" t="s">
        <v>4092</v>
      </c>
      <c r="O1128" s="3" t="s">
        <v>715</v>
      </c>
      <c r="P1128" s="3" t="s">
        <v>268</v>
      </c>
      <c r="Q1128" s="3" t="s">
        <v>268</v>
      </c>
      <c r="R1128" s="3" t="s">
        <v>548</v>
      </c>
      <c r="S1128" s="24" t="s">
        <v>601</v>
      </c>
      <c r="T1128" s="24" t="s">
        <v>103</v>
      </c>
      <c r="U1128" s="29">
        <v>46119</v>
      </c>
      <c r="V1128" s="29">
        <v>46119</v>
      </c>
    </row>
    <row r="1129" spans="1:22" ht="15" customHeight="1">
      <c r="A1129" s="24" t="s">
        <v>178</v>
      </c>
      <c r="B1129" s="24" t="s">
        <v>258</v>
      </c>
      <c r="C1129" s="84" t="str">
        <f>IF(ISBLANK(B1129),"",_xlfn.XLOOKUP(B1129,Recruiter!A:A,Recruiter!B:B))</f>
        <v>Bhoomika</v>
      </c>
      <c r="D1129" s="103" t="s">
        <v>25</v>
      </c>
      <c r="E1129" s="84" t="s">
        <v>27</v>
      </c>
      <c r="F1129" s="445" t="s">
        <v>4086</v>
      </c>
      <c r="G1129" s="62" t="s">
        <v>146</v>
      </c>
      <c r="H1129" s="656" t="s">
        <v>4093</v>
      </c>
      <c r="I1129" s="3" t="s">
        <v>3741</v>
      </c>
      <c r="J1129" s="243" t="s">
        <v>4094</v>
      </c>
      <c r="K1129" s="3">
        <v>8897564048</v>
      </c>
      <c r="L1129" s="3" t="s">
        <v>311</v>
      </c>
      <c r="M1129" s="3" t="s">
        <v>395</v>
      </c>
      <c r="N1129" s="3" t="s">
        <v>4095</v>
      </c>
      <c r="O1129" s="3" t="s">
        <v>1302</v>
      </c>
      <c r="P1129" s="3" t="s">
        <v>268</v>
      </c>
      <c r="Q1129" s="3" t="s">
        <v>268</v>
      </c>
      <c r="R1129" s="3" t="s">
        <v>716</v>
      </c>
      <c r="S1129" s="24" t="s">
        <v>601</v>
      </c>
      <c r="T1129" s="24" t="s">
        <v>103</v>
      </c>
      <c r="U1129" s="29">
        <v>46119</v>
      </c>
      <c r="V1129" s="29">
        <v>46119</v>
      </c>
    </row>
    <row r="1130" spans="1:22" ht="15" customHeight="1">
      <c r="A1130" s="24" t="s">
        <v>166</v>
      </c>
      <c r="B1130" s="24" t="s">
        <v>258</v>
      </c>
      <c r="C1130" s="84" t="str">
        <f>IF(ISBLANK(B1130),"",_xlfn.XLOOKUP(B1130,Recruiter!A:A,Recruiter!B:B))</f>
        <v>Bhoomika</v>
      </c>
      <c r="D1130" s="103" t="str">
        <f>IF(ISBLANK(A1130),"",_xlfn.XLOOKUP(A1130,'Requirement Overview'!C:C,'Requirement Overview'!E:E))</f>
        <v>Talme</v>
      </c>
      <c r="E1130" s="84" t="str">
        <f>IF(ISBLANK(A1130),"",_xlfn.XLOOKUP(A1130,'Requirement Overview'!C:C,'Requirement Overview'!H:H))</f>
        <v>IT</v>
      </c>
      <c r="F1130" s="445" t="str">
        <f>IF(ISBLANK(A1130),"",_xlfn.XLOOKUP(A1130,'Requirement Overview'!C:C,'Requirement Overview'!I:I))</f>
        <v>Hardware Project manager</v>
      </c>
      <c r="G1130" s="62" t="str">
        <f>IF(ISBLANK(A1130),"",_xlfn.XLOOKUP(A1130,'Requirement Overview'!C:C,'Requirement Overview'!G:G))</f>
        <v>LTTS</v>
      </c>
      <c r="H1130" s="657" t="s">
        <v>4096</v>
      </c>
      <c r="I1130" s="3" t="s">
        <v>262</v>
      </c>
      <c r="J1130" s="243" t="s">
        <v>4097</v>
      </c>
      <c r="K1130" s="3">
        <v>9787356641</v>
      </c>
      <c r="L1130" s="3" t="s">
        <v>311</v>
      </c>
      <c r="M1130" s="3" t="s">
        <v>1230</v>
      </c>
      <c r="N1130" s="3" t="s">
        <v>433</v>
      </c>
      <c r="O1130" s="3" t="s">
        <v>1525</v>
      </c>
      <c r="P1130" s="3" t="s">
        <v>268</v>
      </c>
      <c r="Q1130" s="3" t="s">
        <v>268</v>
      </c>
      <c r="R1130" s="3" t="s">
        <v>1302</v>
      </c>
      <c r="S1130" s="24" t="s">
        <v>601</v>
      </c>
      <c r="T1130" s="24" t="s">
        <v>103</v>
      </c>
      <c r="U1130" s="29">
        <v>46120</v>
      </c>
      <c r="V1130" s="29">
        <v>46120</v>
      </c>
    </row>
    <row r="1131" spans="1:22" ht="15" customHeight="1">
      <c r="A1131" s="24" t="s">
        <v>166</v>
      </c>
      <c r="B1131" s="24" t="s">
        <v>258</v>
      </c>
      <c r="C1131" s="84" t="str">
        <f>IF(ISBLANK(B1131),"",_xlfn.XLOOKUP(B1131,Recruiter!A:A,Recruiter!B:B))</f>
        <v>Bhoomika</v>
      </c>
      <c r="D1131" s="103" t="str">
        <f>IF(ISBLANK(A1131),"",_xlfn.XLOOKUP(A1131,'Requirement Overview'!C:C,'Requirement Overview'!E:E))</f>
        <v>Talme</v>
      </c>
      <c r="E1131" s="84" t="str">
        <f>IF(ISBLANK(A1131),"",_xlfn.XLOOKUP(A1131,'Requirement Overview'!C:C,'Requirement Overview'!H:H))</f>
        <v>IT</v>
      </c>
      <c r="F1131" s="445" t="str">
        <f>IF(ISBLANK(A1131),"",_xlfn.XLOOKUP(A1131,'Requirement Overview'!C:C,'Requirement Overview'!I:I))</f>
        <v>Hardware Project manager</v>
      </c>
      <c r="G1131" s="62" t="str">
        <f>IF(ISBLANK(A1131),"",_xlfn.XLOOKUP(A1131,'Requirement Overview'!C:C,'Requirement Overview'!G:G))</f>
        <v>LTTS</v>
      </c>
      <c r="H1131" s="657" t="s">
        <v>4098</v>
      </c>
      <c r="I1131" s="3" t="s">
        <v>262</v>
      </c>
      <c r="J1131" s="243" t="s">
        <v>4099</v>
      </c>
      <c r="K1131" s="3">
        <v>8880099800</v>
      </c>
      <c r="L1131" s="3" t="s">
        <v>311</v>
      </c>
      <c r="M1131" s="3" t="s">
        <v>1001</v>
      </c>
      <c r="N1131" s="3" t="s">
        <v>4100</v>
      </c>
      <c r="O1131" s="3" t="s">
        <v>687</v>
      </c>
      <c r="P1131" s="3" t="s">
        <v>268</v>
      </c>
      <c r="Q1131" s="3" t="s">
        <v>268</v>
      </c>
      <c r="R1131" s="3" t="s">
        <v>1844</v>
      </c>
      <c r="S1131" s="24" t="s">
        <v>601</v>
      </c>
      <c r="T1131" s="24" t="s">
        <v>103</v>
      </c>
      <c r="U1131" s="29">
        <v>46120</v>
      </c>
      <c r="V1131" s="29">
        <v>46120</v>
      </c>
    </row>
    <row r="1132" spans="1:22" ht="15" customHeight="1">
      <c r="A1132" s="24" t="s">
        <v>166</v>
      </c>
      <c r="B1132" s="24" t="s">
        <v>258</v>
      </c>
      <c r="C1132" s="84" t="str">
        <f>IF(ISBLANK(B1132),"",_xlfn.XLOOKUP(B1132,Recruiter!A:A,Recruiter!B:B))</f>
        <v>Bhoomika</v>
      </c>
      <c r="D1132" s="103" t="str">
        <f>IF(ISBLANK(A1132),"",_xlfn.XLOOKUP(A1132,'Requirement Overview'!C:C,'Requirement Overview'!E:E))</f>
        <v>Talme</v>
      </c>
      <c r="E1132" s="84" t="str">
        <f>IF(ISBLANK(A1132),"",_xlfn.XLOOKUP(A1132,'Requirement Overview'!C:C,'Requirement Overview'!H:H))</f>
        <v>IT</v>
      </c>
      <c r="F1132" s="445" t="str">
        <f>IF(ISBLANK(A1132),"",_xlfn.XLOOKUP(A1132,'Requirement Overview'!C:C,'Requirement Overview'!I:I))</f>
        <v>Hardware Project manager</v>
      </c>
      <c r="G1132" s="62" t="str">
        <f>IF(ISBLANK(A1132),"",_xlfn.XLOOKUP(A1132,'Requirement Overview'!C:C,'Requirement Overview'!G:G))</f>
        <v>LTTS</v>
      </c>
      <c r="H1132" s="657" t="s">
        <v>4101</v>
      </c>
      <c r="I1132" s="3" t="s">
        <v>262</v>
      </c>
      <c r="J1132" s="243" t="s">
        <v>4102</v>
      </c>
      <c r="K1132" s="3">
        <v>9738128349</v>
      </c>
      <c r="L1132" s="3" t="s">
        <v>311</v>
      </c>
      <c r="M1132" s="3" t="s">
        <v>2107</v>
      </c>
      <c r="N1132" s="3" t="s">
        <v>4103</v>
      </c>
      <c r="O1132" s="3" t="s">
        <v>589</v>
      </c>
      <c r="P1132" s="3" t="s">
        <v>268</v>
      </c>
      <c r="Q1132" s="3" t="s">
        <v>268</v>
      </c>
      <c r="R1132" s="3" t="s">
        <v>1302</v>
      </c>
      <c r="S1132" s="24" t="s">
        <v>601</v>
      </c>
      <c r="T1132" s="24" t="s">
        <v>103</v>
      </c>
      <c r="U1132" s="29">
        <v>46120</v>
      </c>
      <c r="V1132" s="29">
        <v>46120</v>
      </c>
    </row>
    <row r="1133" spans="1:22" ht="15" customHeight="1">
      <c r="A1133" s="24" t="s">
        <v>166</v>
      </c>
      <c r="B1133" s="24" t="s">
        <v>258</v>
      </c>
      <c r="C1133" s="84" t="str">
        <f>IF(ISBLANK(B1133),"",_xlfn.XLOOKUP(B1133,Recruiter!A:A,Recruiter!B:B))</f>
        <v>Bhoomika</v>
      </c>
      <c r="D1133" s="103" t="str">
        <f>IF(ISBLANK(A1133),"",_xlfn.XLOOKUP(A1133,'Requirement Overview'!C:C,'Requirement Overview'!E:E))</f>
        <v>Talme</v>
      </c>
      <c r="E1133" s="84" t="str">
        <f>IF(ISBLANK(A1133),"",_xlfn.XLOOKUP(A1133,'Requirement Overview'!C:C,'Requirement Overview'!H:H))</f>
        <v>IT</v>
      </c>
      <c r="F1133" s="445" t="str">
        <f>IF(ISBLANK(A1133),"",_xlfn.XLOOKUP(A1133,'Requirement Overview'!C:C,'Requirement Overview'!I:I))</f>
        <v>Hardware Project manager</v>
      </c>
      <c r="G1133" s="62" t="str">
        <f>IF(ISBLANK(A1133),"",_xlfn.XLOOKUP(A1133,'Requirement Overview'!C:C,'Requirement Overview'!G:G))</f>
        <v>LTTS</v>
      </c>
      <c r="H1133" s="658" t="s">
        <v>4104</v>
      </c>
      <c r="I1133" s="3" t="s">
        <v>262</v>
      </c>
      <c r="J1133" s="243" t="s">
        <v>4105</v>
      </c>
      <c r="K1133" s="3">
        <v>8469725141</v>
      </c>
      <c r="L1133" s="3" t="s">
        <v>311</v>
      </c>
      <c r="M1133" s="3" t="s">
        <v>4106</v>
      </c>
      <c r="N1133" s="3" t="s">
        <v>4107</v>
      </c>
      <c r="O1133" s="3" t="s">
        <v>589</v>
      </c>
      <c r="P1133" s="3" t="s">
        <v>268</v>
      </c>
      <c r="Q1133" s="3" t="s">
        <v>268</v>
      </c>
      <c r="R1133" s="3" t="s">
        <v>1302</v>
      </c>
      <c r="S1133" s="24" t="s">
        <v>601</v>
      </c>
      <c r="T1133" s="24" t="s">
        <v>103</v>
      </c>
      <c r="U1133" s="29">
        <v>46120</v>
      </c>
      <c r="V1133" s="29">
        <v>46120</v>
      </c>
    </row>
    <row r="1134" spans="1:22" ht="15" customHeight="1">
      <c r="A1134" s="24" t="s">
        <v>166</v>
      </c>
      <c r="B1134" s="24" t="s">
        <v>258</v>
      </c>
      <c r="C1134" s="84" t="str">
        <f>IF(ISBLANK(B1134),"",_xlfn.XLOOKUP(B1134,Recruiter!A:A,Recruiter!B:B))</f>
        <v>Bhoomika</v>
      </c>
      <c r="D1134" s="103" t="str">
        <f>IF(ISBLANK(A1134),"",_xlfn.XLOOKUP(A1134,'Requirement Overview'!C:C,'Requirement Overview'!E:E))</f>
        <v>Talme</v>
      </c>
      <c r="E1134" s="84" t="str">
        <f>IF(ISBLANK(A1134),"",_xlfn.XLOOKUP(A1134,'Requirement Overview'!C:C,'Requirement Overview'!H:H))</f>
        <v>IT</v>
      </c>
      <c r="F1134" s="445" t="str">
        <f>IF(ISBLANK(A1134),"",_xlfn.XLOOKUP(A1134,'Requirement Overview'!C:C,'Requirement Overview'!I:I))</f>
        <v>Hardware Project manager</v>
      </c>
      <c r="G1134" s="62" t="str">
        <f>IF(ISBLANK(A1134),"",_xlfn.XLOOKUP(A1134,'Requirement Overview'!C:C,'Requirement Overview'!G:G))</f>
        <v>LTTS</v>
      </c>
      <c r="H1134" s="657" t="s">
        <v>4108</v>
      </c>
      <c r="I1134" s="3" t="s">
        <v>262</v>
      </c>
      <c r="J1134" s="243" t="s">
        <v>4109</v>
      </c>
      <c r="K1134" s="3">
        <v>9047231650</v>
      </c>
      <c r="L1134" s="3" t="s">
        <v>311</v>
      </c>
      <c r="M1134" s="3" t="s">
        <v>685</v>
      </c>
      <c r="N1134" s="3" t="s">
        <v>4110</v>
      </c>
      <c r="O1134" s="3" t="s">
        <v>1608</v>
      </c>
      <c r="P1134" s="3" t="s">
        <v>268</v>
      </c>
      <c r="Q1134" s="3" t="s">
        <v>268</v>
      </c>
      <c r="R1134" s="3" t="s">
        <v>1145</v>
      </c>
      <c r="S1134" s="24" t="s">
        <v>601</v>
      </c>
      <c r="T1134" s="24" t="s">
        <v>103</v>
      </c>
      <c r="U1134" s="29">
        <v>46120</v>
      </c>
      <c r="V1134" s="29">
        <v>46120</v>
      </c>
    </row>
    <row r="1135" spans="1:22" ht="15" customHeight="1">
      <c r="A1135" s="24" t="s">
        <v>166</v>
      </c>
      <c r="B1135" s="24" t="s">
        <v>258</v>
      </c>
      <c r="C1135" s="84" t="str">
        <f>IF(ISBLANK(B1135),"",_xlfn.XLOOKUP(B1135,Recruiter!A:A,Recruiter!B:B))</f>
        <v>Bhoomika</v>
      </c>
      <c r="D1135" s="103" t="str">
        <f>IF(ISBLANK(A1135),"",_xlfn.XLOOKUP(A1135,'Requirement Overview'!C:C,'Requirement Overview'!E:E))</f>
        <v>Talme</v>
      </c>
      <c r="E1135" s="84" t="str">
        <f>IF(ISBLANK(A1135),"",_xlfn.XLOOKUP(A1135,'Requirement Overview'!C:C,'Requirement Overview'!H:H))</f>
        <v>IT</v>
      </c>
      <c r="F1135" s="445" t="str">
        <f>IF(ISBLANK(A1135),"",_xlfn.XLOOKUP(A1135,'Requirement Overview'!C:C,'Requirement Overview'!I:I))</f>
        <v>Hardware Project manager</v>
      </c>
      <c r="G1135" s="62" t="str">
        <f>IF(ISBLANK(A1135),"",_xlfn.XLOOKUP(A1135,'Requirement Overview'!C:C,'Requirement Overview'!G:G))</f>
        <v>LTTS</v>
      </c>
      <c r="H1135" s="658" t="s">
        <v>4111</v>
      </c>
      <c r="I1135" s="3" t="s">
        <v>3875</v>
      </c>
      <c r="J1135" s="243" t="s">
        <v>4112</v>
      </c>
      <c r="K1135" s="3">
        <v>8310690502</v>
      </c>
      <c r="L1135" s="3" t="s">
        <v>311</v>
      </c>
      <c r="M1135" s="3" t="s">
        <v>665</v>
      </c>
      <c r="N1135" s="3" t="s">
        <v>4113</v>
      </c>
      <c r="O1135" s="3" t="s">
        <v>540</v>
      </c>
      <c r="P1135" s="3" t="s">
        <v>268</v>
      </c>
      <c r="Q1135" s="3" t="s">
        <v>268</v>
      </c>
      <c r="R1135" s="3" t="s">
        <v>715</v>
      </c>
      <c r="S1135" s="24" t="s">
        <v>601</v>
      </c>
      <c r="T1135" s="24" t="s">
        <v>103</v>
      </c>
      <c r="U1135" s="29">
        <v>46120</v>
      </c>
      <c r="V1135" s="29">
        <v>46120</v>
      </c>
    </row>
    <row r="1136" spans="1:22" ht="15" customHeight="1">
      <c r="A1136" s="24" t="s">
        <v>166</v>
      </c>
      <c r="B1136" s="24" t="s">
        <v>258</v>
      </c>
      <c r="C1136" s="84" t="str">
        <f>IF(ISBLANK(B1136),"",_xlfn.XLOOKUP(B1136,Recruiter!A:A,Recruiter!B:B))</f>
        <v>Bhoomika</v>
      </c>
      <c r="D1136" s="103" t="str">
        <f>IF(ISBLANK(A1136),"",_xlfn.XLOOKUP(A1136,'Requirement Overview'!C:C,'Requirement Overview'!E:E))</f>
        <v>Talme</v>
      </c>
      <c r="E1136" s="84" t="str">
        <f>IF(ISBLANK(A1136),"",_xlfn.XLOOKUP(A1136,'Requirement Overview'!C:C,'Requirement Overview'!H:H))</f>
        <v>IT</v>
      </c>
      <c r="F1136" s="445" t="str">
        <f>IF(ISBLANK(A1136),"",_xlfn.XLOOKUP(A1136,'Requirement Overview'!C:C,'Requirement Overview'!I:I))</f>
        <v>Hardware Project manager</v>
      </c>
      <c r="G1136" s="62" t="str">
        <f>IF(ISBLANK(A1136),"",_xlfn.XLOOKUP(A1136,'Requirement Overview'!C:C,'Requirement Overview'!G:G))</f>
        <v>LTTS</v>
      </c>
      <c r="H1136" s="658" t="s">
        <v>4114</v>
      </c>
      <c r="I1136" s="3" t="s">
        <v>262</v>
      </c>
      <c r="J1136" s="243" t="s">
        <v>4115</v>
      </c>
      <c r="K1136" s="3">
        <v>7775876363</v>
      </c>
      <c r="L1136" s="3" t="s">
        <v>311</v>
      </c>
      <c r="M1136" s="3" t="s">
        <v>2107</v>
      </c>
      <c r="N1136" s="3" t="s">
        <v>4116</v>
      </c>
      <c r="O1136" s="3" t="s">
        <v>589</v>
      </c>
      <c r="P1136" s="3" t="s">
        <v>268</v>
      </c>
      <c r="Q1136" s="3" t="s">
        <v>268</v>
      </c>
      <c r="R1136" s="3" t="s">
        <v>1145</v>
      </c>
      <c r="S1136" s="24" t="s">
        <v>601</v>
      </c>
      <c r="T1136" s="24" t="s">
        <v>103</v>
      </c>
      <c r="U1136" s="29">
        <v>46120</v>
      </c>
      <c r="V1136" s="29">
        <v>46120</v>
      </c>
    </row>
    <row r="1137" spans="1:25" ht="15" customHeight="1">
      <c r="A1137" s="24" t="s">
        <v>174</v>
      </c>
      <c r="B1137" s="24" t="s">
        <v>258</v>
      </c>
      <c r="C1137" s="84" t="str">
        <f>IF(ISBLANK(B1137),"",_xlfn.XLOOKUP(B1137,Recruiter!A:A,Recruiter!B:B))</f>
        <v>Bhoomika</v>
      </c>
      <c r="D1137" s="103" t="str">
        <f>IF(ISBLANK(A1137),"",_xlfn.XLOOKUP(A1137,'Requirement Overview'!C:C,'Requirement Overview'!E:E))</f>
        <v>Talme</v>
      </c>
      <c r="E1137" s="84" t="str">
        <f>IF(ISBLANK(A1137),"",_xlfn.XLOOKUP(A1137,'Requirement Overview'!C:C,'Requirement Overview'!H:H))</f>
        <v>IT</v>
      </c>
      <c r="F1137" s="445" t="str">
        <f>IF(ISBLANK(A1137),"",_xlfn.XLOOKUP(A1137,'Requirement Overview'!C:C,'Requirement Overview'!I:I))</f>
        <v>ASM (assi. sales manager)</v>
      </c>
      <c r="G1137" s="62" t="str">
        <f>IF(ISBLANK(A1137),"",_xlfn.XLOOKUP(A1137,'Requirement Overview'!C:C,'Requirement Overview'!G:G))</f>
        <v>Megha foods pvt ltd</v>
      </c>
      <c r="H1137" s="657" t="s">
        <v>4117</v>
      </c>
      <c r="I1137" s="659" t="s">
        <v>262</v>
      </c>
      <c r="J1137" s="660" t="s">
        <v>4118</v>
      </c>
      <c r="K1137" s="659">
        <v>9901516259</v>
      </c>
      <c r="L1137" s="659" t="s">
        <v>2563</v>
      </c>
      <c r="M1137" s="659" t="s">
        <v>395</v>
      </c>
      <c r="N1137" s="659" t="s">
        <v>4119</v>
      </c>
      <c r="O1137" s="659" t="s">
        <v>367</v>
      </c>
      <c r="P1137" s="659" t="s">
        <v>1292</v>
      </c>
      <c r="Q1137" s="659" t="s">
        <v>1292</v>
      </c>
      <c r="R1137" s="659" t="s">
        <v>429</v>
      </c>
      <c r="S1137" s="24" t="s">
        <v>601</v>
      </c>
      <c r="T1137" s="24" t="s">
        <v>103</v>
      </c>
      <c r="U1137" s="29">
        <v>46120</v>
      </c>
      <c r="V1137" s="29">
        <v>46120</v>
      </c>
    </row>
    <row r="1138" spans="1:25" ht="15" customHeight="1">
      <c r="A1138" s="24" t="s">
        <v>174</v>
      </c>
      <c r="B1138" s="24" t="s">
        <v>258</v>
      </c>
      <c r="C1138" s="84" t="str">
        <f>IF(ISBLANK(B1138),"",_xlfn.XLOOKUP(B1138,Recruiter!A:A,Recruiter!B:B))</f>
        <v>Bhoomika</v>
      </c>
      <c r="D1138" s="103" t="str">
        <f>IF(ISBLANK(A1138),"",_xlfn.XLOOKUP(A1138,'Requirement Overview'!C:C,'Requirement Overview'!E:E))</f>
        <v>Talme</v>
      </c>
      <c r="E1138" s="84" t="str">
        <f>IF(ISBLANK(A1138),"",_xlfn.XLOOKUP(A1138,'Requirement Overview'!C:C,'Requirement Overview'!H:H))</f>
        <v>IT</v>
      </c>
      <c r="F1138" s="445" t="str">
        <f>IF(ISBLANK(A1138),"",_xlfn.XLOOKUP(A1138,'Requirement Overview'!C:C,'Requirement Overview'!I:I))</f>
        <v>ASM (assi. sales manager)</v>
      </c>
      <c r="G1138" s="62" t="str">
        <f>IF(ISBLANK(A1138),"",_xlfn.XLOOKUP(A1138,'Requirement Overview'!C:C,'Requirement Overview'!G:G))</f>
        <v>Megha foods pvt ltd</v>
      </c>
      <c r="H1138" s="657" t="s">
        <v>4120</v>
      </c>
      <c r="I1138" s="659" t="s">
        <v>262</v>
      </c>
      <c r="J1138" s="660" t="s">
        <v>4121</v>
      </c>
      <c r="K1138" s="659">
        <v>9740100973</v>
      </c>
      <c r="L1138" s="659" t="s">
        <v>311</v>
      </c>
      <c r="M1138" s="659" t="s">
        <v>395</v>
      </c>
      <c r="N1138" s="659" t="s">
        <v>4122</v>
      </c>
      <c r="O1138" s="659" t="s">
        <v>327</v>
      </c>
      <c r="P1138" s="659" t="s">
        <v>1292</v>
      </c>
      <c r="Q1138" s="659" t="s">
        <v>1292</v>
      </c>
      <c r="R1138" s="659" t="s">
        <v>367</v>
      </c>
      <c r="S1138" s="24" t="s">
        <v>601</v>
      </c>
      <c r="T1138" s="24" t="s">
        <v>103</v>
      </c>
      <c r="U1138" s="29">
        <v>46120</v>
      </c>
      <c r="V1138" s="29">
        <v>46120</v>
      </c>
    </row>
    <row r="1139" spans="1:25" ht="15" customHeight="1">
      <c r="A1139" s="24" t="s">
        <v>174</v>
      </c>
      <c r="B1139" s="24" t="s">
        <v>258</v>
      </c>
      <c r="C1139" s="84" t="str">
        <f>IF(ISBLANK(B1139),"",_xlfn.XLOOKUP(B1139,Recruiter!A:A,Recruiter!B:B))</f>
        <v>Bhoomika</v>
      </c>
      <c r="D1139" s="103" t="str">
        <f>IF(ISBLANK(A1139),"",_xlfn.XLOOKUP(A1139,'Requirement Overview'!C:C,'Requirement Overview'!E:E))</f>
        <v>Talme</v>
      </c>
      <c r="E1139" s="84" t="str">
        <f>IF(ISBLANK(A1139),"",_xlfn.XLOOKUP(A1139,'Requirement Overview'!C:C,'Requirement Overview'!H:H))</f>
        <v>IT</v>
      </c>
      <c r="F1139" s="445" t="str">
        <f>IF(ISBLANK(A1139),"",_xlfn.XLOOKUP(A1139,'Requirement Overview'!C:C,'Requirement Overview'!I:I))</f>
        <v>ASM (assi. sales manager)</v>
      </c>
      <c r="G1139" s="62" t="str">
        <f>IF(ISBLANK(A1139),"",_xlfn.XLOOKUP(A1139,'Requirement Overview'!C:C,'Requirement Overview'!G:G))</f>
        <v>Megha foods pvt ltd</v>
      </c>
      <c r="H1139" s="657" t="s">
        <v>4123</v>
      </c>
      <c r="I1139" s="659" t="s">
        <v>262</v>
      </c>
      <c r="J1139" s="660" t="s">
        <v>4124</v>
      </c>
      <c r="K1139" s="659">
        <v>6361397224</v>
      </c>
      <c r="L1139" s="659" t="s">
        <v>427</v>
      </c>
      <c r="M1139" s="659" t="s">
        <v>279</v>
      </c>
      <c r="N1139" s="659" t="s">
        <v>4125</v>
      </c>
      <c r="O1139" s="659" t="s">
        <v>301</v>
      </c>
      <c r="P1139" s="659" t="s">
        <v>1292</v>
      </c>
      <c r="Q1139" s="659" t="s">
        <v>1292</v>
      </c>
      <c r="R1139" s="659" t="s">
        <v>367</v>
      </c>
      <c r="S1139" s="24" t="s">
        <v>601</v>
      </c>
      <c r="T1139" s="24" t="s">
        <v>103</v>
      </c>
      <c r="U1139" s="29">
        <v>46120</v>
      </c>
      <c r="V1139" s="29">
        <v>46120</v>
      </c>
    </row>
    <row r="1140" spans="1:25" ht="15" customHeight="1">
      <c r="A1140" s="24" t="s">
        <v>180</v>
      </c>
      <c r="B1140" s="24" t="s">
        <v>340</v>
      </c>
      <c r="C1140" s="84" t="str">
        <f>IF(ISBLANK(B1140),"",_xlfn.XLOOKUP(B1140,Recruiter!A:A,Recruiter!B:B))</f>
        <v>Harshitha</v>
      </c>
      <c r="D1140" s="103" t="str">
        <f>IF(ISBLANK(A1140),"",_xlfn.XLOOKUP(A1140,'Requirement Overview'!C:C,'Requirement Overview'!E:E))</f>
        <v>Talme</v>
      </c>
      <c r="E1140" s="84" t="str">
        <f>IF(ISBLANK(A1140),"",_xlfn.XLOOKUP(A1140,'Requirement Overview'!C:C,'Requirement Overview'!H:H))</f>
        <v>IT</v>
      </c>
      <c r="F1140" s="445" t="str">
        <f>IF(ISBLANK(A1140),"",_xlfn.XLOOKUP(A1140,'Requirement Overview'!C:C,'Requirement Overview'!I:I))</f>
        <v>Java Engineers</v>
      </c>
      <c r="G1140" s="62" t="str">
        <f>IF(ISBLANK(A1140),"",_xlfn.XLOOKUP(A1140,'Requirement Overview'!C:C,'Requirement Overview'!G:G))</f>
        <v>EMIDS</v>
      </c>
      <c r="H1140" s="650" t="s">
        <v>4126</v>
      </c>
      <c r="I1140" s="652" t="s">
        <v>3984</v>
      </c>
      <c r="J1140" s="651" t="s">
        <v>4127</v>
      </c>
      <c r="K1140" s="652">
        <v>7349775091</v>
      </c>
      <c r="L1140" s="652" t="s">
        <v>421</v>
      </c>
      <c r="M1140" s="652" t="s">
        <v>279</v>
      </c>
      <c r="N1140" s="665" t="s">
        <v>4128</v>
      </c>
      <c r="O1140" s="652" t="s">
        <v>374</v>
      </c>
      <c r="P1140" s="652" t="s">
        <v>268</v>
      </c>
      <c r="Q1140" s="652" t="s">
        <v>268</v>
      </c>
      <c r="R1140" s="652" t="s">
        <v>4129</v>
      </c>
      <c r="S1140" s="24" t="s">
        <v>360</v>
      </c>
      <c r="T1140" s="24" t="s">
        <v>103</v>
      </c>
      <c r="U1140" s="29">
        <v>46123</v>
      </c>
      <c r="V1140" s="29">
        <v>46123</v>
      </c>
      <c r="X1140" s="29">
        <v>46123</v>
      </c>
      <c r="Y1140" s="24" t="s">
        <v>362</v>
      </c>
    </row>
    <row r="1141" spans="1:25" ht="15" customHeight="1">
      <c r="A1141" s="24" t="s">
        <v>180</v>
      </c>
      <c r="B1141" s="24" t="s">
        <v>340</v>
      </c>
      <c r="C1141" s="84" t="str">
        <f>IF(ISBLANK(B1141),"",_xlfn.XLOOKUP(B1141,Recruiter!A:A,Recruiter!B:B))</f>
        <v>Harshitha</v>
      </c>
      <c r="D1141" s="103" t="str">
        <f>IF(ISBLANK(A1141),"",_xlfn.XLOOKUP(A1141,'Requirement Overview'!C:C,'Requirement Overview'!E:E))</f>
        <v>Talme</v>
      </c>
      <c r="E1141" s="84" t="str">
        <f>IF(ISBLANK(A1141),"",_xlfn.XLOOKUP(A1141,'Requirement Overview'!C:C,'Requirement Overview'!H:H))</f>
        <v>IT</v>
      </c>
      <c r="F1141" s="445" t="str">
        <f>IF(ISBLANK(A1141),"",_xlfn.XLOOKUP(A1141,'Requirement Overview'!C:C,'Requirement Overview'!I:I))</f>
        <v>Java Engineers</v>
      </c>
      <c r="G1141" s="62" t="str">
        <f>IF(ISBLANK(A1141),"",_xlfn.XLOOKUP(A1141,'Requirement Overview'!C:C,'Requirement Overview'!G:G))</f>
        <v>EMIDS</v>
      </c>
      <c r="H1141" s="650" t="s">
        <v>4130</v>
      </c>
      <c r="I1141" s="652" t="s">
        <v>2197</v>
      </c>
      <c r="J1141" s="651" t="s">
        <v>4131</v>
      </c>
      <c r="K1141" s="652">
        <v>9535200602</v>
      </c>
      <c r="L1141" s="652" t="s">
        <v>421</v>
      </c>
      <c r="M1141" s="652" t="s">
        <v>279</v>
      </c>
      <c r="N1141" s="666" t="s">
        <v>4132</v>
      </c>
      <c r="O1141" s="652" t="s">
        <v>429</v>
      </c>
      <c r="P1141" s="652" t="s">
        <v>268</v>
      </c>
      <c r="Q1141" s="652" t="s">
        <v>268</v>
      </c>
      <c r="R1141" s="652" t="s">
        <v>4133</v>
      </c>
      <c r="S1141" s="24" t="s">
        <v>270</v>
      </c>
      <c r="T1141" s="24" t="s">
        <v>103</v>
      </c>
      <c r="U1141" s="29">
        <v>46123</v>
      </c>
      <c r="V1141" s="29">
        <v>46123</v>
      </c>
    </row>
    <row r="1142" spans="1:25" ht="15" customHeight="1">
      <c r="A1142" s="24" t="s">
        <v>180</v>
      </c>
      <c r="B1142" s="24" t="s">
        <v>340</v>
      </c>
      <c r="C1142" s="84" t="str">
        <f>IF(ISBLANK(B1142),"",_xlfn.XLOOKUP(B1142,Recruiter!A:A,Recruiter!B:B))</f>
        <v>Harshitha</v>
      </c>
      <c r="D1142" s="103" t="str">
        <f>IF(ISBLANK(A1142),"",_xlfn.XLOOKUP(A1142,'Requirement Overview'!C:C,'Requirement Overview'!E:E))</f>
        <v>Talme</v>
      </c>
      <c r="E1142" s="84" t="str">
        <f>IF(ISBLANK(A1142),"",_xlfn.XLOOKUP(A1142,'Requirement Overview'!C:C,'Requirement Overview'!H:H))</f>
        <v>IT</v>
      </c>
      <c r="F1142" s="445" t="str">
        <f>IF(ISBLANK(A1142),"",_xlfn.XLOOKUP(A1142,'Requirement Overview'!C:C,'Requirement Overview'!I:I))</f>
        <v>Java Engineers</v>
      </c>
      <c r="G1142" s="62" t="str">
        <f>IF(ISBLANK(A1142),"",_xlfn.XLOOKUP(A1142,'Requirement Overview'!C:C,'Requirement Overview'!G:G))</f>
        <v>EMIDS</v>
      </c>
      <c r="H1142" s="650" t="s">
        <v>4134</v>
      </c>
      <c r="I1142" s="652" t="s">
        <v>3984</v>
      </c>
      <c r="J1142" s="651" t="s">
        <v>4135</v>
      </c>
      <c r="K1142" s="652">
        <v>8924936664</v>
      </c>
      <c r="L1142" s="667" t="s">
        <v>305</v>
      </c>
      <c r="M1142" s="664" t="s">
        <v>2107</v>
      </c>
      <c r="N1142" s="665" t="s">
        <v>4136</v>
      </c>
      <c r="O1142" s="652" t="s">
        <v>1948</v>
      </c>
      <c r="P1142" s="652" t="s">
        <v>268</v>
      </c>
      <c r="Q1142" s="652" t="s">
        <v>268</v>
      </c>
      <c r="R1142" s="652" t="s">
        <v>1184</v>
      </c>
      <c r="S1142" s="24" t="s">
        <v>270</v>
      </c>
      <c r="T1142" s="24" t="s">
        <v>103</v>
      </c>
      <c r="U1142" s="29">
        <v>46123</v>
      </c>
      <c r="V1142" s="29">
        <v>46123</v>
      </c>
    </row>
    <row r="1143" spans="1:25" ht="15" customHeight="1">
      <c r="A1143" s="24" t="s">
        <v>180</v>
      </c>
      <c r="B1143" s="24" t="s">
        <v>340</v>
      </c>
      <c r="C1143" s="84" t="str">
        <f>IF(ISBLANK(B1143),"",_xlfn.XLOOKUP(B1143,Recruiter!A:A,Recruiter!B:B))</f>
        <v>Harshitha</v>
      </c>
      <c r="D1143" s="103" t="str">
        <f>IF(ISBLANK(A1143),"",_xlfn.XLOOKUP(A1143,'Requirement Overview'!C:C,'Requirement Overview'!E:E))</f>
        <v>Talme</v>
      </c>
      <c r="E1143" s="84" t="str">
        <f>IF(ISBLANK(A1143),"",_xlfn.XLOOKUP(A1143,'Requirement Overview'!C:C,'Requirement Overview'!H:H))</f>
        <v>IT</v>
      </c>
      <c r="F1143" s="445" t="str">
        <f>IF(ISBLANK(A1143),"",_xlfn.XLOOKUP(A1143,'Requirement Overview'!C:C,'Requirement Overview'!I:I))</f>
        <v>Java Engineers</v>
      </c>
      <c r="G1143" s="62" t="str">
        <f>IF(ISBLANK(A1143),"",_xlfn.XLOOKUP(A1143,'Requirement Overview'!C:C,'Requirement Overview'!G:G))</f>
        <v>EMIDS</v>
      </c>
      <c r="H1143" s="650" t="s">
        <v>4137</v>
      </c>
      <c r="I1143" s="652" t="s">
        <v>519</v>
      </c>
      <c r="J1143" s="651" t="s">
        <v>4138</v>
      </c>
      <c r="K1143" s="652">
        <v>9989902025</v>
      </c>
      <c r="L1143" s="667" t="s">
        <v>305</v>
      </c>
      <c r="M1143" s="664" t="s">
        <v>279</v>
      </c>
      <c r="N1143" s="665" t="s">
        <v>4139</v>
      </c>
      <c r="O1143" s="652" t="s">
        <v>687</v>
      </c>
      <c r="P1143" s="652" t="s">
        <v>268</v>
      </c>
      <c r="Q1143" s="652" t="s">
        <v>268</v>
      </c>
      <c r="R1143" s="652" t="s">
        <v>1145</v>
      </c>
      <c r="S1143" s="24" t="s">
        <v>270</v>
      </c>
      <c r="T1143" s="24" t="s">
        <v>103</v>
      </c>
      <c r="U1143" s="29">
        <v>46123</v>
      </c>
      <c r="V1143" s="29">
        <v>46123</v>
      </c>
    </row>
    <row r="1144" spans="1:25" ht="15" customHeight="1">
      <c r="A1144" s="24" t="s">
        <v>178</v>
      </c>
      <c r="B1144" s="24" t="s">
        <v>258</v>
      </c>
      <c r="C1144" s="84" t="str">
        <f>IF(ISBLANK(B1144),"",_xlfn.XLOOKUP(B1144,Recruiter!A:A,Recruiter!B:B))</f>
        <v>Bhoomika</v>
      </c>
      <c r="D1144" s="103" t="str">
        <f>IF(ISBLANK(A1144),"",_xlfn.XLOOKUP(A1144,'Requirement Overview'!C:C,'Requirement Overview'!E:E))</f>
        <v>Talme</v>
      </c>
      <c r="E1144" s="84" t="str">
        <f>IF(ISBLANK(A1144),"",_xlfn.XLOOKUP(A1144,'Requirement Overview'!C:C,'Requirement Overview'!H:H))</f>
        <v>IT</v>
      </c>
      <c r="F1144" s="445" t="str">
        <f>IF(ISBLANK(A1144),"",_xlfn.XLOOKUP(A1144,'Requirement Overview'!C:C,'Requirement Overview'!I:I))</f>
        <v xml:space="preserve"> Farm Lab Techinican</v>
      </c>
      <c r="G1144" s="62" t="str">
        <f>IF(ISBLANK(A1144),"",_xlfn.XLOOKUP(A1144,'Requirement Overview'!C:C,'Requirement Overview'!G:G))</f>
        <v>LTTS</v>
      </c>
      <c r="H1144" s="653" t="s">
        <v>4140</v>
      </c>
      <c r="I1144" s="654" t="s">
        <v>497</v>
      </c>
      <c r="J1144" s="655" t="s">
        <v>4141</v>
      </c>
      <c r="K1144" s="654">
        <v>8606478360</v>
      </c>
      <c r="L1144" s="654" t="s">
        <v>311</v>
      </c>
      <c r="M1144" s="654" t="s">
        <v>942</v>
      </c>
      <c r="N1144" s="654" t="s">
        <v>4142</v>
      </c>
      <c r="O1144" s="654" t="s">
        <v>368</v>
      </c>
      <c r="P1144" s="654" t="s">
        <v>268</v>
      </c>
      <c r="Q1144" s="654" t="s">
        <v>268</v>
      </c>
      <c r="R1144" s="654" t="s">
        <v>1302</v>
      </c>
      <c r="S1144" s="24" t="s">
        <v>601</v>
      </c>
      <c r="T1144" s="24" t="s">
        <v>103</v>
      </c>
      <c r="U1144" s="29">
        <v>46121</v>
      </c>
      <c r="V1144" s="29">
        <v>46121</v>
      </c>
    </row>
    <row r="1145" spans="1:25" ht="15" customHeight="1">
      <c r="A1145" s="24" t="s">
        <v>178</v>
      </c>
      <c r="B1145" s="24" t="s">
        <v>258</v>
      </c>
      <c r="C1145" s="84" t="str">
        <f>IF(ISBLANK(B1145),"",_xlfn.XLOOKUP(B1145,Recruiter!A:A,Recruiter!B:B))</f>
        <v>Bhoomika</v>
      </c>
      <c r="D1145" s="103" t="str">
        <f>IF(ISBLANK(A1145),"",_xlfn.XLOOKUP(A1145,'Requirement Overview'!C:C,'Requirement Overview'!E:E))</f>
        <v>Talme</v>
      </c>
      <c r="E1145" s="84" t="str">
        <f>IF(ISBLANK(A1145),"",_xlfn.XLOOKUP(A1145,'Requirement Overview'!C:C,'Requirement Overview'!H:H))</f>
        <v>IT</v>
      </c>
      <c r="F1145" s="445" t="str">
        <f>IF(ISBLANK(A1145),"",_xlfn.XLOOKUP(A1145,'Requirement Overview'!C:C,'Requirement Overview'!I:I))</f>
        <v xml:space="preserve"> Farm Lab Techinican</v>
      </c>
      <c r="G1145" s="62" t="str">
        <f>IF(ISBLANK(A1145),"",_xlfn.XLOOKUP(A1145,'Requirement Overview'!C:C,'Requirement Overview'!G:G))</f>
        <v>LTTS</v>
      </c>
      <c r="H1145" s="654" t="s">
        <v>4143</v>
      </c>
      <c r="I1145" s="654" t="s">
        <v>262</v>
      </c>
      <c r="J1145" s="655" t="s">
        <v>4144</v>
      </c>
      <c r="K1145" s="654">
        <v>8008178804</v>
      </c>
      <c r="L1145" s="654" t="s">
        <v>305</v>
      </c>
      <c r="M1145" s="654" t="s">
        <v>2107</v>
      </c>
      <c r="N1145" s="654" t="s">
        <v>4145</v>
      </c>
      <c r="O1145" s="654" t="s">
        <v>540</v>
      </c>
      <c r="P1145" s="654" t="s">
        <v>268</v>
      </c>
      <c r="Q1145" s="654" t="s">
        <v>879</v>
      </c>
      <c r="R1145" s="654" t="s">
        <v>548</v>
      </c>
      <c r="S1145" s="24" t="s">
        <v>601</v>
      </c>
      <c r="T1145" s="24" t="s">
        <v>103</v>
      </c>
      <c r="U1145" s="29">
        <v>46121</v>
      </c>
      <c r="V1145" s="29">
        <v>46121</v>
      </c>
    </row>
    <row r="1146" spans="1:25" ht="15" customHeight="1">
      <c r="A1146" s="24" t="s">
        <v>178</v>
      </c>
      <c r="B1146" s="24" t="s">
        <v>258</v>
      </c>
      <c r="C1146" s="84" t="str">
        <f>IF(ISBLANK(B1146),"",_xlfn.XLOOKUP(B1146,Recruiter!A:A,Recruiter!B:B))</f>
        <v>Bhoomika</v>
      </c>
      <c r="D1146" s="103" t="str">
        <f>IF(ISBLANK(A1146),"",_xlfn.XLOOKUP(A1146,'Requirement Overview'!C:C,'Requirement Overview'!E:E))</f>
        <v>Talme</v>
      </c>
      <c r="E1146" s="84" t="str">
        <f>IF(ISBLANK(A1146),"",_xlfn.XLOOKUP(A1146,'Requirement Overview'!C:C,'Requirement Overview'!H:H))</f>
        <v>IT</v>
      </c>
      <c r="F1146" s="445" t="str">
        <f>IF(ISBLANK(A1146),"",_xlfn.XLOOKUP(A1146,'Requirement Overview'!C:C,'Requirement Overview'!I:I))</f>
        <v xml:space="preserve"> Farm Lab Techinican</v>
      </c>
      <c r="G1146" s="62" t="str">
        <f>IF(ISBLANK(A1146),"",_xlfn.XLOOKUP(A1146,'Requirement Overview'!C:C,'Requirement Overview'!G:G))</f>
        <v>LTTS</v>
      </c>
      <c r="H1146" s="668" t="s">
        <v>4146</v>
      </c>
      <c r="I1146" s="654" t="s">
        <v>262</v>
      </c>
      <c r="J1146" s="655" t="s">
        <v>4147</v>
      </c>
      <c r="K1146" s="654">
        <v>9963998612</v>
      </c>
      <c r="L1146" s="654" t="s">
        <v>305</v>
      </c>
      <c r="M1146" s="654" t="s">
        <v>1400</v>
      </c>
      <c r="N1146" s="654" t="s">
        <v>4148</v>
      </c>
      <c r="O1146" s="654" t="s">
        <v>4149</v>
      </c>
      <c r="P1146" s="654" t="s">
        <v>268</v>
      </c>
      <c r="Q1146" s="654" t="s">
        <v>879</v>
      </c>
      <c r="R1146" s="671" t="s">
        <v>1853</v>
      </c>
      <c r="S1146" s="24" t="s">
        <v>601</v>
      </c>
      <c r="T1146" s="24" t="s">
        <v>103</v>
      </c>
      <c r="U1146" s="29">
        <v>46121</v>
      </c>
      <c r="V1146" s="29">
        <v>46121</v>
      </c>
    </row>
    <row r="1147" spans="1:25" ht="15" customHeight="1">
      <c r="A1147" s="24" t="s">
        <v>178</v>
      </c>
      <c r="B1147" s="24" t="s">
        <v>258</v>
      </c>
      <c r="C1147" s="84" t="str">
        <f>IF(ISBLANK(B1147),"",_xlfn.XLOOKUP(B1147,Recruiter!A:A,Recruiter!B:B))</f>
        <v>Bhoomika</v>
      </c>
      <c r="D1147" s="103" t="str">
        <f>IF(ISBLANK(A1147),"",_xlfn.XLOOKUP(A1147,'Requirement Overview'!C:C,'Requirement Overview'!E:E))</f>
        <v>Talme</v>
      </c>
      <c r="E1147" s="84" t="str">
        <f>IF(ISBLANK(A1147),"",_xlfn.XLOOKUP(A1147,'Requirement Overview'!C:C,'Requirement Overview'!H:H))</f>
        <v>IT</v>
      </c>
      <c r="F1147" s="445" t="str">
        <f>IF(ISBLANK(A1147),"",_xlfn.XLOOKUP(A1147,'Requirement Overview'!C:C,'Requirement Overview'!I:I))</f>
        <v xml:space="preserve"> Farm Lab Techinican</v>
      </c>
      <c r="G1147" s="62" t="str">
        <f>IF(ISBLANK(A1147),"",_xlfn.XLOOKUP(A1147,'Requirement Overview'!C:C,'Requirement Overview'!G:G))</f>
        <v>LTTS</v>
      </c>
      <c r="H1147" s="668" t="s">
        <v>4150</v>
      </c>
      <c r="I1147" s="654" t="s">
        <v>262</v>
      </c>
      <c r="J1147" s="655" t="s">
        <v>4151</v>
      </c>
      <c r="K1147" s="654">
        <v>7259310046</v>
      </c>
      <c r="L1147" s="654" t="s">
        <v>311</v>
      </c>
      <c r="M1147" s="654" t="s">
        <v>379</v>
      </c>
      <c r="N1147" s="654" t="s">
        <v>4152</v>
      </c>
      <c r="O1147" s="654" t="s">
        <v>757</v>
      </c>
      <c r="P1147" s="654" t="s">
        <v>268</v>
      </c>
      <c r="Q1147" s="654" t="s">
        <v>268</v>
      </c>
      <c r="R1147" s="671" t="s">
        <v>3172</v>
      </c>
      <c r="S1147" s="24" t="s">
        <v>601</v>
      </c>
      <c r="T1147" s="24" t="s">
        <v>103</v>
      </c>
      <c r="U1147" s="29">
        <v>46121</v>
      </c>
      <c r="V1147" s="29">
        <v>46121</v>
      </c>
    </row>
    <row r="1148" spans="1:25" ht="15" customHeight="1">
      <c r="A1148" s="24" t="s">
        <v>178</v>
      </c>
      <c r="B1148" s="24" t="s">
        <v>258</v>
      </c>
      <c r="C1148" s="84" t="str">
        <f>IF(ISBLANK(B1148),"",_xlfn.XLOOKUP(B1148,Recruiter!A:A,Recruiter!B:B))</f>
        <v>Bhoomika</v>
      </c>
      <c r="D1148" s="103" t="str">
        <f>IF(ISBLANK(A1148),"",_xlfn.XLOOKUP(A1148,'Requirement Overview'!C:C,'Requirement Overview'!E:E))</f>
        <v>Talme</v>
      </c>
      <c r="E1148" s="84" t="str">
        <f>IF(ISBLANK(A1148),"",_xlfn.XLOOKUP(A1148,'Requirement Overview'!C:C,'Requirement Overview'!H:H))</f>
        <v>IT</v>
      </c>
      <c r="F1148" s="445" t="str">
        <f>IF(ISBLANK(A1148),"",_xlfn.XLOOKUP(A1148,'Requirement Overview'!C:C,'Requirement Overview'!I:I))</f>
        <v xml:space="preserve"> Farm Lab Techinican</v>
      </c>
      <c r="G1148" s="62" t="str">
        <f>IF(ISBLANK(A1148),"",_xlfn.XLOOKUP(A1148,'Requirement Overview'!C:C,'Requirement Overview'!G:G))</f>
        <v>LTTS</v>
      </c>
      <c r="H1148" s="654" t="s">
        <v>4153</v>
      </c>
      <c r="I1148" s="654" t="s">
        <v>519</v>
      </c>
      <c r="J1148" s="655" t="s">
        <v>4154</v>
      </c>
      <c r="K1148" s="654">
        <v>8778039893</v>
      </c>
      <c r="L1148" s="654" t="s">
        <v>311</v>
      </c>
      <c r="M1148" s="654" t="s">
        <v>1395</v>
      </c>
      <c r="N1148" s="654" t="s">
        <v>4155</v>
      </c>
      <c r="O1148" s="654" t="s">
        <v>540</v>
      </c>
      <c r="P1148" s="654" t="s">
        <v>268</v>
      </c>
      <c r="Q1148" s="654" t="s">
        <v>1237</v>
      </c>
      <c r="R1148" s="671" t="s">
        <v>715</v>
      </c>
      <c r="S1148" s="24" t="s">
        <v>601</v>
      </c>
      <c r="T1148" s="24" t="s">
        <v>103</v>
      </c>
      <c r="U1148" s="29">
        <v>46121</v>
      </c>
      <c r="V1148" s="29">
        <v>46121</v>
      </c>
    </row>
    <row r="1149" spans="1:25" ht="15" customHeight="1">
      <c r="A1149" s="24" t="s">
        <v>166</v>
      </c>
      <c r="B1149" s="24" t="s">
        <v>258</v>
      </c>
      <c r="C1149" s="84" t="str">
        <f>IF(ISBLANK(B1149),"",_xlfn.XLOOKUP(B1149,Recruiter!A:A,Recruiter!B:B))</f>
        <v>Bhoomika</v>
      </c>
      <c r="D1149" s="103" t="str">
        <f>IF(ISBLANK(A1149),"",_xlfn.XLOOKUP(A1149,'Requirement Overview'!C:C,'Requirement Overview'!E:E))</f>
        <v>Talme</v>
      </c>
      <c r="E1149" s="84" t="str">
        <f>IF(ISBLANK(A1149),"",_xlfn.XLOOKUP(A1149,'Requirement Overview'!C:C,'Requirement Overview'!H:H))</f>
        <v>IT</v>
      </c>
      <c r="F1149" s="445" t="str">
        <f>IF(ISBLANK(A1149),"",_xlfn.XLOOKUP(A1149,'Requirement Overview'!C:C,'Requirement Overview'!I:I))</f>
        <v>Hardware Project manager</v>
      </c>
      <c r="G1149" s="62" t="str">
        <f>IF(ISBLANK(A1149),"",_xlfn.XLOOKUP(A1149,'Requirement Overview'!C:C,'Requirement Overview'!G:G))</f>
        <v>LTTS</v>
      </c>
      <c r="H1149" s="653" t="s">
        <v>4156</v>
      </c>
      <c r="I1149" s="654" t="s">
        <v>262</v>
      </c>
      <c r="J1149" s="655" t="s">
        <v>4157</v>
      </c>
      <c r="K1149" s="654">
        <v>9744369728</v>
      </c>
      <c r="L1149" s="654" t="s">
        <v>305</v>
      </c>
      <c r="M1149" s="654" t="s">
        <v>2344</v>
      </c>
      <c r="N1149" s="654" t="s">
        <v>4158</v>
      </c>
      <c r="O1149" s="654" t="s">
        <v>374</v>
      </c>
      <c r="P1149" s="654" t="s">
        <v>268</v>
      </c>
      <c r="Q1149" s="654" t="s">
        <v>268</v>
      </c>
      <c r="R1149" s="654" t="s">
        <v>1302</v>
      </c>
      <c r="S1149" s="24" t="s">
        <v>601</v>
      </c>
      <c r="T1149" s="24" t="s">
        <v>103</v>
      </c>
      <c r="U1149" s="29">
        <v>46121</v>
      </c>
      <c r="V1149" s="29">
        <v>46121</v>
      </c>
    </row>
    <row r="1150" spans="1:25" ht="15" customHeight="1">
      <c r="A1150" s="24" t="s">
        <v>176</v>
      </c>
      <c r="B1150" s="24" t="s">
        <v>258</v>
      </c>
      <c r="C1150" s="84" t="str">
        <f>IF(ISBLANK(B1150),"",_xlfn.XLOOKUP(B1150,Recruiter!A:A,Recruiter!B:B))</f>
        <v>Bhoomika</v>
      </c>
      <c r="D1150" s="103" t="str">
        <f>IF(ISBLANK(A1150),"",_xlfn.XLOOKUP(A1150,'Requirement Overview'!C:C,'Requirement Overview'!E:E))</f>
        <v>Talme</v>
      </c>
      <c r="E1150" s="84" t="str">
        <f>IF(ISBLANK(A1150),"",_xlfn.XLOOKUP(A1150,'Requirement Overview'!C:C,'Requirement Overview'!H:H))</f>
        <v>IT</v>
      </c>
      <c r="F1150" s="445" t="str">
        <f>IF(ISBLANK(A1150),"",_xlfn.XLOOKUP(A1150,'Requirement Overview'!C:C,'Requirement Overview'!I:I))</f>
        <v>Test Automation engineer</v>
      </c>
      <c r="G1150" s="62" t="str">
        <f>IF(ISBLANK(A1150),"",_xlfn.XLOOKUP(A1150,'Requirement Overview'!C:C,'Requirement Overview'!G:G))</f>
        <v>LTTS</v>
      </c>
      <c r="H1150" s="668" t="s">
        <v>4159</v>
      </c>
      <c r="I1150" s="654" t="s">
        <v>262</v>
      </c>
      <c r="J1150" s="655" t="s">
        <v>4160</v>
      </c>
      <c r="K1150" s="654">
        <v>8074696750</v>
      </c>
      <c r="L1150" s="654" t="s">
        <v>305</v>
      </c>
      <c r="M1150" s="654" t="s">
        <v>1454</v>
      </c>
      <c r="N1150" s="654" t="s">
        <v>4161</v>
      </c>
      <c r="O1150" s="654" t="s">
        <v>429</v>
      </c>
      <c r="P1150" s="654" t="s">
        <v>268</v>
      </c>
      <c r="Q1150" s="654" t="s">
        <v>1128</v>
      </c>
      <c r="R1150" s="654" t="s">
        <v>407</v>
      </c>
      <c r="S1150" s="24" t="s">
        <v>601</v>
      </c>
      <c r="T1150" s="24" t="s">
        <v>103</v>
      </c>
      <c r="U1150" s="29">
        <v>46121</v>
      </c>
      <c r="V1150" s="29">
        <v>46121</v>
      </c>
    </row>
    <row r="1151" spans="1:25" ht="15" customHeight="1">
      <c r="A1151" s="24" t="s">
        <v>176</v>
      </c>
      <c r="B1151" s="24" t="s">
        <v>258</v>
      </c>
      <c r="C1151" s="84" t="str">
        <f>IF(ISBLANK(B1151),"",_xlfn.XLOOKUP(B1151,Recruiter!A:A,Recruiter!B:B))</f>
        <v>Bhoomika</v>
      </c>
      <c r="D1151" s="103" t="str">
        <f>IF(ISBLANK(A1151),"",_xlfn.XLOOKUP(A1151,'Requirement Overview'!C:C,'Requirement Overview'!E:E))</f>
        <v>Talme</v>
      </c>
      <c r="E1151" s="84" t="str">
        <f>IF(ISBLANK(A1151),"",_xlfn.XLOOKUP(A1151,'Requirement Overview'!C:C,'Requirement Overview'!H:H))</f>
        <v>IT</v>
      </c>
      <c r="F1151" s="445" t="str">
        <f>IF(ISBLANK(A1151),"",_xlfn.XLOOKUP(A1151,'Requirement Overview'!C:C,'Requirement Overview'!I:I))</f>
        <v>Test Automation engineer</v>
      </c>
      <c r="G1151" s="62" t="str">
        <f>IF(ISBLANK(A1151),"",_xlfn.XLOOKUP(A1151,'Requirement Overview'!C:C,'Requirement Overview'!G:G))</f>
        <v>LTTS</v>
      </c>
      <c r="H1151" s="668" t="s">
        <v>4162</v>
      </c>
      <c r="I1151" s="654" t="s">
        <v>262</v>
      </c>
      <c r="J1151" s="655" t="s">
        <v>4163</v>
      </c>
      <c r="K1151" s="654" t="s">
        <v>4164</v>
      </c>
      <c r="L1151" s="654" t="s">
        <v>311</v>
      </c>
      <c r="M1151" s="654" t="s">
        <v>942</v>
      </c>
      <c r="N1151" s="654" t="s">
        <v>4165</v>
      </c>
      <c r="O1151" s="654" t="s">
        <v>429</v>
      </c>
      <c r="P1151" s="654" t="s">
        <v>1128</v>
      </c>
      <c r="Q1151" s="654" t="s">
        <v>1128</v>
      </c>
      <c r="R1151" s="654" t="s">
        <v>589</v>
      </c>
      <c r="S1151" s="24" t="s">
        <v>601</v>
      </c>
      <c r="T1151" s="24" t="s">
        <v>103</v>
      </c>
      <c r="U1151" s="29">
        <v>46121</v>
      </c>
      <c r="V1151" s="29">
        <v>46121</v>
      </c>
    </row>
    <row r="1152" spans="1:25" ht="15" customHeight="1">
      <c r="A1152" s="24" t="s">
        <v>176</v>
      </c>
      <c r="B1152" s="24" t="s">
        <v>258</v>
      </c>
      <c r="C1152" s="84" t="str">
        <f>IF(ISBLANK(B1152),"",_xlfn.XLOOKUP(B1152,Recruiter!A:A,Recruiter!B:B))</f>
        <v>Bhoomika</v>
      </c>
      <c r="D1152" s="103" t="str">
        <f>IF(ISBLANK(A1152),"",_xlfn.XLOOKUP(A1152,'Requirement Overview'!C:C,'Requirement Overview'!E:E))</f>
        <v>Talme</v>
      </c>
      <c r="E1152" s="84" t="str">
        <f>IF(ISBLANK(A1152),"",_xlfn.XLOOKUP(A1152,'Requirement Overview'!C:C,'Requirement Overview'!H:H))</f>
        <v>IT</v>
      </c>
      <c r="F1152" s="445" t="str">
        <f>IF(ISBLANK(A1152),"",_xlfn.XLOOKUP(A1152,'Requirement Overview'!C:C,'Requirement Overview'!I:I))</f>
        <v>Test Automation engineer</v>
      </c>
      <c r="G1152" s="62" t="str">
        <f>IF(ISBLANK(A1152),"",_xlfn.XLOOKUP(A1152,'Requirement Overview'!C:C,'Requirement Overview'!G:G))</f>
        <v>LTTS</v>
      </c>
      <c r="H1152" s="668" t="s">
        <v>4166</v>
      </c>
      <c r="I1152" s="654" t="s">
        <v>519</v>
      </c>
      <c r="J1152" s="655" t="s">
        <v>4167</v>
      </c>
      <c r="K1152" s="654">
        <v>9597946689</v>
      </c>
      <c r="L1152" s="654" t="s">
        <v>311</v>
      </c>
      <c r="M1152" s="654" t="s">
        <v>1284</v>
      </c>
      <c r="N1152" s="654" t="s">
        <v>4168</v>
      </c>
      <c r="O1152" s="654" t="s">
        <v>4169</v>
      </c>
      <c r="P1152" s="654" t="s">
        <v>1128</v>
      </c>
      <c r="Q1152" s="654" t="s">
        <v>1128</v>
      </c>
      <c r="R1152" s="654" t="s">
        <v>367</v>
      </c>
      <c r="S1152" s="24" t="s">
        <v>601</v>
      </c>
      <c r="T1152" s="24" t="s">
        <v>103</v>
      </c>
      <c r="U1152" s="29">
        <v>46121</v>
      </c>
      <c r="V1152" s="29">
        <v>46121</v>
      </c>
    </row>
    <row r="1153" spans="1:24" ht="15" customHeight="1">
      <c r="A1153" s="24" t="s">
        <v>176</v>
      </c>
      <c r="B1153" s="24" t="s">
        <v>258</v>
      </c>
      <c r="C1153" s="84" t="str">
        <f>IF(ISBLANK(B1153),"",_xlfn.XLOOKUP(B1153,Recruiter!A:A,Recruiter!B:B))</f>
        <v>Bhoomika</v>
      </c>
      <c r="D1153" s="103" t="str">
        <f>IF(ISBLANK(A1153),"",_xlfn.XLOOKUP(A1153,'Requirement Overview'!C:C,'Requirement Overview'!E:E))</f>
        <v>Talme</v>
      </c>
      <c r="E1153" s="84" t="str">
        <f>IF(ISBLANK(A1153),"",_xlfn.XLOOKUP(A1153,'Requirement Overview'!C:C,'Requirement Overview'!H:H))</f>
        <v>IT</v>
      </c>
      <c r="F1153" s="445" t="str">
        <f>IF(ISBLANK(A1153),"",_xlfn.XLOOKUP(A1153,'Requirement Overview'!C:C,'Requirement Overview'!I:I))</f>
        <v>Test Automation engineer</v>
      </c>
      <c r="G1153" s="62" t="str">
        <f>IF(ISBLANK(A1153),"",_xlfn.XLOOKUP(A1153,'Requirement Overview'!C:C,'Requirement Overview'!G:G))</f>
        <v>LTTS</v>
      </c>
      <c r="H1153" s="668" t="s">
        <v>4170</v>
      </c>
      <c r="I1153" s="654" t="s">
        <v>262</v>
      </c>
      <c r="J1153" s="655" t="s">
        <v>4171</v>
      </c>
      <c r="K1153" s="654">
        <v>9072123224</v>
      </c>
      <c r="L1153" s="654" t="s">
        <v>305</v>
      </c>
      <c r="M1153" s="654" t="s">
        <v>1029</v>
      </c>
      <c r="N1153" s="654" t="s">
        <v>4172</v>
      </c>
      <c r="O1153" s="654" t="s">
        <v>3562</v>
      </c>
      <c r="P1153" s="654" t="s">
        <v>4173</v>
      </c>
      <c r="Q1153" s="654" t="s">
        <v>1128</v>
      </c>
      <c r="R1153" s="654" t="s">
        <v>386</v>
      </c>
      <c r="S1153" s="24" t="s">
        <v>601</v>
      </c>
      <c r="T1153" s="24" t="s">
        <v>103</v>
      </c>
      <c r="U1153" s="29">
        <v>46121</v>
      </c>
      <c r="V1153" s="29">
        <v>46121</v>
      </c>
    </row>
    <row r="1154" spans="1:24" ht="15" customHeight="1">
      <c r="A1154" s="24" t="s">
        <v>180</v>
      </c>
      <c r="B1154" s="24" t="s">
        <v>258</v>
      </c>
      <c r="C1154" s="84" t="str">
        <f>IF(ISBLANK(B1154),"",_xlfn.XLOOKUP(B1154,Recruiter!A:A,Recruiter!B:B))</f>
        <v>Bhoomika</v>
      </c>
      <c r="D1154" s="103" t="str">
        <f>IF(ISBLANK(A1154),"",_xlfn.XLOOKUP(A1154,'Requirement Overview'!C:C,'Requirement Overview'!E:E))</f>
        <v>Talme</v>
      </c>
      <c r="E1154" s="84" t="str">
        <f>IF(ISBLANK(A1154),"",_xlfn.XLOOKUP(A1154,'Requirement Overview'!C:C,'Requirement Overview'!H:H))</f>
        <v>IT</v>
      </c>
      <c r="F1154" s="445" t="str">
        <f>IF(ISBLANK(A1154),"",_xlfn.XLOOKUP(A1154,'Requirement Overview'!C:C,'Requirement Overview'!I:I))</f>
        <v>Java Engineers</v>
      </c>
      <c r="G1154" s="62" t="str">
        <f>IF(ISBLANK(A1154),"",_xlfn.XLOOKUP(A1154,'Requirement Overview'!C:C,'Requirement Overview'!G:G))</f>
        <v>EMIDS</v>
      </c>
      <c r="H1154" s="669" t="s">
        <v>4174</v>
      </c>
      <c r="I1154" s="654" t="s">
        <v>519</v>
      </c>
      <c r="J1154" s="672" t="s">
        <v>4175</v>
      </c>
      <c r="K1154" s="654">
        <v>7337502793</v>
      </c>
      <c r="L1154" s="654" t="s">
        <v>305</v>
      </c>
      <c r="M1154" s="654" t="s">
        <v>279</v>
      </c>
      <c r="N1154" s="654" t="s">
        <v>831</v>
      </c>
      <c r="O1154" s="654" t="s">
        <v>4176</v>
      </c>
      <c r="P1154" s="654" t="s">
        <v>268</v>
      </c>
      <c r="Q1154" s="654" t="s">
        <v>268</v>
      </c>
      <c r="R1154" s="654" t="s">
        <v>540</v>
      </c>
      <c r="S1154" s="24" t="s">
        <v>270</v>
      </c>
      <c r="T1154" s="24" t="s">
        <v>103</v>
      </c>
      <c r="U1154" s="29">
        <v>46122</v>
      </c>
      <c r="V1154" s="29">
        <v>46122</v>
      </c>
    </row>
    <row r="1155" spans="1:24" ht="15" customHeight="1">
      <c r="A1155" s="24" t="s">
        <v>180</v>
      </c>
      <c r="B1155" s="24" t="s">
        <v>258</v>
      </c>
      <c r="C1155" s="84" t="str">
        <f>IF(ISBLANK(B1155),"",_xlfn.XLOOKUP(B1155,Recruiter!A:A,Recruiter!B:B))</f>
        <v>Bhoomika</v>
      </c>
      <c r="D1155" s="103" t="str">
        <f>IF(ISBLANK(A1155),"",_xlfn.XLOOKUP(A1155,'Requirement Overview'!C:C,'Requirement Overview'!E:E))</f>
        <v>Talme</v>
      </c>
      <c r="E1155" s="84" t="str">
        <f>IF(ISBLANK(A1155),"",_xlfn.XLOOKUP(A1155,'Requirement Overview'!C:C,'Requirement Overview'!H:H))</f>
        <v>IT</v>
      </c>
      <c r="F1155" s="445" t="str">
        <f>IF(ISBLANK(A1155),"",_xlfn.XLOOKUP(A1155,'Requirement Overview'!C:C,'Requirement Overview'!I:I))</f>
        <v>Java Engineers</v>
      </c>
      <c r="G1155" s="62" t="str">
        <f>IF(ISBLANK(A1155),"",_xlfn.XLOOKUP(A1155,'Requirement Overview'!C:C,'Requirement Overview'!G:G))</f>
        <v>EMIDS</v>
      </c>
      <c r="H1155" s="669" t="s">
        <v>4177</v>
      </c>
      <c r="I1155" s="654" t="s">
        <v>519</v>
      </c>
      <c r="J1155" s="672" t="s">
        <v>4178</v>
      </c>
      <c r="K1155" s="654">
        <v>9525363521</v>
      </c>
      <c r="L1155" s="654" t="s">
        <v>311</v>
      </c>
      <c r="M1155" s="654" t="s">
        <v>2107</v>
      </c>
      <c r="N1155" s="654" t="s">
        <v>4179</v>
      </c>
      <c r="O1155" s="654" t="s">
        <v>1144</v>
      </c>
      <c r="P1155" s="654" t="s">
        <v>268</v>
      </c>
      <c r="Q1155" s="654" t="s">
        <v>268</v>
      </c>
      <c r="R1155" s="654" t="s">
        <v>1844</v>
      </c>
      <c r="S1155" s="24" t="s">
        <v>360</v>
      </c>
      <c r="T1155" s="24" t="s">
        <v>103</v>
      </c>
      <c r="U1155" s="29">
        <v>46122</v>
      </c>
      <c r="V1155" s="29">
        <v>46122</v>
      </c>
      <c r="X1155" s="29">
        <v>46123</v>
      </c>
    </row>
    <row r="1156" spans="1:24" ht="15" customHeight="1">
      <c r="A1156" s="24" t="s">
        <v>180</v>
      </c>
      <c r="B1156" s="24" t="s">
        <v>258</v>
      </c>
      <c r="C1156" s="84" t="str">
        <f>IF(ISBLANK(B1156),"",_xlfn.XLOOKUP(B1156,Recruiter!A:A,Recruiter!B:B))</f>
        <v>Bhoomika</v>
      </c>
      <c r="D1156" s="103" t="str">
        <f>IF(ISBLANK(A1156),"",_xlfn.XLOOKUP(A1156,'Requirement Overview'!C:C,'Requirement Overview'!E:E))</f>
        <v>Talme</v>
      </c>
      <c r="E1156" s="84" t="str">
        <f>IF(ISBLANK(A1156),"",_xlfn.XLOOKUP(A1156,'Requirement Overview'!C:C,'Requirement Overview'!H:H))</f>
        <v>IT</v>
      </c>
      <c r="F1156" s="445" t="str">
        <f>IF(ISBLANK(A1156),"",_xlfn.XLOOKUP(A1156,'Requirement Overview'!C:C,'Requirement Overview'!I:I))</f>
        <v>Java Engineers</v>
      </c>
      <c r="G1156" s="62" t="str">
        <f>IF(ISBLANK(A1156),"",_xlfn.XLOOKUP(A1156,'Requirement Overview'!C:C,'Requirement Overview'!G:G))</f>
        <v>EMIDS</v>
      </c>
      <c r="H1156" s="669" t="s">
        <v>4180</v>
      </c>
      <c r="I1156" s="654" t="s">
        <v>519</v>
      </c>
      <c r="J1156" s="672" t="s">
        <v>4181</v>
      </c>
      <c r="K1156" s="654">
        <v>7022987578</v>
      </c>
      <c r="L1156" s="654" t="s">
        <v>305</v>
      </c>
      <c r="M1156" s="654" t="s">
        <v>1029</v>
      </c>
      <c r="N1156" s="654" t="s">
        <v>4182</v>
      </c>
      <c r="O1156" s="654" t="s">
        <v>654</v>
      </c>
      <c r="P1156" s="654" t="s">
        <v>268</v>
      </c>
      <c r="Q1156" s="654" t="s">
        <v>268</v>
      </c>
      <c r="R1156" s="654" t="s">
        <v>374</v>
      </c>
      <c r="S1156" s="24" t="s">
        <v>270</v>
      </c>
      <c r="T1156" s="24" t="s">
        <v>103</v>
      </c>
      <c r="U1156" s="29">
        <v>46122</v>
      </c>
      <c r="V1156" s="29">
        <v>46122</v>
      </c>
    </row>
    <row r="1157" spans="1:24" ht="15" customHeight="1">
      <c r="A1157" s="24" t="s">
        <v>180</v>
      </c>
      <c r="B1157" s="24" t="s">
        <v>258</v>
      </c>
      <c r="C1157" s="84" t="str">
        <f>IF(ISBLANK(B1157),"",_xlfn.XLOOKUP(B1157,Recruiter!A:A,Recruiter!B:B))</f>
        <v>Bhoomika</v>
      </c>
      <c r="D1157" s="103" t="str">
        <f>IF(ISBLANK(A1157),"",_xlfn.XLOOKUP(A1157,'Requirement Overview'!C:C,'Requirement Overview'!E:E))</f>
        <v>Talme</v>
      </c>
      <c r="E1157" s="84" t="str">
        <f>IF(ISBLANK(A1157),"",_xlfn.XLOOKUP(A1157,'Requirement Overview'!C:C,'Requirement Overview'!H:H))</f>
        <v>IT</v>
      </c>
      <c r="F1157" s="445" t="str">
        <f>IF(ISBLANK(A1157),"",_xlfn.XLOOKUP(A1157,'Requirement Overview'!C:C,'Requirement Overview'!I:I))</f>
        <v>Java Engineers</v>
      </c>
      <c r="G1157" s="62" t="str">
        <f>IF(ISBLANK(A1157),"",_xlfn.XLOOKUP(A1157,'Requirement Overview'!C:C,'Requirement Overview'!G:G))</f>
        <v>EMIDS</v>
      </c>
      <c r="H1157" s="669" t="s">
        <v>4183</v>
      </c>
      <c r="I1157" s="654" t="s">
        <v>519</v>
      </c>
      <c r="J1157" s="672" t="s">
        <v>4184</v>
      </c>
      <c r="K1157" s="654">
        <v>9578096551</v>
      </c>
      <c r="L1157" s="654" t="s">
        <v>311</v>
      </c>
      <c r="M1157" s="654" t="s">
        <v>1864</v>
      </c>
      <c r="N1157" s="654" t="s">
        <v>995</v>
      </c>
      <c r="O1157" s="654" t="s">
        <v>730</v>
      </c>
      <c r="P1157" s="654" t="s">
        <v>268</v>
      </c>
      <c r="Q1157" s="654" t="s">
        <v>268</v>
      </c>
      <c r="R1157" s="654" t="s">
        <v>374</v>
      </c>
      <c r="S1157" s="24" t="s">
        <v>360</v>
      </c>
      <c r="T1157" s="24" t="s">
        <v>103</v>
      </c>
      <c r="U1157" s="29">
        <v>46122</v>
      </c>
      <c r="V1157" s="29">
        <v>46122</v>
      </c>
      <c r="X1157" s="29">
        <v>46123</v>
      </c>
    </row>
    <row r="1158" spans="1:24" ht="15" customHeight="1">
      <c r="A1158" s="24" t="s">
        <v>180</v>
      </c>
      <c r="B1158" s="24" t="s">
        <v>258</v>
      </c>
      <c r="C1158" s="84" t="str">
        <f>IF(ISBLANK(B1158),"",_xlfn.XLOOKUP(B1158,Recruiter!A:A,Recruiter!B:B))</f>
        <v>Bhoomika</v>
      </c>
      <c r="D1158" s="103" t="str">
        <f>IF(ISBLANK(A1158),"",_xlfn.XLOOKUP(A1158,'Requirement Overview'!C:C,'Requirement Overview'!E:E))</f>
        <v>Talme</v>
      </c>
      <c r="E1158" s="84" t="str">
        <f>IF(ISBLANK(A1158),"",_xlfn.XLOOKUP(A1158,'Requirement Overview'!C:C,'Requirement Overview'!H:H))</f>
        <v>IT</v>
      </c>
      <c r="F1158" s="445" t="str">
        <f>IF(ISBLANK(A1158),"",_xlfn.XLOOKUP(A1158,'Requirement Overview'!C:C,'Requirement Overview'!I:I))</f>
        <v>Java Engineers</v>
      </c>
      <c r="G1158" s="62" t="str">
        <f>IF(ISBLANK(A1158),"",_xlfn.XLOOKUP(A1158,'Requirement Overview'!C:C,'Requirement Overview'!G:G))</f>
        <v>EMIDS</v>
      </c>
      <c r="H1158" s="669" t="s">
        <v>4185</v>
      </c>
      <c r="I1158" s="654" t="s">
        <v>519</v>
      </c>
      <c r="J1158" s="672" t="s">
        <v>4186</v>
      </c>
      <c r="K1158" s="654">
        <v>9775913873</v>
      </c>
      <c r="L1158" s="654" t="s">
        <v>305</v>
      </c>
      <c r="M1158" s="654" t="s">
        <v>2107</v>
      </c>
      <c r="N1158" s="654" t="s">
        <v>4187</v>
      </c>
      <c r="O1158" s="654" t="s">
        <v>429</v>
      </c>
      <c r="P1158" s="654" t="s">
        <v>268</v>
      </c>
      <c r="Q1158" s="654" t="s">
        <v>268</v>
      </c>
      <c r="R1158" s="654" t="s">
        <v>374</v>
      </c>
      <c r="S1158" s="24" t="s">
        <v>360</v>
      </c>
      <c r="T1158" s="24" t="s">
        <v>103</v>
      </c>
      <c r="U1158" s="29">
        <v>46122</v>
      </c>
      <c r="V1158" s="29">
        <v>46122</v>
      </c>
      <c r="X1158" s="29">
        <v>46123</v>
      </c>
    </row>
    <row r="1159" spans="1:24" ht="15" customHeight="1">
      <c r="A1159" s="24" t="s">
        <v>180</v>
      </c>
      <c r="B1159" s="24" t="s">
        <v>258</v>
      </c>
      <c r="C1159" s="84" t="str">
        <f>IF(ISBLANK(B1159),"",_xlfn.XLOOKUP(B1159,Recruiter!A:A,Recruiter!B:B))</f>
        <v>Bhoomika</v>
      </c>
      <c r="D1159" s="103" t="str">
        <f>IF(ISBLANK(A1159),"",_xlfn.XLOOKUP(A1159,'Requirement Overview'!C:C,'Requirement Overview'!E:E))</f>
        <v>Talme</v>
      </c>
      <c r="E1159" s="84" t="str">
        <f>IF(ISBLANK(A1159),"",_xlfn.XLOOKUP(A1159,'Requirement Overview'!C:C,'Requirement Overview'!H:H))</f>
        <v>IT</v>
      </c>
      <c r="F1159" s="445" t="str">
        <f>IF(ISBLANK(A1159),"",_xlfn.XLOOKUP(A1159,'Requirement Overview'!C:C,'Requirement Overview'!I:I))</f>
        <v>Java Engineers</v>
      </c>
      <c r="G1159" s="62" t="str">
        <f>IF(ISBLANK(A1159),"",_xlfn.XLOOKUP(A1159,'Requirement Overview'!C:C,'Requirement Overview'!G:G))</f>
        <v>EMIDS</v>
      </c>
      <c r="H1159" s="669" t="s">
        <v>4188</v>
      </c>
      <c r="I1159" s="654" t="s">
        <v>519</v>
      </c>
      <c r="J1159" s="672" t="s">
        <v>4189</v>
      </c>
      <c r="K1159" s="654">
        <v>9490951913</v>
      </c>
      <c r="L1159" s="654" t="s">
        <v>311</v>
      </c>
      <c r="M1159" s="654" t="s">
        <v>1860</v>
      </c>
      <c r="N1159" s="654" t="s">
        <v>4190</v>
      </c>
      <c r="O1159" s="654" t="s">
        <v>540</v>
      </c>
      <c r="P1159" s="654" t="s">
        <v>268</v>
      </c>
      <c r="Q1159" s="654" t="s">
        <v>268</v>
      </c>
      <c r="R1159" s="654" t="s">
        <v>1844</v>
      </c>
      <c r="S1159" s="24" t="s">
        <v>270</v>
      </c>
      <c r="T1159" s="24" t="s">
        <v>103</v>
      </c>
      <c r="U1159" s="29">
        <v>46122</v>
      </c>
      <c r="V1159" s="29">
        <v>46122</v>
      </c>
    </row>
    <row r="1160" spans="1:24" ht="15" customHeight="1">
      <c r="A1160" s="24" t="s">
        <v>180</v>
      </c>
      <c r="B1160" s="24" t="s">
        <v>258</v>
      </c>
      <c r="C1160" s="84" t="str">
        <f>IF(ISBLANK(B1160),"",_xlfn.XLOOKUP(B1160,Recruiter!A:A,Recruiter!B:B))</f>
        <v>Bhoomika</v>
      </c>
      <c r="D1160" s="103" t="str">
        <f>IF(ISBLANK(A1160),"",_xlfn.XLOOKUP(A1160,'Requirement Overview'!C:C,'Requirement Overview'!E:E))</f>
        <v>Talme</v>
      </c>
      <c r="E1160" s="84" t="str">
        <f>IF(ISBLANK(A1160),"",_xlfn.XLOOKUP(A1160,'Requirement Overview'!C:C,'Requirement Overview'!H:H))</f>
        <v>IT</v>
      </c>
      <c r="F1160" s="445" t="str">
        <f>IF(ISBLANK(A1160),"",_xlfn.XLOOKUP(A1160,'Requirement Overview'!C:C,'Requirement Overview'!I:I))</f>
        <v>Java Engineers</v>
      </c>
      <c r="G1160" s="62" t="str">
        <f>IF(ISBLANK(A1160),"",_xlfn.XLOOKUP(A1160,'Requirement Overview'!C:C,'Requirement Overview'!G:G))</f>
        <v>EMIDS</v>
      </c>
      <c r="H1160" s="670" t="s">
        <v>4191</v>
      </c>
      <c r="I1160" s="670" t="s">
        <v>519</v>
      </c>
      <c r="J1160" s="670" t="s">
        <v>4192</v>
      </c>
      <c r="K1160" s="670">
        <v>8884698386</v>
      </c>
      <c r="L1160" s="670" t="s">
        <v>305</v>
      </c>
      <c r="M1160" s="670" t="s">
        <v>2107</v>
      </c>
      <c r="N1160" s="670" t="s">
        <v>4193</v>
      </c>
      <c r="O1160" s="670" t="s">
        <v>868</v>
      </c>
      <c r="P1160" s="670" t="s">
        <v>268</v>
      </c>
      <c r="Q1160" s="670" t="s">
        <v>268</v>
      </c>
      <c r="R1160" s="670" t="s">
        <v>424</v>
      </c>
      <c r="S1160" s="24" t="s">
        <v>270</v>
      </c>
      <c r="T1160" s="24" t="s">
        <v>103</v>
      </c>
      <c r="U1160" s="29">
        <v>46122</v>
      </c>
      <c r="V1160" s="29">
        <v>46122</v>
      </c>
    </row>
    <row r="1161" spans="1:24" ht="15" customHeight="1">
      <c r="A1161" s="24" t="s">
        <v>180</v>
      </c>
      <c r="B1161" s="24" t="s">
        <v>258</v>
      </c>
      <c r="C1161" s="84" t="str">
        <f>IF(ISBLANK(B1161),"",_xlfn.XLOOKUP(B1161,Recruiter!A:A,Recruiter!B:B))</f>
        <v>Bhoomika</v>
      </c>
      <c r="D1161" s="103" t="str">
        <f>IF(ISBLANK(A1161),"",_xlfn.XLOOKUP(A1161,'Requirement Overview'!C:C,'Requirement Overview'!E:E))</f>
        <v>Talme</v>
      </c>
      <c r="E1161" s="84" t="str">
        <f>IF(ISBLANK(A1161),"",_xlfn.XLOOKUP(A1161,'Requirement Overview'!C:C,'Requirement Overview'!H:H))</f>
        <v>IT</v>
      </c>
      <c r="F1161" s="445" t="str">
        <f>IF(ISBLANK(A1161),"",_xlfn.XLOOKUP(A1161,'Requirement Overview'!C:C,'Requirement Overview'!I:I))</f>
        <v>Java Engineers</v>
      </c>
      <c r="G1161" s="62" t="str">
        <f>IF(ISBLANK(A1161),"",_xlfn.XLOOKUP(A1161,'Requirement Overview'!C:C,'Requirement Overview'!G:G))</f>
        <v>EMIDS</v>
      </c>
      <c r="H1161" s="670" t="s">
        <v>4194</v>
      </c>
      <c r="I1161" s="670" t="s">
        <v>4195</v>
      </c>
      <c r="J1161" s="670" t="s">
        <v>4196</v>
      </c>
      <c r="K1161" s="670">
        <v>9623309461</v>
      </c>
      <c r="L1161" s="670" t="s">
        <v>311</v>
      </c>
      <c r="M1161" s="670" t="s">
        <v>279</v>
      </c>
      <c r="N1161" s="670" t="s">
        <v>4197</v>
      </c>
      <c r="O1161" s="670" t="s">
        <v>424</v>
      </c>
      <c r="P1161" s="670" t="s">
        <v>268</v>
      </c>
      <c r="Q1161" s="670" t="s">
        <v>268</v>
      </c>
      <c r="R1161" s="670" t="s">
        <v>715</v>
      </c>
      <c r="S1161" s="24" t="s">
        <v>270</v>
      </c>
      <c r="T1161" s="24" t="s">
        <v>103</v>
      </c>
      <c r="U1161" s="29">
        <v>46122</v>
      </c>
      <c r="V1161" s="29">
        <v>46122</v>
      </c>
    </row>
    <row r="1162" spans="1:24" ht="15" customHeight="1">
      <c r="A1162" s="24" t="s">
        <v>180</v>
      </c>
      <c r="B1162" s="24" t="s">
        <v>258</v>
      </c>
      <c r="C1162" s="84" t="str">
        <f>IF(ISBLANK(B1162),"",_xlfn.XLOOKUP(B1162,Recruiter!A:A,Recruiter!B:B))</f>
        <v>Bhoomika</v>
      </c>
      <c r="D1162" s="103" t="str">
        <f>IF(ISBLANK(A1162),"",_xlfn.XLOOKUP(A1162,'Requirement Overview'!C:C,'Requirement Overview'!E:E))</f>
        <v>Talme</v>
      </c>
      <c r="E1162" s="84" t="str">
        <f>IF(ISBLANK(A1162),"",_xlfn.XLOOKUP(A1162,'Requirement Overview'!C:C,'Requirement Overview'!H:H))</f>
        <v>IT</v>
      </c>
      <c r="F1162" s="445" t="str">
        <f>IF(ISBLANK(A1162),"",_xlfn.XLOOKUP(A1162,'Requirement Overview'!C:C,'Requirement Overview'!I:I))</f>
        <v>Java Engineers</v>
      </c>
      <c r="G1162" s="62" t="str">
        <f>IF(ISBLANK(A1162),"",_xlfn.XLOOKUP(A1162,'Requirement Overview'!C:C,'Requirement Overview'!G:G))</f>
        <v>EMIDS</v>
      </c>
      <c r="H1162" s="670" t="s">
        <v>4198</v>
      </c>
      <c r="I1162" s="670" t="s">
        <v>519</v>
      </c>
      <c r="J1162" s="670" t="s">
        <v>4199</v>
      </c>
      <c r="K1162" s="670">
        <v>8581918182</v>
      </c>
      <c r="L1162" s="670" t="s">
        <v>305</v>
      </c>
      <c r="M1162" s="670" t="s">
        <v>279</v>
      </c>
      <c r="N1162" s="670" t="s">
        <v>400</v>
      </c>
      <c r="O1162" s="670" t="s">
        <v>434</v>
      </c>
      <c r="P1162" s="670" t="s">
        <v>268</v>
      </c>
      <c r="Q1162" s="670" t="s">
        <v>268</v>
      </c>
      <c r="R1162" s="670" t="s">
        <v>589</v>
      </c>
      <c r="S1162" s="24" t="s">
        <v>270</v>
      </c>
      <c r="T1162" s="24" t="s">
        <v>103</v>
      </c>
      <c r="U1162" s="29">
        <v>46122</v>
      </c>
      <c r="V1162" s="29">
        <v>46122</v>
      </c>
    </row>
    <row r="1163" spans="1:24" ht="15" customHeight="1">
      <c r="A1163" s="24" t="s">
        <v>180</v>
      </c>
      <c r="B1163" s="24" t="s">
        <v>258</v>
      </c>
      <c r="C1163" s="84" t="str">
        <f>IF(ISBLANK(B1163),"",_xlfn.XLOOKUP(B1163,Recruiter!A:A,Recruiter!B:B))</f>
        <v>Bhoomika</v>
      </c>
      <c r="D1163" s="103" t="str">
        <f>IF(ISBLANK(A1163),"",_xlfn.XLOOKUP(A1163,'Requirement Overview'!C:C,'Requirement Overview'!E:E))</f>
        <v>Talme</v>
      </c>
      <c r="E1163" s="84" t="str">
        <f>IF(ISBLANK(A1163),"",_xlfn.XLOOKUP(A1163,'Requirement Overview'!C:C,'Requirement Overview'!H:H))</f>
        <v>IT</v>
      </c>
      <c r="F1163" s="445" t="str">
        <f>IF(ISBLANK(A1163),"",_xlfn.XLOOKUP(A1163,'Requirement Overview'!C:C,'Requirement Overview'!I:I))</f>
        <v>Java Engineers</v>
      </c>
      <c r="G1163" s="62" t="str">
        <f>IF(ISBLANK(A1163),"",_xlfn.XLOOKUP(A1163,'Requirement Overview'!C:C,'Requirement Overview'!G:G))</f>
        <v>EMIDS</v>
      </c>
      <c r="H1163" s="670" t="s">
        <v>4200</v>
      </c>
      <c r="I1163" s="670" t="s">
        <v>4201</v>
      </c>
      <c r="J1163" s="670" t="s">
        <v>4202</v>
      </c>
      <c r="K1163" s="670" t="s">
        <v>4203</v>
      </c>
      <c r="L1163" s="670" t="s">
        <v>305</v>
      </c>
      <c r="M1163" s="670" t="s">
        <v>942</v>
      </c>
      <c r="N1163" s="670" t="s">
        <v>4204</v>
      </c>
      <c r="O1163" s="670" t="s">
        <v>407</v>
      </c>
      <c r="P1163" s="670" t="s">
        <v>268</v>
      </c>
      <c r="Q1163" s="670" t="s">
        <v>268</v>
      </c>
      <c r="R1163" s="670" t="s">
        <v>1144</v>
      </c>
      <c r="S1163" s="24" t="s">
        <v>270</v>
      </c>
      <c r="T1163" s="24" t="s">
        <v>103</v>
      </c>
      <c r="U1163" s="29">
        <v>46122</v>
      </c>
      <c r="V1163" s="29">
        <v>46122</v>
      </c>
    </row>
    <row r="1164" spans="1:24" ht="15" customHeight="1">
      <c r="A1164" s="24" t="s">
        <v>180</v>
      </c>
      <c r="B1164" s="24" t="s">
        <v>258</v>
      </c>
      <c r="C1164" s="84" t="str">
        <f>IF(ISBLANK(B1164),"",_xlfn.XLOOKUP(B1164,Recruiter!A:A,Recruiter!B:B))</f>
        <v>Bhoomika</v>
      </c>
      <c r="D1164" s="103" t="str">
        <f>IF(ISBLANK(A1164),"",_xlfn.XLOOKUP(A1164,'Requirement Overview'!C:C,'Requirement Overview'!E:E))</f>
        <v>Talme</v>
      </c>
      <c r="E1164" s="84" t="str">
        <f>IF(ISBLANK(A1164),"",_xlfn.XLOOKUP(A1164,'Requirement Overview'!C:C,'Requirement Overview'!H:H))</f>
        <v>IT</v>
      </c>
      <c r="F1164" s="445" t="str">
        <f>IF(ISBLANK(A1164),"",_xlfn.XLOOKUP(A1164,'Requirement Overview'!C:C,'Requirement Overview'!I:I))</f>
        <v>Java Engineers</v>
      </c>
      <c r="G1164" s="62" t="str">
        <f>IF(ISBLANK(A1164),"",_xlfn.XLOOKUP(A1164,'Requirement Overview'!C:C,'Requirement Overview'!G:G))</f>
        <v>EMIDS</v>
      </c>
      <c r="H1164" s="673" t="s">
        <v>4205</v>
      </c>
      <c r="I1164" s="673" t="s">
        <v>519</v>
      </c>
      <c r="J1164" s="673" t="s">
        <v>4206</v>
      </c>
      <c r="K1164" s="673">
        <v>9713359194</v>
      </c>
      <c r="L1164" s="673" t="s">
        <v>311</v>
      </c>
      <c r="M1164" s="673" t="s">
        <v>1864</v>
      </c>
      <c r="N1164" s="673" t="s">
        <v>4207</v>
      </c>
      <c r="O1164" s="673" t="s">
        <v>368</v>
      </c>
      <c r="P1164" s="673" t="s">
        <v>268</v>
      </c>
      <c r="Q1164" s="673" t="s">
        <v>268</v>
      </c>
      <c r="R1164" s="673" t="s">
        <v>715</v>
      </c>
      <c r="S1164" s="24" t="s">
        <v>1380</v>
      </c>
      <c r="T1164" s="24" t="s">
        <v>103</v>
      </c>
      <c r="U1164" s="29">
        <v>46125</v>
      </c>
      <c r="V1164" s="29">
        <v>46125</v>
      </c>
      <c r="X1164" s="29">
        <v>46132</v>
      </c>
    </row>
    <row r="1165" spans="1:24" ht="15" customHeight="1">
      <c r="A1165" s="24" t="s">
        <v>180</v>
      </c>
      <c r="B1165" s="24" t="s">
        <v>258</v>
      </c>
      <c r="C1165" s="84" t="str">
        <f>IF(ISBLANK(B1165),"",_xlfn.XLOOKUP(B1165,Recruiter!A:A,Recruiter!B:B))</f>
        <v>Bhoomika</v>
      </c>
      <c r="D1165" s="103" t="str">
        <f>IF(ISBLANK(A1165),"",_xlfn.XLOOKUP(A1165,'Requirement Overview'!C:C,'Requirement Overview'!E:E))</f>
        <v>Talme</v>
      </c>
      <c r="E1165" s="84" t="str">
        <f>IF(ISBLANK(A1165),"",_xlfn.XLOOKUP(A1165,'Requirement Overview'!C:C,'Requirement Overview'!H:H))</f>
        <v>IT</v>
      </c>
      <c r="F1165" s="445" t="str">
        <f>IF(ISBLANK(A1165),"",_xlfn.XLOOKUP(A1165,'Requirement Overview'!C:C,'Requirement Overview'!I:I))</f>
        <v>Java Engineers</v>
      </c>
      <c r="G1165" s="62" t="str">
        <f>IF(ISBLANK(A1165),"",_xlfn.XLOOKUP(A1165,'Requirement Overview'!C:C,'Requirement Overview'!G:G))</f>
        <v>EMIDS</v>
      </c>
      <c r="H1165" s="673" t="s">
        <v>4208</v>
      </c>
      <c r="I1165" s="673" t="s">
        <v>519</v>
      </c>
      <c r="J1165" s="673" t="s">
        <v>4209</v>
      </c>
      <c r="K1165" s="673">
        <v>9155900867</v>
      </c>
      <c r="L1165" s="673" t="s">
        <v>305</v>
      </c>
      <c r="M1165" s="673" t="s">
        <v>1864</v>
      </c>
      <c r="N1165" s="673" t="s">
        <v>2060</v>
      </c>
      <c r="O1165" s="673" t="s">
        <v>368</v>
      </c>
      <c r="P1165" s="673" t="s">
        <v>268</v>
      </c>
      <c r="Q1165" s="673" t="s">
        <v>268</v>
      </c>
      <c r="R1165" s="673" t="s">
        <v>540</v>
      </c>
      <c r="S1165" s="24" t="s">
        <v>1380</v>
      </c>
      <c r="T1165" s="24" t="s">
        <v>103</v>
      </c>
      <c r="U1165" s="29">
        <v>46125</v>
      </c>
      <c r="V1165" s="29">
        <v>46125</v>
      </c>
      <c r="X1165" s="29">
        <v>46132</v>
      </c>
    </row>
    <row r="1166" spans="1:24" ht="15" customHeight="1">
      <c r="A1166" s="24" t="s">
        <v>180</v>
      </c>
      <c r="B1166" s="24" t="s">
        <v>258</v>
      </c>
      <c r="C1166" s="84" t="str">
        <f>IF(ISBLANK(B1166),"",_xlfn.XLOOKUP(B1166,Recruiter!A:A,Recruiter!B:B))</f>
        <v>Bhoomika</v>
      </c>
      <c r="D1166" s="103" t="str">
        <f>IF(ISBLANK(A1166),"",_xlfn.XLOOKUP(A1166,'Requirement Overview'!C:C,'Requirement Overview'!E:E))</f>
        <v>Talme</v>
      </c>
      <c r="E1166" s="84" t="str">
        <f>IF(ISBLANK(A1166),"",_xlfn.XLOOKUP(A1166,'Requirement Overview'!C:C,'Requirement Overview'!H:H))</f>
        <v>IT</v>
      </c>
      <c r="F1166" s="445" t="str">
        <f>IF(ISBLANK(A1166),"",_xlfn.XLOOKUP(A1166,'Requirement Overview'!C:C,'Requirement Overview'!I:I))</f>
        <v>Java Engineers</v>
      </c>
      <c r="G1166" s="62" t="str">
        <f>IF(ISBLANK(A1166),"",_xlfn.XLOOKUP(A1166,'Requirement Overview'!C:C,'Requirement Overview'!G:G))</f>
        <v>EMIDS</v>
      </c>
      <c r="H1166" s="673" t="s">
        <v>4210</v>
      </c>
      <c r="I1166" s="673" t="s">
        <v>3928</v>
      </c>
      <c r="J1166" s="673" t="s">
        <v>4211</v>
      </c>
      <c r="K1166" s="673">
        <v>7842094113</v>
      </c>
      <c r="L1166" s="673" t="s">
        <v>305</v>
      </c>
      <c r="M1166" s="673" t="s">
        <v>279</v>
      </c>
      <c r="N1166" s="673" t="s">
        <v>4212</v>
      </c>
      <c r="O1166" s="673" t="s">
        <v>368</v>
      </c>
      <c r="P1166" s="673" t="s">
        <v>268</v>
      </c>
      <c r="Q1166" s="673" t="s">
        <v>268</v>
      </c>
      <c r="R1166" s="673" t="s">
        <v>540</v>
      </c>
      <c r="S1166" s="24" t="s">
        <v>270</v>
      </c>
      <c r="T1166" s="24" t="s">
        <v>103</v>
      </c>
      <c r="U1166" s="29">
        <v>46125</v>
      </c>
      <c r="V1166" s="29">
        <v>46125</v>
      </c>
    </row>
    <row r="1167" spans="1:24" ht="15" customHeight="1">
      <c r="A1167" s="24" t="s">
        <v>180</v>
      </c>
      <c r="B1167" s="24" t="s">
        <v>258</v>
      </c>
      <c r="C1167" s="84" t="str">
        <f>IF(ISBLANK(B1167),"",_xlfn.XLOOKUP(B1167,Recruiter!A:A,Recruiter!B:B))</f>
        <v>Bhoomika</v>
      </c>
      <c r="D1167" s="103" t="str">
        <f>IF(ISBLANK(A1167),"",_xlfn.XLOOKUP(A1167,'Requirement Overview'!C:C,'Requirement Overview'!E:E))</f>
        <v>Talme</v>
      </c>
      <c r="E1167" s="84" t="str">
        <f>IF(ISBLANK(A1167),"",_xlfn.XLOOKUP(A1167,'Requirement Overview'!C:C,'Requirement Overview'!H:H))</f>
        <v>IT</v>
      </c>
      <c r="F1167" s="445" t="str">
        <f>IF(ISBLANK(A1167),"",_xlfn.XLOOKUP(A1167,'Requirement Overview'!C:C,'Requirement Overview'!I:I))</f>
        <v>Java Engineers</v>
      </c>
      <c r="G1167" s="62" t="str">
        <f>IF(ISBLANK(A1167),"",_xlfn.XLOOKUP(A1167,'Requirement Overview'!C:C,'Requirement Overview'!G:G))</f>
        <v>EMIDS</v>
      </c>
      <c r="H1167" s="673" t="s">
        <v>4213</v>
      </c>
      <c r="I1167" s="673" t="s">
        <v>519</v>
      </c>
      <c r="J1167" s="673" t="s">
        <v>4214</v>
      </c>
      <c r="K1167" s="673">
        <v>8105221925</v>
      </c>
      <c r="L1167" s="673" t="s">
        <v>305</v>
      </c>
      <c r="M1167" s="673" t="s">
        <v>942</v>
      </c>
      <c r="N1167" s="673" t="s">
        <v>4215</v>
      </c>
      <c r="O1167" s="673" t="s">
        <v>560</v>
      </c>
      <c r="P1167" s="673" t="s">
        <v>268</v>
      </c>
      <c r="Q1167" s="673" t="s">
        <v>268</v>
      </c>
      <c r="R1167" s="673" t="s">
        <v>1844</v>
      </c>
      <c r="S1167" s="24" t="s">
        <v>270</v>
      </c>
      <c r="T1167" s="24" t="s">
        <v>103</v>
      </c>
      <c r="U1167" s="29">
        <v>46125</v>
      </c>
      <c r="V1167" s="29">
        <v>46125</v>
      </c>
    </row>
    <row r="1168" spans="1:24" ht="15" customHeight="1">
      <c r="A1168" t="s">
        <v>186</v>
      </c>
      <c r="B1168" s="24" t="s">
        <v>258</v>
      </c>
      <c r="C1168" s="84" t="str">
        <f>IF(ISBLANK(B1168),"",_xlfn.XLOOKUP(B1168,Recruiter!A:A,Recruiter!B:B))</f>
        <v>Bhoomika</v>
      </c>
      <c r="D1168" s="103" t="str">
        <f>IF(ISBLANK(A1168),"",_xlfn.XLOOKUP(A1168,'Requirement Overview'!C:C,'Requirement Overview'!E:E))</f>
        <v>Talme</v>
      </c>
      <c r="E1168" s="84" t="str">
        <f>IF(ISBLANK(A1168),"",_xlfn.XLOOKUP(A1168,'Requirement Overview'!C:C,'Requirement Overview'!H:H))</f>
        <v>IT</v>
      </c>
      <c r="F1168" s="445" t="str">
        <f>IF(ISBLANK(A1168),"",_xlfn.XLOOKUP(A1168,'Requirement Overview'!C:C,'Requirement Overview'!I:I))</f>
        <v>Solution architect</v>
      </c>
      <c r="G1168" s="62" t="str">
        <f>IF(ISBLANK(A1168),"",_xlfn.XLOOKUP(A1168,'Requirement Overview'!C:C,'Requirement Overview'!G:G))</f>
        <v>GNA</v>
      </c>
      <c r="H1168" s="674" t="s">
        <v>4216</v>
      </c>
      <c r="I1168" s="674" t="s">
        <v>519</v>
      </c>
      <c r="J1168" s="674" t="s">
        <v>4217</v>
      </c>
      <c r="K1168" s="674">
        <v>9336633429</v>
      </c>
      <c r="L1168" s="674" t="s">
        <v>378</v>
      </c>
      <c r="M1168" s="674" t="s">
        <v>1317</v>
      </c>
      <c r="N1168" s="674" t="s">
        <v>4218</v>
      </c>
      <c r="O1168" s="674" t="s">
        <v>1145</v>
      </c>
      <c r="P1168" s="674" t="s">
        <v>268</v>
      </c>
      <c r="Q1168" s="674" t="s">
        <v>268</v>
      </c>
      <c r="R1168" s="674" t="s">
        <v>691</v>
      </c>
      <c r="S1168" s="24" t="s">
        <v>601</v>
      </c>
      <c r="T1168" s="24" t="s">
        <v>103</v>
      </c>
      <c r="U1168" s="29">
        <v>46125</v>
      </c>
      <c r="V1168" s="29">
        <v>46125</v>
      </c>
    </row>
    <row r="1169" spans="1:22" ht="15" customHeight="1">
      <c r="B1169" s="24" t="s">
        <v>258</v>
      </c>
      <c r="C1169" s="84" t="str">
        <f>IF(ISBLANK(B1169),"",_xlfn.XLOOKUP(B1169,Recruiter!A:A,Recruiter!B:B))</f>
        <v>Bhoomika</v>
      </c>
      <c r="D1169" s="103" t="str">
        <f>IF(ISBLANK(A1169),"",_xlfn.XLOOKUP(A1169,'Requirement Overview'!C:C,'Requirement Overview'!E:E))</f>
        <v/>
      </c>
      <c r="E1169" s="84" t="str">
        <f>IF(ISBLANK(A1169),"",_xlfn.XLOOKUP(A1169,'Requirement Overview'!C:C,'Requirement Overview'!H:H))</f>
        <v/>
      </c>
      <c r="F1169" s="445" t="str">
        <f>IF(ISBLANK(A1169),"",_xlfn.XLOOKUP(A1169,'Requirement Overview'!C:C,'Requirement Overview'!I:I))</f>
        <v/>
      </c>
      <c r="G1169" s="62" t="str">
        <f>IF(ISBLANK(A1169),"",_xlfn.XLOOKUP(A1169,'Requirement Overview'!C:C,'Requirement Overview'!G:G))</f>
        <v/>
      </c>
      <c r="H1169" s="675" t="s">
        <v>4219</v>
      </c>
      <c r="I1169" s="674" t="s">
        <v>519</v>
      </c>
      <c r="J1169" s="676" t="s">
        <v>4220</v>
      </c>
      <c r="K1169" s="674">
        <v>7020619170</v>
      </c>
      <c r="L1169" s="674" t="s">
        <v>311</v>
      </c>
      <c r="M1169" s="674" t="s">
        <v>390</v>
      </c>
      <c r="N1169" s="674" t="s">
        <v>4221</v>
      </c>
      <c r="O1169" s="674" t="s">
        <v>715</v>
      </c>
      <c r="P1169" s="674" t="s">
        <v>569</v>
      </c>
      <c r="Q1169" s="674" t="s">
        <v>569</v>
      </c>
      <c r="R1169" s="674" t="s">
        <v>308</v>
      </c>
      <c r="S1169" s="24" t="s">
        <v>601</v>
      </c>
      <c r="T1169" s="24" t="s">
        <v>103</v>
      </c>
      <c r="U1169" s="29">
        <v>46125</v>
      </c>
      <c r="V1169" s="29">
        <v>46125</v>
      </c>
    </row>
    <row r="1170" spans="1:22" ht="15" customHeight="1">
      <c r="B1170" s="24" t="s">
        <v>258</v>
      </c>
      <c r="C1170" s="84" t="str">
        <f>IF(ISBLANK(B1170),"",_xlfn.XLOOKUP(B1170,Recruiter!A:A,Recruiter!B:B))</f>
        <v>Bhoomika</v>
      </c>
      <c r="D1170" s="103" t="str">
        <f>IF(ISBLANK(A1170),"",_xlfn.XLOOKUP(A1170,'Requirement Overview'!C:C,'Requirement Overview'!E:E))</f>
        <v/>
      </c>
      <c r="E1170" s="84" t="str">
        <f>IF(ISBLANK(A1170),"",_xlfn.XLOOKUP(A1170,'Requirement Overview'!C:C,'Requirement Overview'!H:H))</f>
        <v/>
      </c>
      <c r="F1170" s="445" t="str">
        <f>IF(ISBLANK(A1170),"",_xlfn.XLOOKUP(A1170,'Requirement Overview'!C:C,'Requirement Overview'!I:I))</f>
        <v/>
      </c>
      <c r="G1170" s="62" t="str">
        <f>IF(ISBLANK(A1170),"",_xlfn.XLOOKUP(A1170,'Requirement Overview'!C:C,'Requirement Overview'!G:G))</f>
        <v/>
      </c>
      <c r="H1170" s="674" t="s">
        <v>510</v>
      </c>
      <c r="I1170" s="674" t="s">
        <v>262</v>
      </c>
      <c r="J1170" s="676" t="s">
        <v>4222</v>
      </c>
      <c r="K1170" s="674">
        <v>8904219993</v>
      </c>
      <c r="L1170" s="674" t="s">
        <v>631</v>
      </c>
      <c r="M1170" s="674" t="s">
        <v>685</v>
      </c>
      <c r="N1170" s="674" t="s">
        <v>4223</v>
      </c>
      <c r="O1170" s="674" t="s">
        <v>4224</v>
      </c>
      <c r="P1170" s="674" t="s">
        <v>569</v>
      </c>
      <c r="Q1170" s="674" t="s">
        <v>569</v>
      </c>
      <c r="R1170" s="674" t="s">
        <v>308</v>
      </c>
      <c r="S1170" s="24" t="s">
        <v>601</v>
      </c>
      <c r="T1170" s="24" t="s">
        <v>103</v>
      </c>
      <c r="U1170" s="29">
        <v>46125</v>
      </c>
      <c r="V1170" s="29">
        <v>46125</v>
      </c>
    </row>
    <row r="1171" spans="1:22" ht="15" customHeight="1">
      <c r="B1171" s="24" t="s">
        <v>258</v>
      </c>
      <c r="C1171" s="84" t="str">
        <f>IF(ISBLANK(B1171),"",_xlfn.XLOOKUP(B1171,Recruiter!A:A,Recruiter!B:B))</f>
        <v>Bhoomika</v>
      </c>
      <c r="D1171" s="103" t="str">
        <f>IF(ISBLANK(A1171),"",_xlfn.XLOOKUP(A1171,'Requirement Overview'!C:C,'Requirement Overview'!E:E))</f>
        <v/>
      </c>
      <c r="E1171" s="84" t="str">
        <f>IF(ISBLANK(A1171),"",_xlfn.XLOOKUP(A1171,'Requirement Overview'!C:C,'Requirement Overview'!H:H))</f>
        <v/>
      </c>
      <c r="F1171" s="445" t="str">
        <f>IF(ISBLANK(A1171),"",_xlfn.XLOOKUP(A1171,'Requirement Overview'!C:C,'Requirement Overview'!I:I))</f>
        <v/>
      </c>
      <c r="G1171" s="62" t="str">
        <f>IF(ISBLANK(A1171),"",_xlfn.XLOOKUP(A1171,'Requirement Overview'!C:C,'Requirement Overview'!G:G))</f>
        <v/>
      </c>
      <c r="H1171" s="675" t="s">
        <v>4225</v>
      </c>
      <c r="I1171" s="674" t="s">
        <v>262</v>
      </c>
      <c r="J1171" s="676" t="s">
        <v>4226</v>
      </c>
      <c r="K1171" s="674">
        <v>7772870625</v>
      </c>
      <c r="L1171" s="674" t="s">
        <v>311</v>
      </c>
      <c r="M1171" s="674" t="s">
        <v>395</v>
      </c>
      <c r="N1171" s="674" t="s">
        <v>4227</v>
      </c>
      <c r="O1171" s="674" t="s">
        <v>1145</v>
      </c>
      <c r="P1171" s="674" t="s">
        <v>569</v>
      </c>
      <c r="Q1171" s="674" t="s">
        <v>569</v>
      </c>
      <c r="R1171" s="674" t="s">
        <v>1653</v>
      </c>
      <c r="S1171" s="24" t="s">
        <v>601</v>
      </c>
      <c r="T1171" s="24" t="s">
        <v>103</v>
      </c>
      <c r="U1171" s="29">
        <v>46125</v>
      </c>
      <c r="V1171" s="29">
        <v>46125</v>
      </c>
    </row>
    <row r="1172" spans="1:22" ht="15" customHeight="1">
      <c r="A1172" s="24" t="s">
        <v>110</v>
      </c>
      <c r="B1172" s="24" t="s">
        <v>258</v>
      </c>
      <c r="C1172" s="84" t="str">
        <f>IF(ISBLANK(B1172),"",_xlfn.XLOOKUP(B1172,Recruiter!A:A,Recruiter!B:B))</f>
        <v>Bhoomika</v>
      </c>
      <c r="D1172" s="103" t="str">
        <f>IF(ISBLANK(A1172),"",_xlfn.XLOOKUP(A1172,'Requirement Overview'!C:C,'Requirement Overview'!E:E))</f>
        <v>Talme</v>
      </c>
      <c r="E1172" s="84" t="str">
        <f>IF(ISBLANK(A1172),"",_xlfn.XLOOKUP(A1172,'Requirement Overview'!C:C,'Requirement Overview'!H:H))</f>
        <v>IT</v>
      </c>
      <c r="F1172" s="445" t="str">
        <f>IF(ISBLANK(A1172),"",_xlfn.XLOOKUP(A1172,'Requirement Overview'!C:C,'Requirement Overview'!I:I))</f>
        <v>Technical Lead - Mobile Development</v>
      </c>
      <c r="G1172" s="62" t="str">
        <f>IF(ISBLANK(A1172),"",_xlfn.XLOOKUP(A1172,'Requirement Overview'!C:C,'Requirement Overview'!G:G))</f>
        <v>Semnox Solutions</v>
      </c>
      <c r="H1172" s="653" t="s">
        <v>4228</v>
      </c>
      <c r="I1172" s="3" t="s">
        <v>262</v>
      </c>
      <c r="J1172" s="677" t="s">
        <v>4229</v>
      </c>
      <c r="K1172" s="3">
        <v>9872176649</v>
      </c>
      <c r="L1172" s="3" t="s">
        <v>378</v>
      </c>
      <c r="M1172" s="3" t="s">
        <v>414</v>
      </c>
      <c r="N1172" s="3" t="s">
        <v>4230</v>
      </c>
      <c r="O1172" s="3" t="s">
        <v>4231</v>
      </c>
      <c r="P1172" s="3" t="s">
        <v>268</v>
      </c>
      <c r="Q1172" s="3" t="s">
        <v>1183</v>
      </c>
      <c r="R1172" s="3" t="s">
        <v>691</v>
      </c>
      <c r="S1172" s="24" t="s">
        <v>601</v>
      </c>
      <c r="T1172" s="24" t="s">
        <v>103</v>
      </c>
      <c r="U1172" s="29">
        <v>46125</v>
      </c>
      <c r="V1172" s="29">
        <v>46125</v>
      </c>
    </row>
    <row r="1173" spans="1:22" ht="15" customHeight="1">
      <c r="A1173" s="24" t="s">
        <v>110</v>
      </c>
      <c r="B1173" s="24" t="s">
        <v>258</v>
      </c>
      <c r="C1173" s="84" t="str">
        <f>IF(ISBLANK(B1173),"",_xlfn.XLOOKUP(B1173,Recruiter!A:A,Recruiter!B:B))</f>
        <v>Bhoomika</v>
      </c>
      <c r="D1173" s="103" t="str">
        <f>IF(ISBLANK(A1173),"",_xlfn.XLOOKUP(A1173,'Requirement Overview'!C:C,'Requirement Overview'!E:E))</f>
        <v>Talme</v>
      </c>
      <c r="E1173" s="84" t="str">
        <f>IF(ISBLANK(A1173),"",_xlfn.XLOOKUP(A1173,'Requirement Overview'!C:C,'Requirement Overview'!H:H))</f>
        <v>IT</v>
      </c>
      <c r="F1173" s="445" t="str">
        <f>IF(ISBLANK(A1173),"",_xlfn.XLOOKUP(A1173,'Requirement Overview'!C:C,'Requirement Overview'!I:I))</f>
        <v>Technical Lead - Mobile Development</v>
      </c>
      <c r="G1173" s="62" t="str">
        <f>IF(ISBLANK(A1173),"",_xlfn.XLOOKUP(A1173,'Requirement Overview'!C:C,'Requirement Overview'!G:G))</f>
        <v>Semnox Solutions</v>
      </c>
      <c r="H1173" s="654" t="s">
        <v>4232</v>
      </c>
      <c r="I1173" s="3" t="s">
        <v>519</v>
      </c>
      <c r="J1173" s="677" t="s">
        <v>4233</v>
      </c>
      <c r="K1173" s="3">
        <v>8880141408</v>
      </c>
      <c r="L1173" s="3" t="s">
        <v>378</v>
      </c>
      <c r="M1173" s="3" t="s">
        <v>2647</v>
      </c>
      <c r="N1173" s="3" t="s">
        <v>4234</v>
      </c>
      <c r="O1173" s="3" t="s">
        <v>691</v>
      </c>
      <c r="P1173" s="3" t="s">
        <v>268</v>
      </c>
      <c r="Q1173" s="3" t="s">
        <v>1183</v>
      </c>
      <c r="R1173" s="3" t="s">
        <v>517</v>
      </c>
      <c r="S1173" s="24" t="s">
        <v>601</v>
      </c>
      <c r="T1173" s="24" t="s">
        <v>103</v>
      </c>
      <c r="U1173" s="29">
        <v>46125</v>
      </c>
      <c r="V1173" s="29">
        <v>46125</v>
      </c>
    </row>
    <row r="1174" spans="1:22" ht="15" customHeight="1">
      <c r="A1174" s="24" t="s">
        <v>110</v>
      </c>
      <c r="B1174" s="24" t="s">
        <v>258</v>
      </c>
      <c r="C1174" s="84" t="str">
        <f>IF(ISBLANK(B1174),"",_xlfn.XLOOKUP(B1174,Recruiter!A:A,Recruiter!B:B))</f>
        <v>Bhoomika</v>
      </c>
      <c r="D1174" s="103" t="str">
        <f>IF(ISBLANK(A1174),"",_xlfn.XLOOKUP(A1174,'Requirement Overview'!C:C,'Requirement Overview'!E:E))</f>
        <v>Talme</v>
      </c>
      <c r="E1174" s="84" t="str">
        <f>IF(ISBLANK(A1174),"",_xlfn.XLOOKUP(A1174,'Requirement Overview'!C:C,'Requirement Overview'!H:H))</f>
        <v>IT</v>
      </c>
      <c r="F1174" s="445" t="str">
        <f>IF(ISBLANK(A1174),"",_xlfn.XLOOKUP(A1174,'Requirement Overview'!C:C,'Requirement Overview'!I:I))</f>
        <v>Technical Lead - Mobile Development</v>
      </c>
      <c r="G1174" s="62" t="str">
        <f>IF(ISBLANK(A1174),"",_xlfn.XLOOKUP(A1174,'Requirement Overview'!C:C,'Requirement Overview'!G:G))</f>
        <v>Semnox Solutions</v>
      </c>
      <c r="H1174" s="654" t="s">
        <v>4235</v>
      </c>
      <c r="I1174" s="3" t="s">
        <v>519</v>
      </c>
      <c r="J1174" s="677" t="s">
        <v>4236</v>
      </c>
      <c r="K1174" s="3">
        <v>8485913212</v>
      </c>
      <c r="L1174" s="3" t="s">
        <v>311</v>
      </c>
      <c r="M1174" s="3" t="s">
        <v>365</v>
      </c>
      <c r="N1174" s="3" t="s">
        <v>4237</v>
      </c>
      <c r="O1174" s="3" t="s">
        <v>4238</v>
      </c>
      <c r="P1174" s="3" t="s">
        <v>268</v>
      </c>
      <c r="Q1174" s="3" t="s">
        <v>1183</v>
      </c>
      <c r="R1174" s="3" t="s">
        <v>1145</v>
      </c>
      <c r="S1174" s="24" t="s">
        <v>601</v>
      </c>
      <c r="T1174" s="24" t="s">
        <v>103</v>
      </c>
      <c r="U1174" s="29">
        <v>46125</v>
      </c>
      <c r="V1174" s="29">
        <v>46125</v>
      </c>
    </row>
    <row r="1175" spans="1:22" ht="15" customHeight="1">
      <c r="A1175" s="24" t="s">
        <v>180</v>
      </c>
      <c r="B1175" s="24" t="s">
        <v>258</v>
      </c>
      <c r="C1175" s="84" t="str">
        <f>IF(ISBLANK(B1175),"",_xlfn.XLOOKUP(B1175,Recruiter!A:A,Recruiter!B:B))</f>
        <v>Bhoomika</v>
      </c>
      <c r="D1175" s="103" t="str">
        <f>IF(ISBLANK(A1175),"",_xlfn.XLOOKUP(A1175,'Requirement Overview'!C:C,'Requirement Overview'!E:E))</f>
        <v>Talme</v>
      </c>
      <c r="E1175" s="84" t="str">
        <f>IF(ISBLANK(A1175),"",_xlfn.XLOOKUP(A1175,'Requirement Overview'!C:C,'Requirement Overview'!H:H))</f>
        <v>IT</v>
      </c>
      <c r="F1175" s="445" t="str">
        <f>IF(ISBLANK(A1175),"",_xlfn.XLOOKUP(A1175,'Requirement Overview'!C:C,'Requirement Overview'!I:I))</f>
        <v>Java Engineers</v>
      </c>
      <c r="G1175" s="62" t="str">
        <f>IF(ISBLANK(A1175),"",_xlfn.XLOOKUP(A1175,'Requirement Overview'!C:C,'Requirement Overview'!G:G))</f>
        <v>EMIDS</v>
      </c>
      <c r="H1175" s="658" t="s">
        <v>4239</v>
      </c>
      <c r="I1175" s="659" t="s">
        <v>497</v>
      </c>
      <c r="J1175" s="658" t="s">
        <v>4240</v>
      </c>
      <c r="K1175" s="670">
        <v>8972424100</v>
      </c>
      <c r="L1175" s="659" t="s">
        <v>350</v>
      </c>
      <c r="M1175" s="659" t="s">
        <v>942</v>
      </c>
      <c r="N1175" s="659" t="s">
        <v>4241</v>
      </c>
      <c r="O1175" s="659" t="s">
        <v>1302</v>
      </c>
      <c r="P1175" s="659" t="s">
        <v>268</v>
      </c>
      <c r="Q1175" s="659" t="s">
        <v>268</v>
      </c>
      <c r="R1175" s="659" t="s">
        <v>548</v>
      </c>
      <c r="S1175" s="24" t="s">
        <v>601</v>
      </c>
      <c r="T1175" s="24" t="s">
        <v>103</v>
      </c>
      <c r="U1175" s="29">
        <v>46126</v>
      </c>
      <c r="V1175" s="29">
        <v>46126</v>
      </c>
    </row>
    <row r="1176" spans="1:22" ht="15" customHeight="1">
      <c r="A1176" s="24" t="s">
        <v>180</v>
      </c>
      <c r="B1176" s="24" t="s">
        <v>258</v>
      </c>
      <c r="C1176" s="84" t="str">
        <f>IF(ISBLANK(B1176),"",_xlfn.XLOOKUP(B1176,Recruiter!A:A,Recruiter!B:B))</f>
        <v>Bhoomika</v>
      </c>
      <c r="D1176" s="103" t="str">
        <f>IF(ISBLANK(A1176),"",_xlfn.XLOOKUP(A1176,'Requirement Overview'!C:C,'Requirement Overview'!E:E))</f>
        <v>Talme</v>
      </c>
      <c r="E1176" s="84" t="str">
        <f>IF(ISBLANK(A1176),"",_xlfn.XLOOKUP(A1176,'Requirement Overview'!C:C,'Requirement Overview'!H:H))</f>
        <v>IT</v>
      </c>
      <c r="F1176" s="445" t="str">
        <f>IF(ISBLANK(A1176),"",_xlfn.XLOOKUP(A1176,'Requirement Overview'!C:C,'Requirement Overview'!I:I))</f>
        <v>Java Engineers</v>
      </c>
      <c r="G1176" s="62" t="str">
        <f>IF(ISBLANK(A1176),"",_xlfn.XLOOKUP(A1176,'Requirement Overview'!C:C,'Requirement Overview'!G:G))</f>
        <v>EMIDS</v>
      </c>
      <c r="H1176" s="678" t="s">
        <v>4242</v>
      </c>
      <c r="I1176" s="659" t="s">
        <v>519</v>
      </c>
      <c r="J1176" s="658" t="s">
        <v>4243</v>
      </c>
      <c r="K1176" s="670">
        <v>8529886007</v>
      </c>
      <c r="L1176" s="659" t="s">
        <v>305</v>
      </c>
      <c r="M1176" s="659" t="s">
        <v>279</v>
      </c>
      <c r="N1176" s="659" t="s">
        <v>4244</v>
      </c>
      <c r="O1176" s="659" t="s">
        <v>540</v>
      </c>
      <c r="P1176" s="659" t="s">
        <v>268</v>
      </c>
      <c r="Q1176" s="659" t="s">
        <v>268</v>
      </c>
      <c r="R1176" s="659" t="s">
        <v>548</v>
      </c>
      <c r="S1176" s="24" t="s">
        <v>601</v>
      </c>
      <c r="T1176" s="24" t="s">
        <v>103</v>
      </c>
      <c r="U1176" s="29">
        <v>46126</v>
      </c>
      <c r="V1176" s="29">
        <v>46126</v>
      </c>
    </row>
    <row r="1177" spans="1:22" ht="15" customHeight="1">
      <c r="A1177" s="24" t="s">
        <v>180</v>
      </c>
      <c r="B1177" s="24" t="s">
        <v>258</v>
      </c>
      <c r="C1177" s="84" t="str">
        <f>IF(ISBLANK(B1177),"",_xlfn.XLOOKUP(B1177,Recruiter!A:A,Recruiter!B:B))</f>
        <v>Bhoomika</v>
      </c>
      <c r="D1177" s="103" t="str">
        <f>IF(ISBLANK(A1177),"",_xlfn.XLOOKUP(A1177,'Requirement Overview'!C:C,'Requirement Overview'!E:E))</f>
        <v>Talme</v>
      </c>
      <c r="E1177" s="84" t="str">
        <f>IF(ISBLANK(A1177),"",_xlfn.XLOOKUP(A1177,'Requirement Overview'!C:C,'Requirement Overview'!H:H))</f>
        <v>IT</v>
      </c>
      <c r="F1177" s="445" t="str">
        <f>IF(ISBLANK(A1177),"",_xlfn.XLOOKUP(A1177,'Requirement Overview'!C:C,'Requirement Overview'!I:I))</f>
        <v>Java Engineers</v>
      </c>
      <c r="G1177" s="62" t="str">
        <f>IF(ISBLANK(A1177),"",_xlfn.XLOOKUP(A1177,'Requirement Overview'!C:C,'Requirement Overview'!G:G))</f>
        <v>EMIDS</v>
      </c>
      <c r="H1177" s="658" t="s">
        <v>4245</v>
      </c>
      <c r="I1177" s="659" t="s">
        <v>3928</v>
      </c>
      <c r="J1177" s="658" t="s">
        <v>4246</v>
      </c>
      <c r="K1177" s="670">
        <v>8340492486</v>
      </c>
      <c r="L1177" s="659" t="s">
        <v>305</v>
      </c>
      <c r="M1177" s="659" t="s">
        <v>279</v>
      </c>
      <c r="N1177" s="659" t="s">
        <v>4247</v>
      </c>
      <c r="O1177" s="659" t="s">
        <v>4248</v>
      </c>
      <c r="P1177" s="659" t="s">
        <v>268</v>
      </c>
      <c r="Q1177" s="659" t="s">
        <v>268</v>
      </c>
      <c r="R1177" s="659" t="s">
        <v>374</v>
      </c>
      <c r="S1177" s="24" t="s">
        <v>601</v>
      </c>
      <c r="T1177" s="24" t="s">
        <v>103</v>
      </c>
      <c r="U1177" s="29">
        <v>46126</v>
      </c>
      <c r="V1177" s="29">
        <v>46126</v>
      </c>
    </row>
    <row r="1178" spans="1:22" ht="15" customHeight="1">
      <c r="A1178" s="24" t="s">
        <v>180</v>
      </c>
      <c r="B1178" s="24" t="s">
        <v>258</v>
      </c>
      <c r="C1178" s="84" t="str">
        <f>IF(ISBLANK(B1178),"",_xlfn.XLOOKUP(B1178,Recruiter!A:A,Recruiter!B:B))</f>
        <v>Bhoomika</v>
      </c>
      <c r="D1178" s="103" t="str">
        <f>IF(ISBLANK(A1178),"",_xlfn.XLOOKUP(A1178,'Requirement Overview'!C:C,'Requirement Overview'!E:E))</f>
        <v>Talme</v>
      </c>
      <c r="E1178" s="84" t="str">
        <f>IF(ISBLANK(A1178),"",_xlfn.XLOOKUP(A1178,'Requirement Overview'!C:C,'Requirement Overview'!H:H))</f>
        <v>IT</v>
      </c>
      <c r="F1178" s="445" t="str">
        <f>IF(ISBLANK(A1178),"",_xlfn.XLOOKUP(A1178,'Requirement Overview'!C:C,'Requirement Overview'!I:I))</f>
        <v>Java Engineers</v>
      </c>
      <c r="G1178" s="62" t="str">
        <f>IF(ISBLANK(A1178),"",_xlfn.XLOOKUP(A1178,'Requirement Overview'!C:C,'Requirement Overview'!G:G))</f>
        <v>EMIDS</v>
      </c>
      <c r="H1178" s="658" t="s">
        <v>4249</v>
      </c>
      <c r="I1178" s="659" t="s">
        <v>519</v>
      </c>
      <c r="J1178" s="658" t="s">
        <v>4250</v>
      </c>
      <c r="K1178" s="670">
        <v>9354003648</v>
      </c>
      <c r="L1178" s="683" t="s">
        <v>305</v>
      </c>
      <c r="M1178" s="659" t="s">
        <v>279</v>
      </c>
      <c r="N1178" s="683" t="s">
        <v>4251</v>
      </c>
      <c r="O1178" s="659" t="s">
        <v>367</v>
      </c>
      <c r="P1178" s="659" t="s">
        <v>268</v>
      </c>
      <c r="Q1178" s="659" t="s">
        <v>268</v>
      </c>
      <c r="R1178" s="659" t="s">
        <v>374</v>
      </c>
      <c r="S1178" s="24" t="s">
        <v>601</v>
      </c>
      <c r="T1178" s="24" t="s">
        <v>103</v>
      </c>
      <c r="U1178" s="29">
        <v>46126</v>
      </c>
      <c r="V1178" s="29">
        <v>46126</v>
      </c>
    </row>
    <row r="1179" spans="1:22" ht="15" customHeight="1">
      <c r="A1179" s="24" t="s">
        <v>180</v>
      </c>
      <c r="B1179" s="24" t="s">
        <v>258</v>
      </c>
      <c r="C1179" s="84" t="str">
        <f>IF(ISBLANK(B1179),"",_xlfn.XLOOKUP(B1179,Recruiter!A:A,Recruiter!B:B))</f>
        <v>Bhoomika</v>
      </c>
      <c r="D1179" s="103" t="str">
        <f>IF(ISBLANK(A1179),"",_xlfn.XLOOKUP(A1179,'Requirement Overview'!C:C,'Requirement Overview'!E:E))</f>
        <v>Talme</v>
      </c>
      <c r="E1179" s="84" t="str">
        <f>IF(ISBLANK(A1179),"",_xlfn.XLOOKUP(A1179,'Requirement Overview'!C:C,'Requirement Overview'!H:H))</f>
        <v>IT</v>
      </c>
      <c r="F1179" s="445" t="str">
        <f>IF(ISBLANK(A1179),"",_xlfn.XLOOKUP(A1179,'Requirement Overview'!C:C,'Requirement Overview'!I:I))</f>
        <v>Java Engineers</v>
      </c>
      <c r="G1179" s="62" t="str">
        <f>IF(ISBLANK(A1179),"",_xlfn.XLOOKUP(A1179,'Requirement Overview'!C:C,'Requirement Overview'!G:G))</f>
        <v>EMIDS</v>
      </c>
      <c r="H1179" s="679" t="s">
        <v>4252</v>
      </c>
      <c r="I1179" s="659" t="s">
        <v>519</v>
      </c>
      <c r="J1179" s="658" t="s">
        <v>4253</v>
      </c>
      <c r="K1179" s="659">
        <v>7068567802</v>
      </c>
      <c r="L1179" s="670" t="s">
        <v>311</v>
      </c>
      <c r="M1179" s="682" t="s">
        <v>1864</v>
      </c>
      <c r="N1179" s="684" t="s">
        <v>4254</v>
      </c>
      <c r="O1179" s="685" t="s">
        <v>407</v>
      </c>
      <c r="P1179" s="659" t="s">
        <v>268</v>
      </c>
      <c r="Q1179" s="659" t="s">
        <v>268</v>
      </c>
      <c r="R1179" s="659" t="s">
        <v>540</v>
      </c>
      <c r="S1179" s="24" t="s">
        <v>601</v>
      </c>
      <c r="T1179" s="24" t="s">
        <v>103</v>
      </c>
      <c r="U1179" s="29">
        <v>46126</v>
      </c>
      <c r="V1179" s="29">
        <v>46126</v>
      </c>
    </row>
    <row r="1180" spans="1:22" ht="15" customHeight="1">
      <c r="B1180" s="24" t="s">
        <v>258</v>
      </c>
      <c r="C1180" s="84" t="str">
        <f>IF(ISBLANK(B1180),"",_xlfn.XLOOKUP(B1180,Recruiter!A:A,Recruiter!B:B))</f>
        <v>Bhoomika</v>
      </c>
      <c r="D1180" s="103" t="str">
        <f>IF(ISBLANK(A1180),"",_xlfn.XLOOKUP(A1180,'Requirement Overview'!C:C,'Requirement Overview'!E:E))</f>
        <v/>
      </c>
      <c r="E1180" s="84" t="str">
        <f>IF(ISBLANK(A1180),"",_xlfn.XLOOKUP(A1180,'Requirement Overview'!C:C,'Requirement Overview'!H:H))</f>
        <v/>
      </c>
      <c r="F1180" s="445" t="str">
        <f>IF(ISBLANK(A1180),"",_xlfn.XLOOKUP(A1180,'Requirement Overview'!C:C,'Requirement Overview'!I:I))</f>
        <v/>
      </c>
      <c r="G1180" s="62" t="str">
        <f>IF(ISBLANK(A1180),"",_xlfn.XLOOKUP(A1180,'Requirement Overview'!C:C,'Requirement Overview'!G:G))</f>
        <v/>
      </c>
      <c r="H1180" s="680" t="s">
        <v>4255</v>
      </c>
      <c r="I1180" s="680" t="s">
        <v>262</v>
      </c>
      <c r="J1180" s="680" t="s">
        <v>4256</v>
      </c>
      <c r="K1180" s="680">
        <v>7709753323</v>
      </c>
      <c r="L1180" s="680" t="s">
        <v>311</v>
      </c>
      <c r="M1180" s="680" t="s">
        <v>351</v>
      </c>
      <c r="N1180" s="680" t="s">
        <v>2060</v>
      </c>
      <c r="O1180" s="680" t="s">
        <v>424</v>
      </c>
      <c r="P1180" s="680" t="s">
        <v>569</v>
      </c>
      <c r="Q1180" s="680" t="s">
        <v>569</v>
      </c>
      <c r="R1180" s="680" t="s">
        <v>1302</v>
      </c>
      <c r="S1180" s="24" t="s">
        <v>601</v>
      </c>
      <c r="T1180" s="24" t="s">
        <v>103</v>
      </c>
      <c r="U1180" s="29">
        <v>46126</v>
      </c>
      <c r="V1180" s="29">
        <v>46126</v>
      </c>
    </row>
    <row r="1181" spans="1:22" ht="15" customHeight="1">
      <c r="B1181" s="24" t="s">
        <v>258</v>
      </c>
      <c r="C1181" s="84" t="str">
        <f>IF(ISBLANK(B1181),"",_xlfn.XLOOKUP(B1181,Recruiter!A:A,Recruiter!B:B))</f>
        <v>Bhoomika</v>
      </c>
      <c r="D1181" s="103" t="str">
        <f>IF(ISBLANK(A1181),"",_xlfn.XLOOKUP(A1181,'Requirement Overview'!C:C,'Requirement Overview'!E:E))</f>
        <v/>
      </c>
      <c r="E1181" s="84" t="str">
        <f>IF(ISBLANK(A1181),"",_xlfn.XLOOKUP(A1181,'Requirement Overview'!C:C,'Requirement Overview'!H:H))</f>
        <v/>
      </c>
      <c r="F1181" s="445" t="str">
        <f>IF(ISBLANK(A1181),"",_xlfn.XLOOKUP(A1181,'Requirement Overview'!C:C,'Requirement Overview'!I:I))</f>
        <v/>
      </c>
      <c r="G1181" s="62" t="str">
        <f>IF(ISBLANK(A1181),"",_xlfn.XLOOKUP(A1181,'Requirement Overview'!C:C,'Requirement Overview'!G:G))</f>
        <v/>
      </c>
      <c r="H1181" s="681" t="s">
        <v>4257</v>
      </c>
      <c r="I1181" s="680" t="s">
        <v>262</v>
      </c>
      <c r="J1181" s="680" t="s">
        <v>4258</v>
      </c>
      <c r="K1181" s="680">
        <v>7057816504</v>
      </c>
      <c r="L1181" s="680" t="s">
        <v>311</v>
      </c>
      <c r="M1181" s="680" t="s">
        <v>390</v>
      </c>
      <c r="N1181" s="680" t="s">
        <v>4259</v>
      </c>
      <c r="O1181" s="680" t="s">
        <v>4260</v>
      </c>
      <c r="P1181" s="680" t="s">
        <v>569</v>
      </c>
      <c r="Q1181" s="680" t="s">
        <v>569</v>
      </c>
      <c r="R1181" s="680" t="s">
        <v>374</v>
      </c>
      <c r="S1181" s="24" t="s">
        <v>601</v>
      </c>
      <c r="T1181" s="24" t="s">
        <v>103</v>
      </c>
      <c r="U1181" s="29">
        <v>46126</v>
      </c>
      <c r="V1181" s="29">
        <v>46126</v>
      </c>
    </row>
    <row r="1182" spans="1:22" ht="15" customHeight="1">
      <c r="B1182" s="24" t="s">
        <v>258</v>
      </c>
      <c r="C1182" s="84" t="str">
        <f>IF(ISBLANK(B1182),"",_xlfn.XLOOKUP(B1182,Recruiter!A:A,Recruiter!B:B))</f>
        <v>Bhoomika</v>
      </c>
      <c r="D1182" s="103" t="str">
        <f>IF(ISBLANK(A1182),"",_xlfn.XLOOKUP(A1182,'Requirement Overview'!C:C,'Requirement Overview'!E:E))</f>
        <v/>
      </c>
      <c r="E1182" s="84" t="str">
        <f>IF(ISBLANK(A1182),"",_xlfn.XLOOKUP(A1182,'Requirement Overview'!C:C,'Requirement Overview'!H:H))</f>
        <v/>
      </c>
      <c r="F1182" s="445" t="str">
        <f>IF(ISBLANK(A1182),"",_xlfn.XLOOKUP(A1182,'Requirement Overview'!C:C,'Requirement Overview'!I:I))</f>
        <v/>
      </c>
      <c r="G1182" s="62" t="str">
        <f>IF(ISBLANK(A1182),"",_xlfn.XLOOKUP(A1182,'Requirement Overview'!C:C,'Requirement Overview'!G:G))</f>
        <v/>
      </c>
      <c r="H1182" s="681" t="s">
        <v>4261</v>
      </c>
      <c r="I1182" s="680" t="s">
        <v>262</v>
      </c>
      <c r="J1182" s="686" t="s">
        <v>4262</v>
      </c>
      <c r="K1182" s="680">
        <v>9011291772</v>
      </c>
      <c r="L1182" s="680" t="s">
        <v>311</v>
      </c>
      <c r="M1182" s="680" t="s">
        <v>390</v>
      </c>
      <c r="N1182" s="680" t="s">
        <v>4263</v>
      </c>
      <c r="O1182" s="680" t="s">
        <v>423</v>
      </c>
      <c r="P1182" s="680" t="s">
        <v>569</v>
      </c>
      <c r="Q1182" s="680" t="s">
        <v>569</v>
      </c>
      <c r="R1182" s="680" t="s">
        <v>540</v>
      </c>
      <c r="S1182" s="24" t="s">
        <v>601</v>
      </c>
      <c r="T1182" s="24" t="s">
        <v>103</v>
      </c>
      <c r="U1182" s="29">
        <v>46126</v>
      </c>
      <c r="V1182" s="29">
        <v>46126</v>
      </c>
    </row>
    <row r="1183" spans="1:22" ht="15" customHeight="1">
      <c r="A1183" s="24" t="s">
        <v>180</v>
      </c>
      <c r="B1183" s="24" t="s">
        <v>258</v>
      </c>
      <c r="C1183" s="84" t="str">
        <f>IF(ISBLANK(B1183),"",_xlfn.XLOOKUP(B1183,Recruiter!A:A,Recruiter!B:B))</f>
        <v>Bhoomika</v>
      </c>
      <c r="D1183" s="103" t="str">
        <f>IF(ISBLANK(A1183),"",_xlfn.XLOOKUP(A1183,'Requirement Overview'!C:C,'Requirement Overview'!E:E))</f>
        <v>Talme</v>
      </c>
      <c r="E1183" s="84" t="str">
        <f>IF(ISBLANK(A1183),"",_xlfn.XLOOKUP(A1183,'Requirement Overview'!C:C,'Requirement Overview'!H:H))</f>
        <v>IT</v>
      </c>
      <c r="F1183" s="445" t="str">
        <f>IF(ISBLANK(A1183),"",_xlfn.XLOOKUP(A1183,'Requirement Overview'!C:C,'Requirement Overview'!I:I))</f>
        <v>Java Engineers</v>
      </c>
      <c r="G1183" s="62" t="str">
        <f>IF(ISBLANK(A1183),"",_xlfn.XLOOKUP(A1183,'Requirement Overview'!C:C,'Requirement Overview'!G:G))</f>
        <v>EMIDS</v>
      </c>
      <c r="H1183" s="658" t="s">
        <v>4264</v>
      </c>
      <c r="I1183" s="684" t="s">
        <v>519</v>
      </c>
      <c r="J1183" s="658" t="s">
        <v>4265</v>
      </c>
      <c r="K1183" s="684" t="s">
        <v>4266</v>
      </c>
      <c r="L1183" s="684" t="s">
        <v>305</v>
      </c>
      <c r="M1183" s="684" t="s">
        <v>279</v>
      </c>
      <c r="N1183" s="684" t="s">
        <v>4267</v>
      </c>
      <c r="O1183" s="684" t="s">
        <v>886</v>
      </c>
      <c r="P1183" s="684" t="s">
        <v>268</v>
      </c>
      <c r="Q1183" s="684" t="s">
        <v>268</v>
      </c>
      <c r="R1183" s="684" t="s">
        <v>368</v>
      </c>
      <c r="S1183" s="24" t="s">
        <v>601</v>
      </c>
      <c r="T1183" s="24" t="s">
        <v>103</v>
      </c>
      <c r="U1183" s="29">
        <v>46127</v>
      </c>
      <c r="V1183" s="29">
        <v>46127</v>
      </c>
    </row>
    <row r="1184" spans="1:22" ht="15" customHeight="1">
      <c r="A1184" s="24" t="s">
        <v>180</v>
      </c>
      <c r="B1184" s="24" t="s">
        <v>258</v>
      </c>
      <c r="C1184" s="84" t="str">
        <f>IF(ISBLANK(B1184),"",_xlfn.XLOOKUP(B1184,Recruiter!A:A,Recruiter!B:B))</f>
        <v>Bhoomika</v>
      </c>
      <c r="D1184" s="103" t="str">
        <f>IF(ISBLANK(A1184),"",_xlfn.XLOOKUP(A1184,'Requirement Overview'!C:C,'Requirement Overview'!E:E))</f>
        <v>Talme</v>
      </c>
      <c r="E1184" s="84" t="str">
        <f>IF(ISBLANK(A1184),"",_xlfn.XLOOKUP(A1184,'Requirement Overview'!C:C,'Requirement Overview'!H:H))</f>
        <v>IT</v>
      </c>
      <c r="F1184" s="445" t="str">
        <f>IF(ISBLANK(A1184),"",_xlfn.XLOOKUP(A1184,'Requirement Overview'!C:C,'Requirement Overview'!I:I))</f>
        <v>Java Engineers</v>
      </c>
      <c r="G1184" s="62" t="str">
        <f>IF(ISBLANK(A1184),"",_xlfn.XLOOKUP(A1184,'Requirement Overview'!C:C,'Requirement Overview'!G:G))</f>
        <v>EMIDS</v>
      </c>
      <c r="H1184" s="658" t="s">
        <v>4268</v>
      </c>
      <c r="I1184" s="684" t="s">
        <v>4269</v>
      </c>
      <c r="J1184" s="658" t="s">
        <v>4270</v>
      </c>
      <c r="K1184" s="684">
        <v>8951358328</v>
      </c>
      <c r="L1184" s="684" t="s">
        <v>305</v>
      </c>
      <c r="M1184" s="684" t="s">
        <v>437</v>
      </c>
      <c r="N1184" s="684" t="s">
        <v>697</v>
      </c>
      <c r="O1184" s="684" t="s">
        <v>757</v>
      </c>
      <c r="P1184" s="684" t="s">
        <v>268</v>
      </c>
      <c r="Q1184" s="684" t="s">
        <v>268</v>
      </c>
      <c r="R1184" s="684" t="s">
        <v>1145</v>
      </c>
      <c r="S1184" s="24" t="s">
        <v>601</v>
      </c>
      <c r="T1184" s="24" t="s">
        <v>103</v>
      </c>
      <c r="U1184" s="29">
        <v>46127</v>
      </c>
      <c r="V1184" s="29">
        <v>46127</v>
      </c>
    </row>
    <row r="1185" spans="1:22" ht="15" customHeight="1">
      <c r="A1185" s="24" t="s">
        <v>182</v>
      </c>
      <c r="B1185" s="24" t="s">
        <v>258</v>
      </c>
      <c r="C1185" s="84" t="str">
        <f>IF(ISBLANK(B1185),"",_xlfn.XLOOKUP(B1185,Recruiter!A:A,Recruiter!B:B))</f>
        <v>Bhoomika</v>
      </c>
      <c r="D1185" s="103" t="str">
        <f>IF(ISBLANK(A1185),"",_xlfn.XLOOKUP(A1185,'Requirement Overview'!C:C,'Requirement Overview'!E:E))</f>
        <v>Talme</v>
      </c>
      <c r="E1185" s="84" t="str">
        <f>IF(ISBLANK(A1185),"",_xlfn.XLOOKUP(A1185,'Requirement Overview'!C:C,'Requirement Overview'!H:H))</f>
        <v>IT</v>
      </c>
      <c r="F1185" s="445" t="str">
        <f>IF(ISBLANK(A1185),"",_xlfn.XLOOKUP(A1185,'Requirement Overview'!C:C,'Requirement Overview'!I:I))</f>
        <v xml:space="preserve"> Lead Python developer</v>
      </c>
      <c r="G1185" s="62" t="str">
        <f>IF(ISBLANK(A1185),"",_xlfn.XLOOKUP(A1185,'Requirement Overview'!C:C,'Requirement Overview'!G:G))</f>
        <v>EMIDS</v>
      </c>
      <c r="H1185" s="684" t="s">
        <v>4271</v>
      </c>
      <c r="I1185" s="684" t="s">
        <v>4272</v>
      </c>
      <c r="J1185" s="684" t="s">
        <v>4273</v>
      </c>
      <c r="K1185" s="684">
        <v>9353683426</v>
      </c>
      <c r="L1185" s="684" t="s">
        <v>4274</v>
      </c>
      <c r="M1185" s="684" t="s">
        <v>379</v>
      </c>
      <c r="N1185" s="684" t="s">
        <v>4275</v>
      </c>
      <c r="O1185" s="684" t="s">
        <v>1302</v>
      </c>
      <c r="P1185" s="684" t="s">
        <v>268</v>
      </c>
      <c r="Q1185" s="684" t="s">
        <v>268</v>
      </c>
      <c r="R1185" s="684" t="s">
        <v>554</v>
      </c>
      <c r="S1185" s="24" t="s">
        <v>601</v>
      </c>
      <c r="T1185" s="24" t="s">
        <v>103</v>
      </c>
      <c r="U1185" s="29">
        <v>46127</v>
      </c>
      <c r="V1185" s="29">
        <v>46127</v>
      </c>
    </row>
    <row r="1186" spans="1:22" ht="15" customHeight="1">
      <c r="A1186" s="24" t="s">
        <v>182</v>
      </c>
      <c r="B1186" s="24" t="s">
        <v>258</v>
      </c>
      <c r="C1186" s="84" t="str">
        <f>IF(ISBLANK(B1186),"",_xlfn.XLOOKUP(B1186,Recruiter!A:A,Recruiter!B:B))</f>
        <v>Bhoomika</v>
      </c>
      <c r="D1186" s="103" t="str">
        <f>IF(ISBLANK(A1186),"",_xlfn.XLOOKUP(A1186,'Requirement Overview'!C:C,'Requirement Overview'!E:E))</f>
        <v>Talme</v>
      </c>
      <c r="E1186" s="84" t="str">
        <f>IF(ISBLANK(A1186),"",_xlfn.XLOOKUP(A1186,'Requirement Overview'!C:C,'Requirement Overview'!H:H))</f>
        <v>IT</v>
      </c>
      <c r="F1186" s="445" t="str">
        <f>IF(ISBLANK(A1186),"",_xlfn.XLOOKUP(A1186,'Requirement Overview'!C:C,'Requirement Overview'!I:I))</f>
        <v xml:space="preserve"> Lead Python developer</v>
      </c>
      <c r="G1186" s="62" t="str">
        <f>IF(ISBLANK(A1186),"",_xlfn.XLOOKUP(A1186,'Requirement Overview'!C:C,'Requirement Overview'!G:G))</f>
        <v>EMIDS</v>
      </c>
      <c r="H1186" s="684" t="s">
        <v>4276</v>
      </c>
      <c r="I1186" s="684" t="s">
        <v>4277</v>
      </c>
      <c r="J1186" s="684" t="s">
        <v>4278</v>
      </c>
      <c r="K1186" s="684">
        <v>9705017118</v>
      </c>
      <c r="L1186" s="684" t="s">
        <v>4274</v>
      </c>
      <c r="M1186" s="684" t="s">
        <v>533</v>
      </c>
      <c r="N1186" s="684" t="s">
        <v>653</v>
      </c>
      <c r="O1186" s="684" t="s">
        <v>1520</v>
      </c>
      <c r="P1186" s="684" t="s">
        <v>268</v>
      </c>
      <c r="Q1186" s="684" t="s">
        <v>268</v>
      </c>
      <c r="R1186" s="684" t="s">
        <v>1653</v>
      </c>
      <c r="S1186" s="24" t="s">
        <v>601</v>
      </c>
      <c r="T1186" s="24" t="s">
        <v>103</v>
      </c>
      <c r="U1186" s="29">
        <v>46127</v>
      </c>
      <c r="V1186" s="29">
        <v>46127</v>
      </c>
    </row>
    <row r="1187" spans="1:22" ht="15" customHeight="1">
      <c r="A1187" s="24" t="s">
        <v>180</v>
      </c>
      <c r="B1187" s="24" t="s">
        <v>258</v>
      </c>
      <c r="C1187" s="84" t="str">
        <f>IF(ISBLANK(B1187),"",_xlfn.XLOOKUP(B1187,Recruiter!A:A,Recruiter!B:B))</f>
        <v>Bhoomika</v>
      </c>
      <c r="D1187" s="103" t="str">
        <f>IF(ISBLANK(A1187),"",_xlfn.XLOOKUP(A1187,'Requirement Overview'!C:C,'Requirement Overview'!E:E))</f>
        <v>Talme</v>
      </c>
      <c r="E1187" s="84" t="str">
        <f>IF(ISBLANK(A1187),"",_xlfn.XLOOKUP(A1187,'Requirement Overview'!C:C,'Requirement Overview'!H:H))</f>
        <v>IT</v>
      </c>
      <c r="F1187" s="445" t="str">
        <f>IF(ISBLANK(A1187),"",_xlfn.XLOOKUP(A1187,'Requirement Overview'!C:C,'Requirement Overview'!I:I))</f>
        <v>Java Engineers</v>
      </c>
      <c r="G1187" s="62" t="str">
        <f>IF(ISBLANK(A1187),"",_xlfn.XLOOKUP(A1187,'Requirement Overview'!C:C,'Requirement Overview'!G:G))</f>
        <v>EMIDS</v>
      </c>
      <c r="H1187" s="658" t="s">
        <v>4279</v>
      </c>
      <c r="I1187" s="670" t="s">
        <v>519</v>
      </c>
      <c r="J1187" s="658" t="s">
        <v>4280</v>
      </c>
      <c r="K1187" s="658">
        <v>9481650094</v>
      </c>
      <c r="L1187" s="670" t="s">
        <v>305</v>
      </c>
      <c r="M1187" s="670" t="s">
        <v>1486</v>
      </c>
      <c r="N1187" s="670" t="s">
        <v>4281</v>
      </c>
      <c r="O1187" s="670" t="s">
        <v>1579</v>
      </c>
      <c r="P1187" s="670" t="s">
        <v>268</v>
      </c>
      <c r="Q1187" s="670" t="s">
        <v>268</v>
      </c>
      <c r="R1187" s="670" t="s">
        <v>374</v>
      </c>
      <c r="S1187" s="24" t="s">
        <v>601</v>
      </c>
      <c r="T1187" s="24" t="s">
        <v>103</v>
      </c>
      <c r="U1187" s="29">
        <v>46128</v>
      </c>
      <c r="V1187" s="29">
        <v>46128</v>
      </c>
    </row>
    <row r="1188" spans="1:22" ht="15" customHeight="1">
      <c r="A1188" s="24" t="s">
        <v>180</v>
      </c>
      <c r="B1188" s="24" t="s">
        <v>258</v>
      </c>
      <c r="C1188" s="84" t="str">
        <f>IF(ISBLANK(B1188),"",_xlfn.XLOOKUP(B1188,Recruiter!A:A,Recruiter!B:B))</f>
        <v>Bhoomika</v>
      </c>
      <c r="D1188" s="103" t="str">
        <f>IF(ISBLANK(A1188),"",_xlfn.XLOOKUP(A1188,'Requirement Overview'!C:C,'Requirement Overview'!E:E))</f>
        <v>Talme</v>
      </c>
      <c r="E1188" s="84" t="str">
        <f>IF(ISBLANK(A1188),"",_xlfn.XLOOKUP(A1188,'Requirement Overview'!C:C,'Requirement Overview'!H:H))</f>
        <v>IT</v>
      </c>
      <c r="F1188" s="445" t="str">
        <f>IF(ISBLANK(A1188),"",_xlfn.XLOOKUP(A1188,'Requirement Overview'!C:C,'Requirement Overview'!I:I))</f>
        <v>Java Engineers</v>
      </c>
      <c r="G1188" s="62" t="str">
        <f>IF(ISBLANK(A1188),"",_xlfn.XLOOKUP(A1188,'Requirement Overview'!C:C,'Requirement Overview'!G:G))</f>
        <v>EMIDS</v>
      </c>
      <c r="H1188" s="658" t="s">
        <v>4282</v>
      </c>
      <c r="I1188" s="670" t="s">
        <v>519</v>
      </c>
      <c r="J1188" s="658" t="s">
        <v>4283</v>
      </c>
      <c r="K1188" s="658">
        <v>9579299733</v>
      </c>
      <c r="L1188" s="670" t="s">
        <v>421</v>
      </c>
      <c r="M1188" s="670" t="s">
        <v>2107</v>
      </c>
      <c r="N1188" s="670" t="s">
        <v>2017</v>
      </c>
      <c r="O1188" s="670" t="s">
        <v>678</v>
      </c>
      <c r="P1188" s="670" t="s">
        <v>268</v>
      </c>
      <c r="Q1188" s="670" t="s">
        <v>268</v>
      </c>
      <c r="R1188" s="670" t="s">
        <v>540</v>
      </c>
      <c r="S1188" s="24" t="s">
        <v>601</v>
      </c>
      <c r="T1188" s="24" t="s">
        <v>103</v>
      </c>
      <c r="U1188" s="29">
        <v>46128</v>
      </c>
      <c r="V1188" s="29">
        <v>46128</v>
      </c>
    </row>
    <row r="1189" spans="1:22" ht="15" customHeight="1">
      <c r="A1189" s="24" t="s">
        <v>180</v>
      </c>
      <c r="B1189" s="24" t="s">
        <v>258</v>
      </c>
      <c r="C1189" s="84" t="str">
        <f>IF(ISBLANK(B1189),"",_xlfn.XLOOKUP(B1189,Recruiter!A:A,Recruiter!B:B))</f>
        <v>Bhoomika</v>
      </c>
      <c r="D1189" s="103" t="str">
        <f>IF(ISBLANK(A1189),"",_xlfn.XLOOKUP(A1189,'Requirement Overview'!C:C,'Requirement Overview'!E:E))</f>
        <v>Talme</v>
      </c>
      <c r="E1189" s="84" t="str">
        <f>IF(ISBLANK(A1189),"",_xlfn.XLOOKUP(A1189,'Requirement Overview'!C:C,'Requirement Overview'!H:H))</f>
        <v>IT</v>
      </c>
      <c r="F1189" s="445" t="str">
        <f>IF(ISBLANK(A1189),"",_xlfn.XLOOKUP(A1189,'Requirement Overview'!C:C,'Requirement Overview'!I:I))</f>
        <v>Java Engineers</v>
      </c>
      <c r="G1189" s="62" t="str">
        <f>IF(ISBLANK(A1189),"",_xlfn.XLOOKUP(A1189,'Requirement Overview'!C:C,'Requirement Overview'!G:G))</f>
        <v>EMIDS</v>
      </c>
      <c r="H1189" s="658" t="s">
        <v>4284</v>
      </c>
      <c r="I1189" s="670" t="s">
        <v>519</v>
      </c>
      <c r="J1189" s="658" t="s">
        <v>4285</v>
      </c>
      <c r="K1189" s="658">
        <v>8867798594</v>
      </c>
      <c r="L1189" s="670" t="s">
        <v>305</v>
      </c>
      <c r="M1189" s="670" t="s">
        <v>1864</v>
      </c>
      <c r="N1189" s="670" t="s">
        <v>4286</v>
      </c>
      <c r="O1189" s="670" t="s">
        <v>382</v>
      </c>
      <c r="P1189" s="670" t="s">
        <v>268</v>
      </c>
      <c r="Q1189" s="670" t="s">
        <v>268</v>
      </c>
      <c r="R1189" s="670" t="s">
        <v>757</v>
      </c>
      <c r="S1189" s="24" t="s">
        <v>601</v>
      </c>
      <c r="T1189" s="24" t="s">
        <v>103</v>
      </c>
      <c r="U1189" s="29">
        <v>46128</v>
      </c>
      <c r="V1189" s="29">
        <v>46128</v>
      </c>
    </row>
    <row r="1190" spans="1:22" ht="15" customHeight="1">
      <c r="A1190" s="24" t="s">
        <v>180</v>
      </c>
      <c r="B1190" s="24" t="s">
        <v>258</v>
      </c>
      <c r="C1190" s="84" t="str">
        <f>IF(ISBLANK(B1190),"",_xlfn.XLOOKUP(B1190,Recruiter!A:A,Recruiter!B:B))</f>
        <v>Bhoomika</v>
      </c>
      <c r="D1190" s="103" t="str">
        <f>IF(ISBLANK(A1190),"",_xlfn.XLOOKUP(A1190,'Requirement Overview'!C:C,'Requirement Overview'!E:E))</f>
        <v>Talme</v>
      </c>
      <c r="E1190" s="84" t="str">
        <f>IF(ISBLANK(A1190),"",_xlfn.XLOOKUP(A1190,'Requirement Overview'!C:C,'Requirement Overview'!H:H))</f>
        <v>IT</v>
      </c>
      <c r="F1190" s="445" t="str">
        <f>IF(ISBLANK(A1190),"",_xlfn.XLOOKUP(A1190,'Requirement Overview'!C:C,'Requirement Overview'!I:I))</f>
        <v>Java Engineers</v>
      </c>
      <c r="G1190" s="62" t="str">
        <f>IF(ISBLANK(A1190),"",_xlfn.XLOOKUP(A1190,'Requirement Overview'!C:C,'Requirement Overview'!G:G))</f>
        <v>EMIDS</v>
      </c>
      <c r="H1190" s="658" t="s">
        <v>4287</v>
      </c>
      <c r="I1190" s="670" t="s">
        <v>519</v>
      </c>
      <c r="J1190" s="658" t="s">
        <v>4288</v>
      </c>
      <c r="K1190" s="658">
        <v>9381433545</v>
      </c>
      <c r="L1190" s="670" t="s">
        <v>305</v>
      </c>
      <c r="M1190" s="670" t="s">
        <v>279</v>
      </c>
      <c r="N1190" s="670" t="s">
        <v>4289</v>
      </c>
      <c r="O1190" s="670" t="s">
        <v>1144</v>
      </c>
      <c r="P1190" s="670" t="s">
        <v>268</v>
      </c>
      <c r="Q1190" s="670" t="s">
        <v>268</v>
      </c>
      <c r="R1190" s="670" t="s">
        <v>1145</v>
      </c>
      <c r="S1190" s="24" t="s">
        <v>601</v>
      </c>
      <c r="T1190" s="24" t="s">
        <v>103</v>
      </c>
      <c r="U1190" s="29">
        <v>46128</v>
      </c>
      <c r="V1190" s="29">
        <v>46128</v>
      </c>
    </row>
    <row r="1191" spans="1:22" ht="15" customHeight="1">
      <c r="B1191" s="24" t="s">
        <v>258</v>
      </c>
      <c r="C1191" s="84" t="str">
        <f>IF(ISBLANK(B1191),"",_xlfn.XLOOKUP(B1191,Recruiter!A:A,Recruiter!B:B))</f>
        <v>Bhoomika</v>
      </c>
      <c r="D1191" s="103" t="str">
        <f>IF(ISBLANK(A1191),"",_xlfn.XLOOKUP(A1191,'Requirement Overview'!C:C,'Requirement Overview'!E:E))</f>
        <v/>
      </c>
      <c r="E1191" s="84" t="str">
        <f>IF(ISBLANK(A1191),"",_xlfn.XLOOKUP(A1191,'Requirement Overview'!C:C,'Requirement Overview'!H:H))</f>
        <v/>
      </c>
      <c r="F1191" s="445" t="str">
        <f>IF(ISBLANK(A1191),"",_xlfn.XLOOKUP(A1191,'Requirement Overview'!C:C,'Requirement Overview'!I:I))</f>
        <v/>
      </c>
      <c r="G1191" s="62" t="str">
        <f>IF(ISBLANK(A1191),"",_xlfn.XLOOKUP(A1191,'Requirement Overview'!C:C,'Requirement Overview'!G:G))</f>
        <v/>
      </c>
      <c r="H1191" s="687" t="s">
        <v>4290</v>
      </c>
      <c r="I1191" s="684" t="s">
        <v>262</v>
      </c>
      <c r="J1191" s="689" t="s">
        <v>4291</v>
      </c>
      <c r="K1191" s="684">
        <v>9423481731</v>
      </c>
      <c r="L1191" s="684" t="s">
        <v>350</v>
      </c>
      <c r="M1191" s="684" t="s">
        <v>1230</v>
      </c>
      <c r="N1191" s="684" t="s">
        <v>4292</v>
      </c>
      <c r="O1191" s="684" t="s">
        <v>4293</v>
      </c>
      <c r="P1191" s="684" t="s">
        <v>569</v>
      </c>
      <c r="Q1191" s="684" t="s">
        <v>569</v>
      </c>
      <c r="R1191" s="684" t="s">
        <v>1144</v>
      </c>
      <c r="S1191" s="24" t="s">
        <v>601</v>
      </c>
      <c r="T1191" s="24" t="s">
        <v>103</v>
      </c>
      <c r="U1191" s="29">
        <v>46128</v>
      </c>
      <c r="V1191" s="29">
        <v>46128</v>
      </c>
    </row>
    <row r="1192" spans="1:22" ht="15" customHeight="1">
      <c r="B1192" s="24" t="s">
        <v>258</v>
      </c>
      <c r="C1192" s="84" t="str">
        <f>IF(ISBLANK(B1192),"",_xlfn.XLOOKUP(B1192,Recruiter!A:A,Recruiter!B:B))</f>
        <v>Bhoomika</v>
      </c>
      <c r="D1192" s="103" t="str">
        <f>IF(ISBLANK(A1192),"",_xlfn.XLOOKUP(A1192,'Requirement Overview'!C:C,'Requirement Overview'!E:E))</f>
        <v/>
      </c>
      <c r="E1192" s="84" t="str">
        <f>IF(ISBLANK(A1192),"",_xlfn.XLOOKUP(A1192,'Requirement Overview'!C:C,'Requirement Overview'!H:H))</f>
        <v/>
      </c>
      <c r="F1192" s="445" t="str">
        <f>IF(ISBLANK(A1192),"",_xlfn.XLOOKUP(A1192,'Requirement Overview'!C:C,'Requirement Overview'!I:I))</f>
        <v/>
      </c>
      <c r="G1192" s="62" t="str">
        <f>IF(ISBLANK(A1192),"",_xlfn.XLOOKUP(A1192,'Requirement Overview'!C:C,'Requirement Overview'!G:G))</f>
        <v/>
      </c>
      <c r="H1192" s="688" t="s">
        <v>4294</v>
      </c>
      <c r="I1192" s="684" t="s">
        <v>262</v>
      </c>
      <c r="J1192" s="689" t="s">
        <v>4295</v>
      </c>
      <c r="K1192" s="684">
        <v>8482901505</v>
      </c>
      <c r="L1192" s="684" t="s">
        <v>305</v>
      </c>
      <c r="M1192" s="684" t="s">
        <v>942</v>
      </c>
      <c r="N1192" s="684" t="s">
        <v>4296</v>
      </c>
      <c r="O1192" s="684" t="s">
        <v>886</v>
      </c>
      <c r="P1192" s="684" t="s">
        <v>569</v>
      </c>
      <c r="Q1192" s="684" t="s">
        <v>569</v>
      </c>
      <c r="R1192" s="684" t="s">
        <v>374</v>
      </c>
      <c r="S1192" s="24" t="s">
        <v>601</v>
      </c>
      <c r="T1192" s="24" t="s">
        <v>103</v>
      </c>
      <c r="U1192" s="29">
        <v>46128</v>
      </c>
      <c r="V1192" s="29">
        <v>46128</v>
      </c>
    </row>
    <row r="1193" spans="1:22" ht="15" customHeight="1">
      <c r="B1193" s="24" t="s">
        <v>258</v>
      </c>
      <c r="C1193" s="84" t="str">
        <f>IF(ISBLANK(B1193),"",_xlfn.XLOOKUP(B1193,Recruiter!A:A,Recruiter!B:B))</f>
        <v>Bhoomika</v>
      </c>
      <c r="D1193" s="103" t="str">
        <f>IF(ISBLANK(A1193),"",_xlfn.XLOOKUP(A1193,'Requirement Overview'!C:C,'Requirement Overview'!E:E))</f>
        <v/>
      </c>
      <c r="E1193" s="84" t="str">
        <f>IF(ISBLANK(A1193),"",_xlfn.XLOOKUP(A1193,'Requirement Overview'!C:C,'Requirement Overview'!H:H))</f>
        <v/>
      </c>
      <c r="F1193" s="445" t="str">
        <f>IF(ISBLANK(A1193),"",_xlfn.XLOOKUP(A1193,'Requirement Overview'!C:C,'Requirement Overview'!I:I))</f>
        <v/>
      </c>
      <c r="G1193" s="62" t="str">
        <f>IF(ISBLANK(A1193),"",_xlfn.XLOOKUP(A1193,'Requirement Overview'!C:C,'Requirement Overview'!G:G))</f>
        <v/>
      </c>
      <c r="H1193" s="689" t="s">
        <v>4297</v>
      </c>
      <c r="I1193" s="684" t="s">
        <v>262</v>
      </c>
      <c r="J1193" s="689" t="s">
        <v>4298</v>
      </c>
      <c r="K1193" s="684">
        <v>7558577949</v>
      </c>
      <c r="L1193" s="684" t="s">
        <v>311</v>
      </c>
      <c r="M1193" s="684" t="s">
        <v>2021</v>
      </c>
      <c r="N1193" s="684" t="s">
        <v>4299</v>
      </c>
      <c r="O1193" s="684" t="s">
        <v>4300</v>
      </c>
      <c r="P1193" s="684" t="s">
        <v>569</v>
      </c>
      <c r="Q1193" s="684" t="s">
        <v>569</v>
      </c>
      <c r="R1193" s="684" t="s">
        <v>517</v>
      </c>
      <c r="S1193" s="24" t="s">
        <v>601</v>
      </c>
      <c r="T1193" s="24" t="s">
        <v>103</v>
      </c>
      <c r="U1193" s="29">
        <v>46128</v>
      </c>
      <c r="V1193" s="29">
        <v>46128</v>
      </c>
    </row>
    <row r="1194" spans="1:22" ht="15" customHeight="1">
      <c r="B1194" s="24" t="s">
        <v>258</v>
      </c>
      <c r="C1194" s="84" t="str">
        <f>IF(ISBLANK(B1194),"",_xlfn.XLOOKUP(B1194,Recruiter!A:A,Recruiter!B:B))</f>
        <v>Bhoomika</v>
      </c>
      <c r="D1194" s="103" t="str">
        <f>IF(ISBLANK(A1194),"",_xlfn.XLOOKUP(A1194,'Requirement Overview'!C:C,'Requirement Overview'!E:E))</f>
        <v/>
      </c>
      <c r="E1194" s="84" t="str">
        <f>IF(ISBLANK(A1194),"",_xlfn.XLOOKUP(A1194,'Requirement Overview'!C:C,'Requirement Overview'!H:H))</f>
        <v/>
      </c>
      <c r="F1194" s="445" t="str">
        <f>IF(ISBLANK(A1194),"",_xlfn.XLOOKUP(A1194,'Requirement Overview'!C:C,'Requirement Overview'!I:I))</f>
        <v/>
      </c>
      <c r="G1194" s="62" t="str">
        <f>IF(ISBLANK(A1194),"",_xlfn.XLOOKUP(A1194,'Requirement Overview'!C:C,'Requirement Overview'!G:G))</f>
        <v/>
      </c>
    </row>
    <row r="1195" spans="1:22" ht="15" customHeight="1">
      <c r="A1195" s="24" t="s">
        <v>180</v>
      </c>
      <c r="B1195" s="24" t="s">
        <v>340</v>
      </c>
      <c r="C1195" s="84" t="str">
        <f>IF(ISBLANK(B1195),"",_xlfn.XLOOKUP(B1195,Recruiter!A:A,Recruiter!B:B))</f>
        <v>Harshitha</v>
      </c>
      <c r="D1195" s="103" t="str">
        <f>IF(ISBLANK(A1195),"",_xlfn.XLOOKUP(A1195,'Requirement Overview'!C:C,'Requirement Overview'!E:E))</f>
        <v>Talme</v>
      </c>
      <c r="E1195" s="84" t="str">
        <f>IF(ISBLANK(A1195),"",_xlfn.XLOOKUP(A1195,'Requirement Overview'!C:C,'Requirement Overview'!H:H))</f>
        <v>IT</v>
      </c>
      <c r="F1195" s="445" t="str">
        <f>IF(ISBLANK(A1195),"",_xlfn.XLOOKUP(A1195,'Requirement Overview'!C:C,'Requirement Overview'!I:I))</f>
        <v>Java Engineers</v>
      </c>
      <c r="G1195" s="62" t="str">
        <f>IF(ISBLANK(A1195),"",_xlfn.XLOOKUP(A1195,'Requirement Overview'!C:C,'Requirement Overview'!G:G))</f>
        <v>EMIDS</v>
      </c>
      <c r="H1195" s="650" t="s">
        <v>4301</v>
      </c>
      <c r="I1195" s="652" t="s">
        <v>2197</v>
      </c>
      <c r="J1195" s="651" t="s">
        <v>4302</v>
      </c>
      <c r="K1195" s="652">
        <v>7325959472</v>
      </c>
      <c r="L1195" s="652" t="s">
        <v>305</v>
      </c>
      <c r="M1195" s="652" t="s">
        <v>942</v>
      </c>
      <c r="N1195" s="665" t="s">
        <v>4303</v>
      </c>
      <c r="O1195" s="652" t="s">
        <v>678</v>
      </c>
      <c r="P1195" s="652" t="s">
        <v>1676</v>
      </c>
      <c r="Q1195" s="652" t="s">
        <v>268</v>
      </c>
      <c r="R1195" s="652" t="s">
        <v>1144</v>
      </c>
      <c r="S1195" s="24" t="s">
        <v>270</v>
      </c>
      <c r="T1195" s="24" t="s">
        <v>103</v>
      </c>
      <c r="U1195" s="29">
        <v>46125</v>
      </c>
      <c r="V1195" s="29">
        <v>46125</v>
      </c>
    </row>
    <row r="1196" spans="1:22" ht="15" customHeight="1">
      <c r="A1196" s="24" t="s">
        <v>180</v>
      </c>
      <c r="B1196" s="24" t="s">
        <v>340</v>
      </c>
      <c r="C1196" s="84" t="str">
        <f>IF(ISBLANK(B1196),"",_xlfn.XLOOKUP(B1196,Recruiter!A:A,Recruiter!B:B))</f>
        <v>Harshitha</v>
      </c>
      <c r="D1196" s="103" t="str">
        <f>IF(ISBLANK(A1196),"",_xlfn.XLOOKUP(A1196,'Requirement Overview'!C:C,'Requirement Overview'!E:E))</f>
        <v>Talme</v>
      </c>
      <c r="E1196" s="84" t="str">
        <f>IF(ISBLANK(A1196),"",_xlfn.XLOOKUP(A1196,'Requirement Overview'!C:C,'Requirement Overview'!H:H))</f>
        <v>IT</v>
      </c>
      <c r="F1196" s="445" t="str">
        <f>IF(ISBLANK(A1196),"",_xlfn.XLOOKUP(A1196,'Requirement Overview'!C:C,'Requirement Overview'!I:I))</f>
        <v>Java Engineers</v>
      </c>
      <c r="G1196" s="62" t="str">
        <f>IF(ISBLANK(A1196),"",_xlfn.XLOOKUP(A1196,'Requirement Overview'!C:C,'Requirement Overview'!G:G))</f>
        <v>EMIDS</v>
      </c>
      <c r="H1196" s="650" t="s">
        <v>4304</v>
      </c>
      <c r="I1196" s="652" t="s">
        <v>4305</v>
      </c>
      <c r="J1196" s="651" t="s">
        <v>4306</v>
      </c>
      <c r="K1196" s="652">
        <v>8147287087</v>
      </c>
      <c r="L1196" s="652" t="s">
        <v>305</v>
      </c>
      <c r="M1196" s="652" t="s">
        <v>1001</v>
      </c>
      <c r="N1196" s="665" t="s">
        <v>4307</v>
      </c>
      <c r="O1196" s="652" t="s">
        <v>1138</v>
      </c>
      <c r="P1196" s="652" t="s">
        <v>268</v>
      </c>
      <c r="Q1196" s="652" t="s">
        <v>268</v>
      </c>
      <c r="R1196" s="652" t="s">
        <v>1302</v>
      </c>
      <c r="S1196" s="24" t="s">
        <v>270</v>
      </c>
      <c r="T1196" s="24" t="s">
        <v>103</v>
      </c>
      <c r="U1196" s="29">
        <v>46125</v>
      </c>
      <c r="V1196" s="29">
        <v>46125</v>
      </c>
    </row>
    <row r="1197" spans="1:22" ht="15" customHeight="1">
      <c r="A1197" s="24" t="s">
        <v>180</v>
      </c>
      <c r="B1197" s="24" t="s">
        <v>340</v>
      </c>
      <c r="C1197" s="84" t="str">
        <f>IF(ISBLANK(B1197),"",_xlfn.XLOOKUP(B1197,Recruiter!A:A,Recruiter!B:B))</f>
        <v>Harshitha</v>
      </c>
      <c r="D1197" s="103" t="str">
        <f>IF(ISBLANK(A1197),"",_xlfn.XLOOKUP(A1197,'Requirement Overview'!C:C,'Requirement Overview'!E:E))</f>
        <v>Talme</v>
      </c>
      <c r="E1197" s="84" t="str">
        <f>IF(ISBLANK(A1197),"",_xlfn.XLOOKUP(A1197,'Requirement Overview'!C:C,'Requirement Overview'!H:H))</f>
        <v>IT</v>
      </c>
      <c r="F1197" s="445" t="str">
        <f>IF(ISBLANK(A1197),"",_xlfn.XLOOKUP(A1197,'Requirement Overview'!C:C,'Requirement Overview'!I:I))</f>
        <v>Java Engineers</v>
      </c>
      <c r="G1197" s="62" t="str">
        <f>IF(ISBLANK(A1197),"",_xlfn.XLOOKUP(A1197,'Requirement Overview'!C:C,'Requirement Overview'!G:G))</f>
        <v>EMIDS</v>
      </c>
      <c r="H1197" s="650" t="s">
        <v>4308</v>
      </c>
      <c r="I1197" s="652" t="s">
        <v>519</v>
      </c>
      <c r="J1197" s="651" t="s">
        <v>4309</v>
      </c>
      <c r="K1197" s="652">
        <v>8971059113</v>
      </c>
      <c r="L1197" s="652" t="s">
        <v>305</v>
      </c>
      <c r="M1197" s="652" t="s">
        <v>1181</v>
      </c>
      <c r="N1197" s="665" t="s">
        <v>4310</v>
      </c>
      <c r="O1197" s="652" t="s">
        <v>407</v>
      </c>
      <c r="P1197" s="652" t="s">
        <v>268</v>
      </c>
      <c r="Q1197" s="652" t="s">
        <v>268</v>
      </c>
      <c r="R1197" s="652" t="s">
        <v>1144</v>
      </c>
      <c r="S1197" s="24" t="s">
        <v>270</v>
      </c>
      <c r="T1197" s="24" t="s">
        <v>103</v>
      </c>
      <c r="U1197" s="29">
        <v>46125</v>
      </c>
      <c r="V1197" s="29">
        <v>46125</v>
      </c>
    </row>
    <row r="1198" spans="1:22" ht="15" customHeight="1">
      <c r="A1198" s="24" t="s">
        <v>180</v>
      </c>
      <c r="B1198" s="24" t="s">
        <v>340</v>
      </c>
      <c r="C1198" s="84" t="str">
        <f>IF(ISBLANK(B1198),"",_xlfn.XLOOKUP(B1198,Recruiter!A:A,Recruiter!B:B))</f>
        <v>Harshitha</v>
      </c>
      <c r="D1198" s="103" t="str">
        <f>IF(ISBLANK(A1198),"",_xlfn.XLOOKUP(A1198,'Requirement Overview'!C:C,'Requirement Overview'!E:E))</f>
        <v>Talme</v>
      </c>
      <c r="E1198" s="84" t="str">
        <f>IF(ISBLANK(A1198),"",_xlfn.XLOOKUP(A1198,'Requirement Overview'!C:C,'Requirement Overview'!H:H))</f>
        <v>IT</v>
      </c>
      <c r="F1198" s="445" t="str">
        <f>IF(ISBLANK(A1198),"",_xlfn.XLOOKUP(A1198,'Requirement Overview'!C:C,'Requirement Overview'!I:I))</f>
        <v>Java Engineers</v>
      </c>
      <c r="G1198" s="62" t="str">
        <f>IF(ISBLANK(A1198),"",_xlfn.XLOOKUP(A1198,'Requirement Overview'!C:C,'Requirement Overview'!G:G))</f>
        <v>EMIDS</v>
      </c>
      <c r="H1198" s="650" t="s">
        <v>4311</v>
      </c>
      <c r="I1198" s="652" t="s">
        <v>4312</v>
      </c>
      <c r="J1198" s="651" t="s">
        <v>4313</v>
      </c>
      <c r="K1198" s="652">
        <v>8839416559</v>
      </c>
      <c r="L1198" s="652" t="s">
        <v>305</v>
      </c>
      <c r="M1198" s="652" t="s">
        <v>279</v>
      </c>
      <c r="N1198" s="665" t="s">
        <v>4314</v>
      </c>
      <c r="O1198" s="652" t="s">
        <v>715</v>
      </c>
      <c r="P1198" s="652" t="s">
        <v>268</v>
      </c>
      <c r="Q1198" s="652" t="s">
        <v>268</v>
      </c>
      <c r="R1198" s="652" t="s">
        <v>541</v>
      </c>
      <c r="S1198" s="24" t="s">
        <v>270</v>
      </c>
      <c r="T1198" s="24" t="s">
        <v>103</v>
      </c>
      <c r="U1198" s="29">
        <v>46125</v>
      </c>
      <c r="V1198" s="29">
        <v>46125</v>
      </c>
    </row>
    <row r="1199" spans="1:22" ht="15" customHeight="1">
      <c r="A1199" s="24" t="s">
        <v>180</v>
      </c>
      <c r="B1199" s="24" t="s">
        <v>340</v>
      </c>
      <c r="C1199" s="84" t="str">
        <f>IF(ISBLANK(B1199),"",_xlfn.XLOOKUP(B1199,Recruiter!A:A,Recruiter!B:B))</f>
        <v>Harshitha</v>
      </c>
      <c r="D1199" s="103" t="str">
        <f>IF(ISBLANK(A1199),"",_xlfn.XLOOKUP(A1199,'Requirement Overview'!C:C,'Requirement Overview'!E:E))</f>
        <v>Talme</v>
      </c>
      <c r="E1199" s="84" t="str">
        <f>IF(ISBLANK(A1199),"",_xlfn.XLOOKUP(A1199,'Requirement Overview'!C:C,'Requirement Overview'!H:H))</f>
        <v>IT</v>
      </c>
      <c r="F1199" s="445" t="str">
        <f>IF(ISBLANK(A1199),"",_xlfn.XLOOKUP(A1199,'Requirement Overview'!C:C,'Requirement Overview'!I:I))</f>
        <v>Java Engineers</v>
      </c>
      <c r="G1199" s="62" t="str">
        <f>IF(ISBLANK(A1199),"",_xlfn.XLOOKUP(A1199,'Requirement Overview'!C:C,'Requirement Overview'!G:G))</f>
        <v>EMIDS</v>
      </c>
      <c r="H1199" s="650" t="s">
        <v>4315</v>
      </c>
      <c r="I1199" s="652" t="s">
        <v>4312</v>
      </c>
      <c r="J1199" s="651" t="s">
        <v>4316</v>
      </c>
      <c r="K1199" s="652">
        <v>7991073850</v>
      </c>
      <c r="L1199" s="652" t="s">
        <v>421</v>
      </c>
      <c r="M1199" s="652" t="s">
        <v>4106</v>
      </c>
      <c r="N1199" s="665" t="s">
        <v>4317</v>
      </c>
      <c r="O1199" s="652" t="s">
        <v>1302</v>
      </c>
      <c r="P1199" s="652" t="s">
        <v>268</v>
      </c>
      <c r="Q1199" s="652" t="s">
        <v>268</v>
      </c>
      <c r="R1199" s="652" t="s">
        <v>553</v>
      </c>
      <c r="S1199" s="24" t="s">
        <v>270</v>
      </c>
      <c r="T1199" s="24" t="s">
        <v>103</v>
      </c>
      <c r="U1199" s="29">
        <v>46125</v>
      </c>
      <c r="V1199" s="29">
        <v>46125</v>
      </c>
    </row>
    <row r="1200" spans="1:22" ht="15" customHeight="1">
      <c r="A1200" s="24" t="s">
        <v>180</v>
      </c>
      <c r="B1200" s="24" t="s">
        <v>340</v>
      </c>
      <c r="C1200" s="84" t="str">
        <f>IF(ISBLANK(B1200),"",_xlfn.XLOOKUP(B1200,Recruiter!A:A,Recruiter!B:B))</f>
        <v>Harshitha</v>
      </c>
      <c r="D1200" s="103" t="str">
        <f>IF(ISBLANK(A1200),"",_xlfn.XLOOKUP(A1200,'Requirement Overview'!C:C,'Requirement Overview'!E:E))</f>
        <v>Talme</v>
      </c>
      <c r="E1200" s="84" t="str">
        <f>IF(ISBLANK(A1200),"",_xlfn.XLOOKUP(A1200,'Requirement Overview'!C:C,'Requirement Overview'!H:H))</f>
        <v>IT</v>
      </c>
      <c r="F1200" s="445" t="str">
        <f>IF(ISBLANK(A1200),"",_xlfn.XLOOKUP(A1200,'Requirement Overview'!C:C,'Requirement Overview'!I:I))</f>
        <v>Java Engineers</v>
      </c>
      <c r="G1200" s="62" t="str">
        <f>IF(ISBLANK(A1200),"",_xlfn.XLOOKUP(A1200,'Requirement Overview'!C:C,'Requirement Overview'!G:G))</f>
        <v>EMIDS</v>
      </c>
      <c r="H1200" s="650" t="s">
        <v>4318</v>
      </c>
      <c r="I1200" s="652" t="s">
        <v>519</v>
      </c>
      <c r="J1200" s="651" t="s">
        <v>4319</v>
      </c>
      <c r="K1200" s="652" t="s">
        <v>4320</v>
      </c>
      <c r="L1200" s="652" t="s">
        <v>305</v>
      </c>
      <c r="M1200" s="652" t="s">
        <v>1860</v>
      </c>
      <c r="N1200" s="665" t="s">
        <v>4321</v>
      </c>
      <c r="O1200" s="652" t="s">
        <v>654</v>
      </c>
      <c r="P1200" s="652" t="s">
        <v>268</v>
      </c>
      <c r="Q1200" s="652" t="s">
        <v>268</v>
      </c>
      <c r="R1200" s="652" t="s">
        <v>386</v>
      </c>
      <c r="S1200" s="24" t="s">
        <v>270</v>
      </c>
      <c r="T1200" s="24" t="s">
        <v>103</v>
      </c>
      <c r="U1200" s="29">
        <v>46125</v>
      </c>
      <c r="V1200" s="29">
        <v>46125</v>
      </c>
    </row>
    <row r="1201" spans="1:22" ht="15" customHeight="1">
      <c r="A1201" s="24" t="s">
        <v>182</v>
      </c>
      <c r="B1201" s="24" t="s">
        <v>340</v>
      </c>
      <c r="C1201" s="84" t="str">
        <f>IF(ISBLANK(B1201),"",_xlfn.XLOOKUP(B1201,Recruiter!A:A,Recruiter!B:B))</f>
        <v>Harshitha</v>
      </c>
      <c r="D1201" s="103" t="str">
        <f>IF(ISBLANK(A1201),"",_xlfn.XLOOKUP(A1201,'Requirement Overview'!C:C,'Requirement Overview'!E:E))</f>
        <v>Talme</v>
      </c>
      <c r="E1201" s="84" t="str">
        <f>IF(ISBLANK(A1201),"",_xlfn.XLOOKUP(A1201,'Requirement Overview'!C:C,'Requirement Overview'!H:H))</f>
        <v>IT</v>
      </c>
      <c r="F1201" s="445" t="str">
        <f>IF(ISBLANK(A1201),"",_xlfn.XLOOKUP(A1201,'Requirement Overview'!C:C,'Requirement Overview'!I:I))</f>
        <v xml:space="preserve"> Lead Python developer</v>
      </c>
      <c r="G1201" s="62" t="str">
        <f>IF(ISBLANK(A1201),"",_xlfn.XLOOKUP(A1201,'Requirement Overview'!C:C,'Requirement Overview'!G:G))</f>
        <v>EMIDS</v>
      </c>
      <c r="H1201" s="650" t="s">
        <v>4322</v>
      </c>
      <c r="I1201" s="3" t="s">
        <v>4323</v>
      </c>
      <c r="J1201" s="651" t="s">
        <v>4324</v>
      </c>
      <c r="K1201" s="690">
        <v>9922599397</v>
      </c>
      <c r="L1201" s="3" t="s">
        <v>305</v>
      </c>
      <c r="M1201" s="3" t="s">
        <v>685</v>
      </c>
      <c r="N1201" s="665" t="s">
        <v>4325</v>
      </c>
      <c r="O1201" s="3" t="s">
        <v>541</v>
      </c>
      <c r="P1201" s="3" t="s">
        <v>268</v>
      </c>
      <c r="Q1201" s="3" t="s">
        <v>268</v>
      </c>
      <c r="R1201" s="3" t="s">
        <v>455</v>
      </c>
      <c r="S1201" s="24" t="s">
        <v>270</v>
      </c>
      <c r="T1201" s="24" t="s">
        <v>103</v>
      </c>
      <c r="U1201" s="29">
        <v>46126</v>
      </c>
      <c r="V1201" s="29">
        <v>46126</v>
      </c>
    </row>
    <row r="1202" spans="1:22" ht="15" customHeight="1">
      <c r="A1202" s="24" t="s">
        <v>182</v>
      </c>
      <c r="B1202" s="24" t="s">
        <v>340</v>
      </c>
      <c r="C1202" s="84" t="str">
        <f>IF(ISBLANK(B1202),"",_xlfn.XLOOKUP(B1202,Recruiter!A:A,Recruiter!B:B))</f>
        <v>Harshitha</v>
      </c>
      <c r="D1202" s="103" t="str">
        <f>IF(ISBLANK(A1202),"",_xlfn.XLOOKUP(A1202,'Requirement Overview'!C:C,'Requirement Overview'!E:E))</f>
        <v>Talme</v>
      </c>
      <c r="E1202" s="84" t="str">
        <f>IF(ISBLANK(A1202),"",_xlfn.XLOOKUP(A1202,'Requirement Overview'!C:C,'Requirement Overview'!H:H))</f>
        <v>IT</v>
      </c>
      <c r="F1202" s="445" t="str">
        <f>IF(ISBLANK(A1202),"",_xlfn.XLOOKUP(A1202,'Requirement Overview'!C:C,'Requirement Overview'!I:I))</f>
        <v xml:space="preserve"> Lead Python developer</v>
      </c>
      <c r="G1202" s="62" t="str">
        <f>IF(ISBLANK(A1202),"",_xlfn.XLOOKUP(A1202,'Requirement Overview'!C:C,'Requirement Overview'!G:G))</f>
        <v>EMIDS</v>
      </c>
      <c r="H1202" s="650" t="s">
        <v>4326</v>
      </c>
      <c r="I1202" s="3" t="s">
        <v>3288</v>
      </c>
      <c r="J1202" s="651" t="s">
        <v>4327</v>
      </c>
      <c r="K1202" s="652">
        <v>7011070030</v>
      </c>
      <c r="L1202" s="3" t="s">
        <v>305</v>
      </c>
      <c r="M1202" s="3" t="s">
        <v>399</v>
      </c>
      <c r="N1202" s="665" t="s">
        <v>4328</v>
      </c>
      <c r="O1202" s="3" t="s">
        <v>455</v>
      </c>
      <c r="P1202" s="3" t="s">
        <v>569</v>
      </c>
      <c r="Q1202" s="3" t="s">
        <v>806</v>
      </c>
      <c r="R1202" s="3" t="s">
        <v>2751</v>
      </c>
      <c r="S1202" s="24" t="s">
        <v>270</v>
      </c>
      <c r="T1202" s="24" t="s">
        <v>103</v>
      </c>
      <c r="U1202" s="29">
        <v>46126</v>
      </c>
      <c r="V1202" s="29">
        <v>46126</v>
      </c>
    </row>
    <row r="1203" spans="1:22" ht="15" customHeight="1">
      <c r="A1203" s="24" t="s">
        <v>182</v>
      </c>
      <c r="B1203" s="24" t="s">
        <v>340</v>
      </c>
      <c r="C1203" s="84" t="str">
        <f>IF(ISBLANK(B1203),"",_xlfn.XLOOKUP(B1203,Recruiter!A:A,Recruiter!B:B))</f>
        <v>Harshitha</v>
      </c>
      <c r="D1203" s="103" t="str">
        <f>IF(ISBLANK(A1203),"",_xlfn.XLOOKUP(A1203,'Requirement Overview'!C:C,'Requirement Overview'!E:E))</f>
        <v>Talme</v>
      </c>
      <c r="E1203" s="84" t="str">
        <f>IF(ISBLANK(A1203),"",_xlfn.XLOOKUP(A1203,'Requirement Overview'!C:C,'Requirement Overview'!H:H))</f>
        <v>IT</v>
      </c>
      <c r="F1203" s="445" t="str">
        <f>IF(ISBLANK(A1203),"",_xlfn.XLOOKUP(A1203,'Requirement Overview'!C:C,'Requirement Overview'!I:I))</f>
        <v xml:space="preserve"> Lead Python developer</v>
      </c>
      <c r="G1203" s="62" t="str">
        <f>IF(ISBLANK(A1203),"",_xlfn.XLOOKUP(A1203,'Requirement Overview'!C:C,'Requirement Overview'!G:G))</f>
        <v>EMIDS</v>
      </c>
      <c r="H1203" s="650" t="s">
        <v>4329</v>
      </c>
      <c r="I1203" s="3" t="s">
        <v>519</v>
      </c>
      <c r="J1203" s="651" t="s">
        <v>4330</v>
      </c>
      <c r="K1203" s="652">
        <v>9917305561</v>
      </c>
      <c r="L1203" s="3" t="s">
        <v>305</v>
      </c>
      <c r="M1203" s="3" t="s">
        <v>2809</v>
      </c>
      <c r="N1203" s="691" t="s">
        <v>4331</v>
      </c>
      <c r="O1203" s="3" t="s">
        <v>4332</v>
      </c>
      <c r="P1203" s="3" t="s">
        <v>3721</v>
      </c>
      <c r="Q1203" s="3" t="s">
        <v>806</v>
      </c>
      <c r="R1203" s="3" t="s">
        <v>2751</v>
      </c>
      <c r="S1203" s="24" t="s">
        <v>270</v>
      </c>
      <c r="T1203" s="24" t="s">
        <v>103</v>
      </c>
      <c r="U1203" s="29">
        <v>46126</v>
      </c>
      <c r="V1203" s="29">
        <v>46126</v>
      </c>
    </row>
    <row r="1204" spans="1:22" ht="15" customHeight="1">
      <c r="A1204" s="24" t="s">
        <v>182</v>
      </c>
      <c r="B1204" s="24" t="s">
        <v>340</v>
      </c>
      <c r="C1204" s="84" t="str">
        <f>IF(ISBLANK(B1204),"",_xlfn.XLOOKUP(B1204,Recruiter!A:A,Recruiter!B:B))</f>
        <v>Harshitha</v>
      </c>
      <c r="D1204" s="103" t="str">
        <f>IF(ISBLANK(A1204),"",_xlfn.XLOOKUP(A1204,'Requirement Overview'!C:C,'Requirement Overview'!E:E))</f>
        <v>Talme</v>
      </c>
      <c r="E1204" s="84" t="str">
        <f>IF(ISBLANK(A1204),"",_xlfn.XLOOKUP(A1204,'Requirement Overview'!C:C,'Requirement Overview'!H:H))</f>
        <v>IT</v>
      </c>
      <c r="F1204" s="445" t="str">
        <f>IF(ISBLANK(A1204),"",_xlfn.XLOOKUP(A1204,'Requirement Overview'!C:C,'Requirement Overview'!I:I))</f>
        <v xml:space="preserve"> Lead Python developer</v>
      </c>
      <c r="G1204" s="62" t="str">
        <f>IF(ISBLANK(A1204),"",_xlfn.XLOOKUP(A1204,'Requirement Overview'!C:C,'Requirement Overview'!G:G))</f>
        <v>EMIDS</v>
      </c>
      <c r="H1204" s="650" t="s">
        <v>4333</v>
      </c>
      <c r="I1204" s="3" t="s">
        <v>2197</v>
      </c>
      <c r="J1204" s="651" t="s">
        <v>4334</v>
      </c>
      <c r="K1204" s="652">
        <v>9337972300</v>
      </c>
      <c r="L1204" s="3" t="s">
        <v>305</v>
      </c>
      <c r="M1204" s="3" t="s">
        <v>3013</v>
      </c>
      <c r="N1204" s="665" t="s">
        <v>4335</v>
      </c>
      <c r="O1204" s="3" t="s">
        <v>1302</v>
      </c>
      <c r="P1204" s="3" t="s">
        <v>268</v>
      </c>
      <c r="Q1204" s="3" t="s">
        <v>268</v>
      </c>
      <c r="R1204" s="3" t="s">
        <v>1653</v>
      </c>
      <c r="S1204" s="24" t="s">
        <v>270</v>
      </c>
      <c r="T1204" s="24" t="s">
        <v>103</v>
      </c>
      <c r="U1204" s="29">
        <v>46126</v>
      </c>
      <c r="V1204" s="29">
        <v>46126</v>
      </c>
    </row>
    <row r="1205" spans="1:22" ht="15" customHeight="1">
      <c r="A1205" s="24" t="s">
        <v>182</v>
      </c>
      <c r="B1205" s="24" t="s">
        <v>340</v>
      </c>
      <c r="C1205" s="84" t="str">
        <f>IF(ISBLANK(B1205),"",_xlfn.XLOOKUP(B1205,Recruiter!A:A,Recruiter!B:B))</f>
        <v>Harshitha</v>
      </c>
      <c r="D1205" s="103" t="str">
        <f>IF(ISBLANK(A1205),"",_xlfn.XLOOKUP(A1205,'Requirement Overview'!C:C,'Requirement Overview'!E:E))</f>
        <v>Talme</v>
      </c>
      <c r="E1205" s="84" t="str">
        <f>IF(ISBLANK(A1205),"",_xlfn.XLOOKUP(A1205,'Requirement Overview'!C:C,'Requirement Overview'!H:H))</f>
        <v>IT</v>
      </c>
      <c r="F1205" s="445" t="str">
        <f>IF(ISBLANK(A1205),"",_xlfn.XLOOKUP(A1205,'Requirement Overview'!C:C,'Requirement Overview'!I:I))</f>
        <v xml:space="preserve"> Lead Python developer</v>
      </c>
      <c r="G1205" s="62" t="str">
        <f>IF(ISBLANK(A1205),"",_xlfn.XLOOKUP(A1205,'Requirement Overview'!C:C,'Requirement Overview'!G:G))</f>
        <v>EMIDS</v>
      </c>
      <c r="H1205" s="650" t="s">
        <v>4336</v>
      </c>
      <c r="I1205" s="3" t="s">
        <v>519</v>
      </c>
      <c r="J1205" s="651" t="s">
        <v>4337</v>
      </c>
      <c r="K1205" s="652">
        <v>8247367221</v>
      </c>
      <c r="L1205" s="3" t="s">
        <v>404</v>
      </c>
      <c r="M1205" s="3" t="s">
        <v>685</v>
      </c>
      <c r="N1205" s="665" t="s">
        <v>4338</v>
      </c>
      <c r="O1205" s="3" t="s">
        <v>600</v>
      </c>
      <c r="P1205" s="3" t="s">
        <v>2375</v>
      </c>
      <c r="Q1205" s="3" t="s">
        <v>268</v>
      </c>
      <c r="R1205" s="3" t="s">
        <v>353</v>
      </c>
      <c r="S1205" s="24" t="s">
        <v>270</v>
      </c>
      <c r="T1205" s="24" t="s">
        <v>103</v>
      </c>
      <c r="U1205" s="29">
        <v>46126</v>
      </c>
      <c r="V1205" s="29">
        <v>46126</v>
      </c>
    </row>
    <row r="1206" spans="1:22" ht="15" customHeight="1">
      <c r="A1206" s="24" t="s">
        <v>182</v>
      </c>
      <c r="B1206" s="24" t="s">
        <v>340</v>
      </c>
      <c r="C1206" s="84" t="str">
        <f>IF(ISBLANK(B1206),"",_xlfn.XLOOKUP(B1206,Recruiter!A:A,Recruiter!B:B))</f>
        <v>Harshitha</v>
      </c>
      <c r="D1206" s="103" t="str">
        <f>IF(ISBLANK(A1206),"",_xlfn.XLOOKUP(A1206,'Requirement Overview'!C:C,'Requirement Overview'!E:E))</f>
        <v>Talme</v>
      </c>
      <c r="E1206" s="84" t="str">
        <f>IF(ISBLANK(A1206),"",_xlfn.XLOOKUP(A1206,'Requirement Overview'!C:C,'Requirement Overview'!H:H))</f>
        <v>IT</v>
      </c>
      <c r="F1206" s="445" t="str">
        <f>IF(ISBLANK(A1206),"",_xlfn.XLOOKUP(A1206,'Requirement Overview'!C:C,'Requirement Overview'!I:I))</f>
        <v xml:space="preserve"> Lead Python developer</v>
      </c>
      <c r="G1206" s="62" t="str">
        <f>IF(ISBLANK(A1206),"",_xlfn.XLOOKUP(A1206,'Requirement Overview'!C:C,'Requirement Overview'!G:G))</f>
        <v>EMIDS</v>
      </c>
      <c r="H1206" s="650" t="s">
        <v>4339</v>
      </c>
      <c r="I1206" s="3" t="s">
        <v>519</v>
      </c>
      <c r="J1206" s="651" t="s">
        <v>4340</v>
      </c>
      <c r="K1206" s="652">
        <v>8074881023</v>
      </c>
      <c r="L1206" s="3" t="s">
        <v>404</v>
      </c>
      <c r="M1206" s="3" t="s">
        <v>685</v>
      </c>
      <c r="N1206" s="665" t="s">
        <v>4341</v>
      </c>
      <c r="O1206" s="3" t="s">
        <v>1302</v>
      </c>
      <c r="P1206" s="3" t="s">
        <v>2375</v>
      </c>
      <c r="Q1206" s="3" t="s">
        <v>268</v>
      </c>
      <c r="R1206" s="3" t="s">
        <v>554</v>
      </c>
      <c r="S1206" s="24" t="s">
        <v>270</v>
      </c>
      <c r="T1206" s="24" t="s">
        <v>103</v>
      </c>
      <c r="U1206" s="29">
        <v>46126</v>
      </c>
      <c r="V1206" s="29">
        <v>46126</v>
      </c>
    </row>
    <row r="1207" spans="1:22" ht="15" customHeight="1">
      <c r="A1207" s="24" t="s">
        <v>182</v>
      </c>
      <c r="B1207" s="24" t="s">
        <v>340</v>
      </c>
      <c r="C1207" s="84" t="str">
        <f>IF(ISBLANK(B1207),"",_xlfn.XLOOKUP(B1207,Recruiter!A:A,Recruiter!B:B))</f>
        <v>Harshitha</v>
      </c>
      <c r="D1207" s="103" t="str">
        <f>IF(ISBLANK(A1207),"",_xlfn.XLOOKUP(A1207,'Requirement Overview'!C:C,'Requirement Overview'!E:E))</f>
        <v>Talme</v>
      </c>
      <c r="E1207" s="84" t="str">
        <f>IF(ISBLANK(A1207),"",_xlfn.XLOOKUP(A1207,'Requirement Overview'!C:C,'Requirement Overview'!H:H))</f>
        <v>IT</v>
      </c>
      <c r="F1207" s="445" t="str">
        <f>IF(ISBLANK(A1207),"",_xlfn.XLOOKUP(A1207,'Requirement Overview'!C:C,'Requirement Overview'!I:I))</f>
        <v xml:space="preserve"> Lead Python developer</v>
      </c>
      <c r="G1207" s="62" t="str">
        <f>IF(ISBLANK(A1207),"",_xlfn.XLOOKUP(A1207,'Requirement Overview'!C:C,'Requirement Overview'!G:G))</f>
        <v>EMIDS</v>
      </c>
      <c r="H1207" s="650" t="s">
        <v>4342</v>
      </c>
      <c r="I1207" s="3" t="s">
        <v>4343</v>
      </c>
      <c r="J1207" s="651" t="s">
        <v>4344</v>
      </c>
      <c r="K1207" s="652">
        <v>7060977013</v>
      </c>
      <c r="L1207" s="3" t="s">
        <v>378</v>
      </c>
      <c r="M1207" s="3" t="s">
        <v>390</v>
      </c>
      <c r="N1207" s="665" t="s">
        <v>4345</v>
      </c>
      <c r="O1207" s="3" t="s">
        <v>474</v>
      </c>
      <c r="P1207" s="3" t="s">
        <v>1055</v>
      </c>
      <c r="Q1207" s="3" t="s">
        <v>806</v>
      </c>
      <c r="R1207" s="3" t="s">
        <v>2751</v>
      </c>
      <c r="S1207" s="24" t="s">
        <v>270</v>
      </c>
      <c r="T1207" s="24" t="s">
        <v>103</v>
      </c>
      <c r="U1207" s="29">
        <v>46126</v>
      </c>
      <c r="V1207" s="29">
        <v>46126</v>
      </c>
    </row>
    <row r="1208" spans="1:22" ht="15" customHeight="1">
      <c r="A1208" s="24" t="s">
        <v>182</v>
      </c>
      <c r="B1208" s="24" t="s">
        <v>340</v>
      </c>
      <c r="C1208" s="84" t="str">
        <f>IF(ISBLANK(B1208),"",_xlfn.XLOOKUP(B1208,Recruiter!A:A,Recruiter!B:B))</f>
        <v>Harshitha</v>
      </c>
      <c r="D1208" s="103" t="str">
        <f>IF(ISBLANK(A1208),"",_xlfn.XLOOKUP(A1208,'Requirement Overview'!C:C,'Requirement Overview'!E:E))</f>
        <v>Talme</v>
      </c>
      <c r="E1208" s="84" t="str">
        <f>IF(ISBLANK(A1208),"",_xlfn.XLOOKUP(A1208,'Requirement Overview'!C:C,'Requirement Overview'!H:H))</f>
        <v>IT</v>
      </c>
      <c r="F1208" s="445" t="str">
        <f>IF(ISBLANK(A1208),"",_xlfn.XLOOKUP(A1208,'Requirement Overview'!C:C,'Requirement Overview'!I:I))</f>
        <v xml:space="preserve"> Lead Python developer</v>
      </c>
      <c r="G1208" s="62" t="str">
        <f>IF(ISBLANK(A1208),"",_xlfn.XLOOKUP(A1208,'Requirement Overview'!C:C,'Requirement Overview'!G:G))</f>
        <v>EMIDS</v>
      </c>
      <c r="H1208" s="650" t="s">
        <v>4346</v>
      </c>
      <c r="I1208" s="652" t="s">
        <v>519</v>
      </c>
      <c r="J1208" s="651" t="s">
        <v>4347</v>
      </c>
      <c r="K1208" s="652" t="s">
        <v>4348</v>
      </c>
      <c r="L1208" s="652" t="s">
        <v>404</v>
      </c>
      <c r="M1208" s="652" t="s">
        <v>365</v>
      </c>
      <c r="N1208" s="692" t="s">
        <v>4349</v>
      </c>
      <c r="O1208" s="652" t="s">
        <v>633</v>
      </c>
      <c r="P1208" s="652" t="s">
        <v>3721</v>
      </c>
      <c r="Q1208" s="652" t="s">
        <v>806</v>
      </c>
      <c r="R1208" s="652" t="s">
        <v>2751</v>
      </c>
      <c r="S1208" s="24" t="s">
        <v>270</v>
      </c>
      <c r="T1208" s="24" t="s">
        <v>103</v>
      </c>
      <c r="U1208" s="29">
        <v>46127</v>
      </c>
      <c r="V1208" s="29">
        <v>46127</v>
      </c>
    </row>
    <row r="1209" spans="1:22" ht="15" customHeight="1">
      <c r="A1209" s="24" t="s">
        <v>182</v>
      </c>
      <c r="B1209" s="24" t="s">
        <v>340</v>
      </c>
      <c r="C1209" s="84" t="str">
        <f>IF(ISBLANK(B1209),"",_xlfn.XLOOKUP(B1209,Recruiter!A:A,Recruiter!B:B))</f>
        <v>Harshitha</v>
      </c>
      <c r="D1209" s="103" t="str">
        <f>IF(ISBLANK(A1209),"",_xlfn.XLOOKUP(A1209,'Requirement Overview'!C:C,'Requirement Overview'!E:E))</f>
        <v>Talme</v>
      </c>
      <c r="E1209" s="84" t="str">
        <f>IF(ISBLANK(A1209),"",_xlfn.XLOOKUP(A1209,'Requirement Overview'!C:C,'Requirement Overview'!H:H))</f>
        <v>IT</v>
      </c>
      <c r="F1209" s="445" t="str">
        <f>IF(ISBLANK(A1209),"",_xlfn.XLOOKUP(A1209,'Requirement Overview'!C:C,'Requirement Overview'!I:I))</f>
        <v xml:space="preserve"> Lead Python developer</v>
      </c>
      <c r="G1209" s="62" t="str">
        <f>IF(ISBLANK(A1209),"",_xlfn.XLOOKUP(A1209,'Requirement Overview'!C:C,'Requirement Overview'!G:G))</f>
        <v>EMIDS</v>
      </c>
      <c r="H1209" s="650" t="s">
        <v>4350</v>
      </c>
      <c r="I1209" s="652" t="s">
        <v>4004</v>
      </c>
      <c r="J1209" s="651" t="s">
        <v>4351</v>
      </c>
      <c r="K1209" s="652">
        <v>8548812575</v>
      </c>
      <c r="L1209" s="652" t="s">
        <v>305</v>
      </c>
      <c r="M1209" s="652" t="s">
        <v>533</v>
      </c>
      <c r="N1209" s="693" t="s">
        <v>3671</v>
      </c>
      <c r="O1209" s="652" t="s">
        <v>4352</v>
      </c>
      <c r="P1209" s="652" t="s">
        <v>268</v>
      </c>
      <c r="Q1209" s="652" t="s">
        <v>268</v>
      </c>
      <c r="R1209" s="652" t="s">
        <v>353</v>
      </c>
      <c r="S1209" s="24" t="s">
        <v>270</v>
      </c>
      <c r="T1209" s="24" t="s">
        <v>103</v>
      </c>
      <c r="U1209" s="29">
        <v>46127</v>
      </c>
      <c r="V1209" s="29">
        <v>46127</v>
      </c>
    </row>
    <row r="1210" spans="1:22" ht="15" customHeight="1">
      <c r="A1210" s="24" t="s">
        <v>182</v>
      </c>
      <c r="B1210" s="24" t="s">
        <v>340</v>
      </c>
      <c r="C1210" s="84" t="str">
        <f>IF(ISBLANK(B1210),"",_xlfn.XLOOKUP(B1210,Recruiter!A:A,Recruiter!B:B))</f>
        <v>Harshitha</v>
      </c>
      <c r="D1210" s="103" t="str">
        <f>IF(ISBLANK(A1210),"",_xlfn.XLOOKUP(A1210,'Requirement Overview'!C:C,'Requirement Overview'!E:E))</f>
        <v>Talme</v>
      </c>
      <c r="E1210" s="84" t="str">
        <f>IF(ISBLANK(A1210),"",_xlfn.XLOOKUP(A1210,'Requirement Overview'!C:C,'Requirement Overview'!H:H))</f>
        <v>IT</v>
      </c>
      <c r="F1210" s="445" t="str">
        <f>IF(ISBLANK(A1210),"",_xlfn.XLOOKUP(A1210,'Requirement Overview'!C:C,'Requirement Overview'!I:I))</f>
        <v xml:space="preserve"> Lead Python developer</v>
      </c>
      <c r="G1210" s="62" t="str">
        <f>IF(ISBLANK(A1210),"",_xlfn.XLOOKUP(A1210,'Requirement Overview'!C:C,'Requirement Overview'!G:G))</f>
        <v>EMIDS</v>
      </c>
      <c r="H1210" s="650" t="s">
        <v>4353</v>
      </c>
      <c r="I1210" s="652" t="s">
        <v>3984</v>
      </c>
      <c r="J1210" s="651" t="s">
        <v>4354</v>
      </c>
      <c r="K1210" s="652">
        <v>8114983865</v>
      </c>
      <c r="L1210" s="652" t="s">
        <v>305</v>
      </c>
      <c r="M1210" s="652" t="s">
        <v>685</v>
      </c>
      <c r="N1210" s="693" t="s">
        <v>4355</v>
      </c>
      <c r="O1210" s="652" t="s">
        <v>553</v>
      </c>
      <c r="P1210" s="652" t="s">
        <v>268</v>
      </c>
      <c r="Q1210" s="652" t="s">
        <v>268</v>
      </c>
      <c r="R1210" s="652" t="s">
        <v>455</v>
      </c>
      <c r="S1210" s="24" t="s">
        <v>270</v>
      </c>
      <c r="T1210" s="24" t="s">
        <v>103</v>
      </c>
      <c r="U1210" s="29">
        <v>46127</v>
      </c>
      <c r="V1210" s="29">
        <v>46127</v>
      </c>
    </row>
    <row r="1211" spans="1:22" ht="15" customHeight="1">
      <c r="A1211" s="24" t="s">
        <v>182</v>
      </c>
      <c r="B1211" s="24" t="s">
        <v>340</v>
      </c>
      <c r="C1211" s="84" t="str">
        <f>IF(ISBLANK(B1211),"",_xlfn.XLOOKUP(B1211,Recruiter!A:A,Recruiter!B:B))</f>
        <v>Harshitha</v>
      </c>
      <c r="D1211" s="103" t="str">
        <f>IF(ISBLANK(A1211),"",_xlfn.XLOOKUP(A1211,'Requirement Overview'!C:C,'Requirement Overview'!E:E))</f>
        <v>Talme</v>
      </c>
      <c r="E1211" s="84" t="str">
        <f>IF(ISBLANK(A1211),"",_xlfn.XLOOKUP(A1211,'Requirement Overview'!C:C,'Requirement Overview'!H:H))</f>
        <v>IT</v>
      </c>
      <c r="F1211" s="445" t="str">
        <f>IF(ISBLANK(A1211),"",_xlfn.XLOOKUP(A1211,'Requirement Overview'!C:C,'Requirement Overview'!I:I))</f>
        <v xml:space="preserve"> Lead Python developer</v>
      </c>
      <c r="G1211" s="62" t="str">
        <f>IF(ISBLANK(A1211),"",_xlfn.XLOOKUP(A1211,'Requirement Overview'!C:C,'Requirement Overview'!G:G))</f>
        <v>EMIDS</v>
      </c>
      <c r="H1211" s="650" t="s">
        <v>4356</v>
      </c>
      <c r="I1211" s="652" t="s">
        <v>2197</v>
      </c>
      <c r="J1211" s="651" t="s">
        <v>4357</v>
      </c>
      <c r="K1211" s="652">
        <v>9716315954</v>
      </c>
      <c r="L1211" s="652" t="s">
        <v>378</v>
      </c>
      <c r="M1211" s="652" t="s">
        <v>365</v>
      </c>
      <c r="N1211" s="693" t="s">
        <v>4358</v>
      </c>
      <c r="O1211" s="652" t="s">
        <v>1853</v>
      </c>
      <c r="P1211" s="652" t="s">
        <v>806</v>
      </c>
      <c r="Q1211" s="652" t="s">
        <v>806</v>
      </c>
      <c r="R1211" s="652" t="s">
        <v>489</v>
      </c>
      <c r="S1211" s="24" t="s">
        <v>270</v>
      </c>
      <c r="T1211" s="24" t="s">
        <v>103</v>
      </c>
      <c r="U1211" s="29">
        <v>46127</v>
      </c>
      <c r="V1211" s="29">
        <v>46127</v>
      </c>
    </row>
    <row r="1212" spans="1:22" ht="15" customHeight="1">
      <c r="A1212" s="24" t="s">
        <v>182</v>
      </c>
      <c r="B1212" s="24" t="s">
        <v>340</v>
      </c>
      <c r="C1212" s="84" t="str">
        <f>IF(ISBLANK(B1212),"",_xlfn.XLOOKUP(B1212,Recruiter!A:A,Recruiter!B:B))</f>
        <v>Harshitha</v>
      </c>
      <c r="D1212" s="103" t="str">
        <f>IF(ISBLANK(A1212),"",_xlfn.XLOOKUP(A1212,'Requirement Overview'!C:C,'Requirement Overview'!E:E))</f>
        <v>Talme</v>
      </c>
      <c r="E1212" s="84" t="str">
        <f>IF(ISBLANK(A1212),"",_xlfn.XLOOKUP(A1212,'Requirement Overview'!C:C,'Requirement Overview'!H:H))</f>
        <v>IT</v>
      </c>
      <c r="F1212" s="445" t="str">
        <f>IF(ISBLANK(A1212),"",_xlfn.XLOOKUP(A1212,'Requirement Overview'!C:C,'Requirement Overview'!I:I))</f>
        <v xml:space="preserve"> Lead Python developer</v>
      </c>
      <c r="G1212" s="62" t="str">
        <f>IF(ISBLANK(A1212),"",_xlfn.XLOOKUP(A1212,'Requirement Overview'!C:C,'Requirement Overview'!G:G))</f>
        <v>EMIDS</v>
      </c>
      <c r="H1212" s="650" t="s">
        <v>4359</v>
      </c>
      <c r="I1212" s="694" t="s">
        <v>4360</v>
      </c>
      <c r="J1212" s="651" t="s">
        <v>4361</v>
      </c>
      <c r="K1212" s="652">
        <v>9999323467</v>
      </c>
      <c r="L1212" s="652" t="s">
        <v>350</v>
      </c>
      <c r="M1212" s="652" t="s">
        <v>390</v>
      </c>
      <c r="N1212" s="693" t="s">
        <v>4362</v>
      </c>
      <c r="O1212" s="652" t="s">
        <v>489</v>
      </c>
      <c r="P1212" s="652" t="s">
        <v>806</v>
      </c>
      <c r="Q1212" s="652" t="s">
        <v>806</v>
      </c>
      <c r="R1212" s="652" t="s">
        <v>2751</v>
      </c>
      <c r="S1212" s="24" t="s">
        <v>270</v>
      </c>
      <c r="T1212" s="24" t="s">
        <v>103</v>
      </c>
      <c r="U1212" s="29">
        <v>46127</v>
      </c>
      <c r="V1212" s="29">
        <v>46127</v>
      </c>
    </row>
    <row r="1213" spans="1:22" ht="15" customHeight="1">
      <c r="A1213" s="24" t="s">
        <v>182</v>
      </c>
      <c r="B1213" s="24" t="s">
        <v>340</v>
      </c>
      <c r="C1213" s="84" t="str">
        <f>IF(ISBLANK(B1213),"",_xlfn.XLOOKUP(B1213,Recruiter!A:A,Recruiter!B:B))</f>
        <v>Harshitha</v>
      </c>
      <c r="D1213" s="103" t="str">
        <f>IF(ISBLANK(A1213),"",_xlfn.XLOOKUP(A1213,'Requirement Overview'!C:C,'Requirement Overview'!E:E))</f>
        <v>Talme</v>
      </c>
      <c r="E1213" s="84" t="str">
        <f>IF(ISBLANK(A1213),"",_xlfn.XLOOKUP(A1213,'Requirement Overview'!C:C,'Requirement Overview'!H:H))</f>
        <v>IT</v>
      </c>
      <c r="F1213" s="445" t="str">
        <f>IF(ISBLANK(A1213),"",_xlfn.XLOOKUP(A1213,'Requirement Overview'!C:C,'Requirement Overview'!I:I))</f>
        <v xml:space="preserve"> Lead Python developer</v>
      </c>
      <c r="G1213" s="62" t="str">
        <f>IF(ISBLANK(A1213),"",_xlfn.XLOOKUP(A1213,'Requirement Overview'!C:C,'Requirement Overview'!G:G))</f>
        <v>EMIDS</v>
      </c>
      <c r="H1213" s="695" t="s">
        <v>4363</v>
      </c>
      <c r="I1213" s="50" t="s">
        <v>4364</v>
      </c>
      <c r="J1213" s="697" t="s">
        <v>4365</v>
      </c>
      <c r="K1213" s="696">
        <v>9052380780</v>
      </c>
      <c r="L1213" s="50" t="s">
        <v>305</v>
      </c>
      <c r="M1213" s="50" t="s">
        <v>351</v>
      </c>
      <c r="N1213" s="698" t="s">
        <v>4366</v>
      </c>
      <c r="O1213" s="50" t="s">
        <v>716</v>
      </c>
      <c r="P1213" s="50" t="s">
        <v>879</v>
      </c>
      <c r="Q1213" s="50" t="s">
        <v>879</v>
      </c>
      <c r="R1213" s="50" t="s">
        <v>2751</v>
      </c>
      <c r="S1213" s="24" t="s">
        <v>375</v>
      </c>
      <c r="T1213" s="24" t="s">
        <v>103</v>
      </c>
      <c r="U1213" s="29">
        <v>46129</v>
      </c>
      <c r="V1213" s="29">
        <v>46129</v>
      </c>
    </row>
    <row r="1214" spans="1:22" ht="15" customHeight="1">
      <c r="A1214" s="24" t="s">
        <v>182</v>
      </c>
      <c r="B1214" s="24" t="s">
        <v>340</v>
      </c>
      <c r="C1214" s="84" t="str">
        <f>IF(ISBLANK(B1214),"",_xlfn.XLOOKUP(B1214,Recruiter!A:A,Recruiter!B:B))</f>
        <v>Harshitha</v>
      </c>
      <c r="D1214" s="103" t="str">
        <f>IF(ISBLANK(A1214),"",_xlfn.XLOOKUP(A1214,'Requirement Overview'!C:C,'Requirement Overview'!E:E))</f>
        <v>Talme</v>
      </c>
      <c r="E1214" s="84" t="str">
        <f>IF(ISBLANK(A1214),"",_xlfn.XLOOKUP(A1214,'Requirement Overview'!C:C,'Requirement Overview'!H:H))</f>
        <v>IT</v>
      </c>
      <c r="F1214" s="445" t="str">
        <f>IF(ISBLANK(A1214),"",_xlfn.XLOOKUP(A1214,'Requirement Overview'!C:C,'Requirement Overview'!I:I))</f>
        <v xml:space="preserve"> Lead Python developer</v>
      </c>
      <c r="G1214" s="62" t="str">
        <f>IF(ISBLANK(A1214),"",_xlfn.XLOOKUP(A1214,'Requirement Overview'!C:C,'Requirement Overview'!G:G))</f>
        <v>EMIDS</v>
      </c>
      <c r="H1214" s="650" t="s">
        <v>4367</v>
      </c>
      <c r="I1214" s="3" t="s">
        <v>519</v>
      </c>
      <c r="J1214" s="651" t="s">
        <v>4368</v>
      </c>
      <c r="K1214" s="652">
        <v>7013487844</v>
      </c>
      <c r="L1214" s="3" t="s">
        <v>305</v>
      </c>
      <c r="M1214" s="3" t="s">
        <v>3106</v>
      </c>
      <c r="N1214" s="699" t="s">
        <v>4369</v>
      </c>
      <c r="O1214" s="3" t="s">
        <v>1844</v>
      </c>
      <c r="P1214" s="3" t="s">
        <v>879</v>
      </c>
      <c r="Q1214" s="3" t="s">
        <v>879</v>
      </c>
      <c r="R1214" s="3" t="s">
        <v>450</v>
      </c>
      <c r="S1214" s="24" t="s">
        <v>802</v>
      </c>
      <c r="T1214" s="24" t="s">
        <v>103</v>
      </c>
      <c r="U1214" s="29">
        <v>46129</v>
      </c>
      <c r="V1214" s="29">
        <v>46129</v>
      </c>
    </row>
    <row r="1215" spans="1:22" ht="15" customHeight="1">
      <c r="A1215" s="24" t="s">
        <v>35</v>
      </c>
      <c r="B1215" s="24" t="s">
        <v>340</v>
      </c>
      <c r="C1215" s="84" t="str">
        <f>IF(ISBLANK(B1215),"",_xlfn.XLOOKUP(B1215,Recruiter!A:A,Recruiter!B:B))</f>
        <v>Harshitha</v>
      </c>
      <c r="D1215" s="103" t="str">
        <f>IF(ISBLANK(A1215),"",_xlfn.XLOOKUP(A1215,'Requirement Overview'!C:C,'Requirement Overview'!E:E))</f>
        <v>Talme</v>
      </c>
      <c r="E1215" s="84" t="str">
        <f>IF(ISBLANK(A1215),"",_xlfn.XLOOKUP(A1215,'Requirement Overview'!C:C,'Requirement Overview'!H:H))</f>
        <v>IT</v>
      </c>
      <c r="F1215" s="445" t="str">
        <f>IF(ISBLANK(A1215),"",_xlfn.XLOOKUP(A1215,'Requirement Overview'!C:C,'Requirement Overview'!I:I))</f>
        <v>Windows system adminstrator</v>
      </c>
      <c r="G1215" s="62" t="str">
        <f>IF(ISBLANK(A1215),"",_xlfn.XLOOKUP(A1215,'Requirement Overview'!C:C,'Requirement Overview'!G:G))</f>
        <v>EMIDS</v>
      </c>
      <c r="H1215" s="650" t="s">
        <v>4370</v>
      </c>
      <c r="I1215" s="701" t="s">
        <v>519</v>
      </c>
      <c r="J1215" s="651" t="s">
        <v>4371</v>
      </c>
      <c r="K1215" s="700">
        <v>9886163372</v>
      </c>
      <c r="L1215" s="701" t="s">
        <v>378</v>
      </c>
      <c r="M1215" s="700" t="s">
        <v>4372</v>
      </c>
      <c r="N1215" s="665" t="s">
        <v>4373</v>
      </c>
      <c r="O1215" s="24" t="s">
        <v>429</v>
      </c>
      <c r="P1215" s="701" t="s">
        <v>268</v>
      </c>
      <c r="Q1215" s="701" t="s">
        <v>268</v>
      </c>
      <c r="R1215" s="24" t="s">
        <v>386</v>
      </c>
      <c r="S1215" s="24" t="s">
        <v>270</v>
      </c>
      <c r="T1215" s="24" t="s">
        <v>103</v>
      </c>
      <c r="U1215" s="29">
        <v>46133</v>
      </c>
      <c r="V1215" s="29">
        <v>46133</v>
      </c>
    </row>
    <row r="1216" spans="1:22" ht="15" customHeight="1">
      <c r="A1216" s="24" t="s">
        <v>35</v>
      </c>
      <c r="B1216" s="24" t="s">
        <v>340</v>
      </c>
      <c r="C1216" s="84" t="str">
        <f>IF(ISBLANK(B1216),"",_xlfn.XLOOKUP(B1216,Recruiter!A:A,Recruiter!B:B))</f>
        <v>Harshitha</v>
      </c>
      <c r="D1216" s="103" t="str">
        <f>IF(ISBLANK(A1216),"",_xlfn.XLOOKUP(A1216,'Requirement Overview'!C:C,'Requirement Overview'!E:E))</f>
        <v>Talme</v>
      </c>
      <c r="E1216" s="84" t="str">
        <f>IF(ISBLANK(A1216),"",_xlfn.XLOOKUP(A1216,'Requirement Overview'!C:C,'Requirement Overview'!H:H))</f>
        <v>IT</v>
      </c>
      <c r="F1216" s="445" t="str">
        <f>IF(ISBLANK(A1216),"",_xlfn.XLOOKUP(A1216,'Requirement Overview'!C:C,'Requirement Overview'!I:I))</f>
        <v>Windows system adminstrator</v>
      </c>
      <c r="G1216" s="62" t="str">
        <f>IF(ISBLANK(A1216),"",_xlfn.XLOOKUP(A1216,'Requirement Overview'!C:C,'Requirement Overview'!G:G))</f>
        <v>EMIDS</v>
      </c>
      <c r="H1216" s="650" t="s">
        <v>773</v>
      </c>
      <c r="I1216" s="701" t="s">
        <v>519</v>
      </c>
      <c r="J1216" s="651" t="s">
        <v>774</v>
      </c>
      <c r="K1216" s="700">
        <v>8142728979</v>
      </c>
      <c r="L1216" s="701" t="s">
        <v>305</v>
      </c>
      <c r="M1216" s="700" t="s">
        <v>3106</v>
      </c>
      <c r="N1216" s="665" t="s">
        <v>775</v>
      </c>
      <c r="O1216" s="24" t="s">
        <v>730</v>
      </c>
      <c r="P1216" s="701" t="s">
        <v>879</v>
      </c>
      <c r="Q1216" s="701" t="s">
        <v>879</v>
      </c>
      <c r="R1216" s="24" t="s">
        <v>407</v>
      </c>
      <c r="S1216" s="24" t="s">
        <v>270</v>
      </c>
      <c r="T1216" s="24" t="s">
        <v>103</v>
      </c>
      <c r="U1216" s="29">
        <v>46133</v>
      </c>
      <c r="V1216" s="29">
        <v>46133</v>
      </c>
    </row>
    <row r="1217" spans="1:24" ht="15" customHeight="1">
      <c r="A1217" s="24" t="s">
        <v>35</v>
      </c>
      <c r="B1217" s="24" t="s">
        <v>340</v>
      </c>
      <c r="C1217" s="84" t="str">
        <f>IF(ISBLANK(B1217),"",_xlfn.XLOOKUP(B1217,Recruiter!A:A,Recruiter!B:B))</f>
        <v>Harshitha</v>
      </c>
      <c r="D1217" s="103" t="str">
        <f>IF(ISBLANK(A1217),"",_xlfn.XLOOKUP(A1217,'Requirement Overview'!C:C,'Requirement Overview'!E:E))</f>
        <v>Talme</v>
      </c>
      <c r="E1217" s="84" t="str">
        <f>IF(ISBLANK(A1217),"",_xlfn.XLOOKUP(A1217,'Requirement Overview'!C:C,'Requirement Overview'!H:H))</f>
        <v>IT</v>
      </c>
      <c r="F1217" s="445" t="str">
        <f>IF(ISBLANK(A1217),"",_xlfn.XLOOKUP(A1217,'Requirement Overview'!C:C,'Requirement Overview'!I:I))</f>
        <v>Windows system adminstrator</v>
      </c>
      <c r="G1217" s="62" t="str">
        <f>IF(ISBLANK(A1217),"",_xlfn.XLOOKUP(A1217,'Requirement Overview'!C:C,'Requirement Overview'!G:G))</f>
        <v>EMIDS</v>
      </c>
      <c r="H1217" s="650" t="s">
        <v>4374</v>
      </c>
      <c r="I1217" s="701" t="s">
        <v>4375</v>
      </c>
      <c r="J1217" s="651" t="s">
        <v>4376</v>
      </c>
      <c r="K1217" s="700">
        <v>8073849812</v>
      </c>
      <c r="L1217" s="701" t="s">
        <v>305</v>
      </c>
      <c r="M1217" s="701" t="s">
        <v>2995</v>
      </c>
      <c r="N1217" s="665" t="s">
        <v>2126</v>
      </c>
      <c r="O1217" s="24" t="s">
        <v>407</v>
      </c>
      <c r="P1217" s="701" t="s">
        <v>268</v>
      </c>
      <c r="Q1217" s="701" t="s">
        <v>268</v>
      </c>
      <c r="R1217" s="24" t="s">
        <v>540</v>
      </c>
      <c r="S1217" s="24" t="s">
        <v>270</v>
      </c>
      <c r="T1217" s="24" t="s">
        <v>103</v>
      </c>
      <c r="U1217" s="29">
        <v>46133</v>
      </c>
      <c r="V1217" s="29">
        <v>46133</v>
      </c>
    </row>
    <row r="1218" spans="1:24" ht="15" customHeight="1">
      <c r="A1218" s="24" t="s">
        <v>35</v>
      </c>
      <c r="B1218" s="24" t="s">
        <v>340</v>
      </c>
      <c r="C1218" s="84" t="str">
        <f>IF(ISBLANK(B1218),"",_xlfn.XLOOKUP(B1218,Recruiter!A:A,Recruiter!B:B))</f>
        <v>Harshitha</v>
      </c>
      <c r="D1218" s="103" t="str">
        <f>IF(ISBLANK(A1218),"",_xlfn.XLOOKUP(A1218,'Requirement Overview'!C:C,'Requirement Overview'!E:E))</f>
        <v>Talme</v>
      </c>
      <c r="E1218" s="84" t="str">
        <f>IF(ISBLANK(A1218),"",_xlfn.XLOOKUP(A1218,'Requirement Overview'!C:C,'Requirement Overview'!H:H))</f>
        <v>IT</v>
      </c>
      <c r="F1218" s="445" t="str">
        <f>IF(ISBLANK(A1218),"",_xlfn.XLOOKUP(A1218,'Requirement Overview'!C:C,'Requirement Overview'!I:I))</f>
        <v>Windows system adminstrator</v>
      </c>
      <c r="G1218" s="62" t="str">
        <f>IF(ISBLANK(A1218),"",_xlfn.XLOOKUP(A1218,'Requirement Overview'!C:C,'Requirement Overview'!G:G))</f>
        <v>EMIDS</v>
      </c>
      <c r="H1218" s="650" t="s">
        <v>4377</v>
      </c>
      <c r="I1218" s="701" t="s">
        <v>3681</v>
      </c>
      <c r="J1218" s="651" t="s">
        <v>4378</v>
      </c>
      <c r="K1218" s="700">
        <v>8709881201</v>
      </c>
      <c r="L1218" s="701" t="s">
        <v>305</v>
      </c>
      <c r="M1218" s="701" t="s">
        <v>2685</v>
      </c>
      <c r="N1218" s="665" t="s">
        <v>1519</v>
      </c>
      <c r="O1218" s="24" t="s">
        <v>4379</v>
      </c>
      <c r="P1218" s="701" t="s">
        <v>2502</v>
      </c>
      <c r="Q1218" s="701" t="s">
        <v>806</v>
      </c>
      <c r="R1218" s="24" t="s">
        <v>589</v>
      </c>
      <c r="S1218" s="24" t="s">
        <v>375</v>
      </c>
      <c r="T1218" s="24" t="s">
        <v>103</v>
      </c>
      <c r="U1218" s="29">
        <v>46133</v>
      </c>
      <c r="V1218" s="29">
        <v>46133</v>
      </c>
      <c r="X1218" s="29">
        <v>46140</v>
      </c>
    </row>
    <row r="1219" spans="1:24" ht="15" customHeight="1">
      <c r="A1219" s="24" t="s">
        <v>35</v>
      </c>
      <c r="B1219" s="24" t="s">
        <v>340</v>
      </c>
      <c r="C1219" s="84" t="str">
        <f>IF(ISBLANK(B1219),"",_xlfn.XLOOKUP(B1219,Recruiter!A:A,Recruiter!B:B))</f>
        <v>Harshitha</v>
      </c>
      <c r="D1219" s="103" t="str">
        <f>IF(ISBLANK(A1219),"",_xlfn.XLOOKUP(A1219,'Requirement Overview'!C:C,'Requirement Overview'!E:E))</f>
        <v>Talme</v>
      </c>
      <c r="E1219" s="84" t="str">
        <f>IF(ISBLANK(A1219),"",_xlfn.XLOOKUP(A1219,'Requirement Overview'!C:C,'Requirement Overview'!H:H))</f>
        <v>IT</v>
      </c>
      <c r="F1219" s="445" t="str">
        <f>IF(ISBLANK(A1219),"",_xlfn.XLOOKUP(A1219,'Requirement Overview'!C:C,'Requirement Overview'!I:I))</f>
        <v>Windows system adminstrator</v>
      </c>
      <c r="G1219" s="62" t="str">
        <f>IF(ISBLANK(A1219),"",_xlfn.XLOOKUP(A1219,'Requirement Overview'!C:C,'Requirement Overview'!G:G))</f>
        <v>EMIDS</v>
      </c>
      <c r="H1219" s="650" t="s">
        <v>4380</v>
      </c>
      <c r="I1219" s="701" t="s">
        <v>519</v>
      </c>
      <c r="J1219" s="651" t="s">
        <v>4381</v>
      </c>
      <c r="K1219" s="700">
        <v>8618650383</v>
      </c>
      <c r="L1219" s="701" t="s">
        <v>421</v>
      </c>
      <c r="M1219" s="701" t="s">
        <v>365</v>
      </c>
      <c r="N1219" s="665" t="s">
        <v>4382</v>
      </c>
      <c r="O1219" s="24" t="s">
        <v>1644</v>
      </c>
      <c r="P1219" s="701" t="s">
        <v>268</v>
      </c>
      <c r="Q1219" s="701" t="s">
        <v>268</v>
      </c>
      <c r="R1219" s="24" t="s">
        <v>374</v>
      </c>
      <c r="S1219" s="24" t="s">
        <v>375</v>
      </c>
      <c r="T1219" s="24" t="s">
        <v>103</v>
      </c>
      <c r="U1219" s="29">
        <v>46133</v>
      </c>
      <c r="V1219" s="29">
        <v>46133</v>
      </c>
      <c r="X1219" s="29">
        <v>46140</v>
      </c>
    </row>
    <row r="1220" spans="1:24" ht="15" customHeight="1">
      <c r="A1220" s="24" t="s">
        <v>35</v>
      </c>
      <c r="B1220" s="24" t="s">
        <v>340</v>
      </c>
      <c r="C1220" s="84" t="str">
        <f>IF(ISBLANK(B1220),"",_xlfn.XLOOKUP(B1220,Recruiter!A:A,Recruiter!B:B))</f>
        <v>Harshitha</v>
      </c>
      <c r="D1220" s="103" t="str">
        <f>IF(ISBLANK(A1220),"",_xlfn.XLOOKUP(A1220,'Requirement Overview'!C:C,'Requirement Overview'!E:E))</f>
        <v>Talme</v>
      </c>
      <c r="E1220" s="84" t="str">
        <f>IF(ISBLANK(A1220),"",_xlfn.XLOOKUP(A1220,'Requirement Overview'!C:C,'Requirement Overview'!H:H))</f>
        <v>IT</v>
      </c>
      <c r="F1220" s="445" t="str">
        <f>IF(ISBLANK(A1220),"",_xlfn.XLOOKUP(A1220,'Requirement Overview'!C:C,'Requirement Overview'!I:I))</f>
        <v>Windows system adminstrator</v>
      </c>
      <c r="G1220" s="62" t="str">
        <f>IF(ISBLANK(A1220),"",_xlfn.XLOOKUP(A1220,'Requirement Overview'!C:C,'Requirement Overview'!G:G))</f>
        <v>EMIDS</v>
      </c>
      <c r="H1220" s="650" t="s">
        <v>4383</v>
      </c>
      <c r="I1220" s="701" t="s">
        <v>519</v>
      </c>
      <c r="J1220" s="651" t="s">
        <v>4384</v>
      </c>
      <c r="K1220" s="700" t="s">
        <v>4385</v>
      </c>
      <c r="L1220" s="701" t="s">
        <v>305</v>
      </c>
      <c r="M1220" s="701" t="s">
        <v>768</v>
      </c>
      <c r="N1220" s="665" t="s">
        <v>4386</v>
      </c>
      <c r="O1220" s="24" t="s">
        <v>407</v>
      </c>
      <c r="P1220" s="701" t="s">
        <v>879</v>
      </c>
      <c r="Q1220" s="701" t="s">
        <v>879</v>
      </c>
      <c r="R1220" s="24" t="s">
        <v>540</v>
      </c>
      <c r="S1220" s="24" t="s">
        <v>270</v>
      </c>
      <c r="T1220" s="24" t="s">
        <v>103</v>
      </c>
      <c r="U1220" s="29">
        <v>46133</v>
      </c>
      <c r="V1220" s="29">
        <v>46133</v>
      </c>
    </row>
    <row r="1221" spans="1:24" ht="15" customHeight="1">
      <c r="A1221" s="24" t="s">
        <v>35</v>
      </c>
      <c r="B1221" s="24" t="s">
        <v>340</v>
      </c>
      <c r="C1221" s="84" t="str">
        <f>IF(ISBLANK(B1221),"",_xlfn.XLOOKUP(B1221,Recruiter!A:A,Recruiter!B:B))</f>
        <v>Harshitha</v>
      </c>
      <c r="D1221" s="103" t="str">
        <f>IF(ISBLANK(A1221),"",_xlfn.XLOOKUP(A1221,'Requirement Overview'!C:C,'Requirement Overview'!E:E))</f>
        <v>Talme</v>
      </c>
      <c r="E1221" s="84" t="str">
        <f>IF(ISBLANK(A1221),"",_xlfn.XLOOKUP(A1221,'Requirement Overview'!C:C,'Requirement Overview'!H:H))</f>
        <v>IT</v>
      </c>
      <c r="F1221" s="445" t="str">
        <f>IF(ISBLANK(A1221),"",_xlfn.XLOOKUP(A1221,'Requirement Overview'!C:C,'Requirement Overview'!I:I))</f>
        <v>Windows system adminstrator</v>
      </c>
      <c r="G1221" s="62" t="str">
        <f>IF(ISBLANK(A1221),"",_xlfn.XLOOKUP(A1221,'Requirement Overview'!C:C,'Requirement Overview'!G:G))</f>
        <v>EMIDS</v>
      </c>
      <c r="H1221" s="650" t="s">
        <v>4387</v>
      </c>
      <c r="I1221" s="701" t="s">
        <v>519</v>
      </c>
      <c r="J1221" s="651" t="s">
        <v>4388</v>
      </c>
      <c r="K1221" s="700">
        <v>7376413963</v>
      </c>
      <c r="L1221" s="701" t="s">
        <v>305</v>
      </c>
      <c r="M1221" s="701" t="s">
        <v>379</v>
      </c>
      <c r="N1221" s="665" t="s">
        <v>4389</v>
      </c>
      <c r="O1221" s="24" t="s">
        <v>4390</v>
      </c>
      <c r="P1221" s="701" t="s">
        <v>3721</v>
      </c>
      <c r="Q1221" s="701" t="s">
        <v>806</v>
      </c>
      <c r="R1221" s="24" t="s">
        <v>429</v>
      </c>
      <c r="S1221" s="24" t="s">
        <v>270</v>
      </c>
      <c r="T1221" s="24" t="s">
        <v>103</v>
      </c>
      <c r="U1221" s="29">
        <v>46133</v>
      </c>
      <c r="V1221" s="29">
        <v>46133</v>
      </c>
    </row>
    <row r="1222" spans="1:24" ht="15" customHeight="1">
      <c r="A1222" s="24" t="s">
        <v>35</v>
      </c>
      <c r="B1222" s="24" t="s">
        <v>340</v>
      </c>
      <c r="C1222" s="84" t="str">
        <f>IF(ISBLANK(B1222),"",_xlfn.XLOOKUP(B1222,Recruiter!A:A,Recruiter!B:B))</f>
        <v>Harshitha</v>
      </c>
      <c r="D1222" s="103" t="str">
        <f>IF(ISBLANK(A1222),"",_xlfn.XLOOKUP(A1222,'Requirement Overview'!C:C,'Requirement Overview'!E:E))</f>
        <v>Talme</v>
      </c>
      <c r="E1222" s="84" t="str">
        <f>IF(ISBLANK(A1222),"",_xlfn.XLOOKUP(A1222,'Requirement Overview'!C:C,'Requirement Overview'!H:H))</f>
        <v>IT</v>
      </c>
      <c r="F1222" s="445" t="str">
        <f>IF(ISBLANK(A1222),"",_xlfn.XLOOKUP(A1222,'Requirement Overview'!C:C,'Requirement Overview'!I:I))</f>
        <v>Windows system adminstrator</v>
      </c>
      <c r="G1222" s="62" t="str">
        <f>IF(ISBLANK(A1222),"",_xlfn.XLOOKUP(A1222,'Requirement Overview'!C:C,'Requirement Overview'!G:G))</f>
        <v>EMIDS</v>
      </c>
      <c r="H1222" s="650" t="s">
        <v>4391</v>
      </c>
      <c r="I1222" s="701" t="s">
        <v>3681</v>
      </c>
      <c r="J1222" s="651" t="s">
        <v>4392</v>
      </c>
      <c r="K1222" s="700">
        <v>8955918111</v>
      </c>
      <c r="L1222" s="701" t="s">
        <v>305</v>
      </c>
      <c r="M1222" s="701" t="s">
        <v>351</v>
      </c>
      <c r="N1222" s="665" t="s">
        <v>4393</v>
      </c>
      <c r="O1222" s="24" t="s">
        <v>4394</v>
      </c>
      <c r="P1222" s="701" t="s">
        <v>1309</v>
      </c>
      <c r="Q1222" s="701" t="s">
        <v>806</v>
      </c>
      <c r="R1222" s="24" t="s">
        <v>386</v>
      </c>
      <c r="S1222" s="24" t="s">
        <v>375</v>
      </c>
      <c r="T1222" s="24" t="s">
        <v>103</v>
      </c>
      <c r="U1222" s="29">
        <v>46133</v>
      </c>
      <c r="V1222" s="29">
        <v>46133</v>
      </c>
      <c r="X1222" s="29">
        <v>46140</v>
      </c>
    </row>
    <row r="1223" spans="1:24" ht="15" customHeight="1">
      <c r="A1223" s="24" t="s">
        <v>35</v>
      </c>
      <c r="B1223" s="24" t="s">
        <v>340</v>
      </c>
      <c r="C1223" s="84" t="str">
        <f>IF(ISBLANK(B1223),"",_xlfn.XLOOKUP(B1223,Recruiter!A:A,Recruiter!B:B))</f>
        <v>Harshitha</v>
      </c>
      <c r="D1223" s="103">
        <v>0</v>
      </c>
      <c r="E1223" s="84" t="str">
        <f>IF(ISBLANK(A1223),"",_xlfn.XLOOKUP(A1223,'Requirement Overview'!C:C,'Requirement Overview'!H:H))</f>
        <v>IT</v>
      </c>
      <c r="F1223" s="445" t="str">
        <f>IF(ISBLANK(A1223),"",_xlfn.XLOOKUP(A1223,'Requirement Overview'!C:C,'Requirement Overview'!I:I))</f>
        <v>Windows system adminstrator</v>
      </c>
      <c r="G1223" s="62" t="str">
        <f>IF(ISBLANK(A1223),"",_xlfn.XLOOKUP(A1223,'Requirement Overview'!C:C,'Requirement Overview'!G:G))</f>
        <v>EMIDS</v>
      </c>
      <c r="H1223" s="650" t="s">
        <v>4395</v>
      </c>
      <c r="I1223" s="701" t="s">
        <v>519</v>
      </c>
      <c r="J1223" s="651" t="s">
        <v>4396</v>
      </c>
      <c r="K1223" s="700">
        <v>9655548558</v>
      </c>
      <c r="L1223" s="701" t="s">
        <v>305</v>
      </c>
      <c r="M1223" s="701" t="s">
        <v>558</v>
      </c>
      <c r="N1223" s="665" t="s">
        <v>677</v>
      </c>
      <c r="O1223" s="24" t="s">
        <v>678</v>
      </c>
      <c r="P1223" s="701" t="s">
        <v>1128</v>
      </c>
      <c r="Q1223" s="701" t="s">
        <v>268</v>
      </c>
      <c r="R1223" s="24" t="s">
        <v>1191</v>
      </c>
      <c r="S1223" s="24" t="s">
        <v>601</v>
      </c>
      <c r="T1223" s="24" t="s">
        <v>103</v>
      </c>
      <c r="U1223" s="29">
        <v>46136</v>
      </c>
      <c r="V1223" s="29">
        <v>46136</v>
      </c>
    </row>
    <row r="1224" spans="1:24" ht="15" customHeight="1">
      <c r="A1224" s="24" t="s">
        <v>35</v>
      </c>
      <c r="B1224" s="24" t="s">
        <v>340</v>
      </c>
      <c r="C1224" s="84" t="str">
        <f>IF(ISBLANK(B1224),"",_xlfn.XLOOKUP(B1224,Recruiter!A:A,Recruiter!B:B))</f>
        <v>Harshitha</v>
      </c>
      <c r="D1224" s="103" t="str">
        <f>IF(ISBLANK(A1224),"",_xlfn.XLOOKUP(A1224,'Requirement Overview'!C:C,'Requirement Overview'!E:E))</f>
        <v>Talme</v>
      </c>
      <c r="E1224" s="84" t="str">
        <f>IF(ISBLANK(A1224),"",_xlfn.XLOOKUP(A1224,'Requirement Overview'!C:C,'Requirement Overview'!H:H))</f>
        <v>IT</v>
      </c>
      <c r="F1224" s="445" t="str">
        <f>IF(ISBLANK(A1224),"",_xlfn.XLOOKUP(A1224,'Requirement Overview'!C:C,'Requirement Overview'!I:I))</f>
        <v>Windows system adminstrator</v>
      </c>
      <c r="G1224" s="62" t="str">
        <f>IF(ISBLANK(A1224),"",_xlfn.XLOOKUP(A1224,'Requirement Overview'!C:C,'Requirement Overview'!G:G))</f>
        <v>EMIDS</v>
      </c>
      <c r="H1224" s="650" t="s">
        <v>4397</v>
      </c>
      <c r="I1224" s="701" t="s">
        <v>519</v>
      </c>
      <c r="J1224" s="651" t="s">
        <v>4398</v>
      </c>
      <c r="K1224" s="700">
        <v>9437791981</v>
      </c>
      <c r="L1224" s="701" t="s">
        <v>404</v>
      </c>
      <c r="M1224" s="701" t="s">
        <v>395</v>
      </c>
      <c r="N1224" s="665" t="s">
        <v>433</v>
      </c>
      <c r="O1224" s="24" t="s">
        <v>730</v>
      </c>
      <c r="P1224" s="701" t="s">
        <v>1676</v>
      </c>
      <c r="Q1224" s="701" t="s">
        <v>4399</v>
      </c>
      <c r="R1224" s="24" t="s">
        <v>407</v>
      </c>
      <c r="S1224" s="24" t="s">
        <v>601</v>
      </c>
      <c r="T1224" s="24" t="s">
        <v>103</v>
      </c>
      <c r="U1224" s="29">
        <v>46136</v>
      </c>
      <c r="V1224" s="29">
        <v>46136</v>
      </c>
    </row>
    <row r="1225" spans="1:24" ht="15" customHeight="1">
      <c r="A1225" s="24" t="s">
        <v>35</v>
      </c>
      <c r="B1225" s="24" t="s">
        <v>340</v>
      </c>
      <c r="C1225" s="84" t="str">
        <f>IF(ISBLANK(B1225),"",_xlfn.XLOOKUP(B1225,Recruiter!A:A,Recruiter!B:B))</f>
        <v>Harshitha</v>
      </c>
      <c r="D1225" s="103" t="str">
        <f>IF(ISBLANK(A1225),"",_xlfn.XLOOKUP(A1225,'Requirement Overview'!C:C,'Requirement Overview'!E:E))</f>
        <v>Talme</v>
      </c>
      <c r="E1225" s="84" t="str">
        <f>IF(ISBLANK(A1225),"",_xlfn.XLOOKUP(A1225,'Requirement Overview'!C:C,'Requirement Overview'!H:H))</f>
        <v>IT</v>
      </c>
      <c r="F1225" s="445" t="str">
        <f>IF(ISBLANK(A1225),"",_xlfn.XLOOKUP(A1225,'Requirement Overview'!C:C,'Requirement Overview'!I:I))</f>
        <v>Windows system adminstrator</v>
      </c>
      <c r="G1225" s="62" t="str">
        <f>IF(ISBLANK(A1225),"",_xlfn.XLOOKUP(A1225,'Requirement Overview'!C:C,'Requirement Overview'!G:G))</f>
        <v>EMIDS</v>
      </c>
      <c r="H1225" s="650" t="s">
        <v>387</v>
      </c>
      <c r="I1225" s="701" t="s">
        <v>519</v>
      </c>
      <c r="J1225" s="651" t="s">
        <v>388</v>
      </c>
      <c r="K1225" s="700">
        <v>7799560844</v>
      </c>
      <c r="L1225" s="701" t="s">
        <v>389</v>
      </c>
      <c r="M1225" s="701" t="s">
        <v>365</v>
      </c>
      <c r="N1225" s="691" t="s">
        <v>4400</v>
      </c>
      <c r="O1225" s="24" t="s">
        <v>392</v>
      </c>
      <c r="P1225" s="701" t="s">
        <v>879</v>
      </c>
      <c r="Q1225" s="701" t="s">
        <v>879</v>
      </c>
      <c r="R1225" s="24" t="s">
        <v>374</v>
      </c>
      <c r="S1225" s="24" t="s">
        <v>601</v>
      </c>
      <c r="T1225" s="24" t="s">
        <v>103</v>
      </c>
      <c r="U1225" s="29">
        <v>46136</v>
      </c>
      <c r="V1225" s="29">
        <v>46136</v>
      </c>
    </row>
    <row r="1226" spans="1:24" ht="15" customHeight="1">
      <c r="A1226" s="24" t="s">
        <v>35</v>
      </c>
      <c r="B1226" s="24" t="s">
        <v>340</v>
      </c>
      <c r="C1226" s="84" t="str">
        <f>IF(ISBLANK(B1226),"",_xlfn.XLOOKUP(B1226,Recruiter!A:A,Recruiter!B:B))</f>
        <v>Harshitha</v>
      </c>
      <c r="D1226" s="103" t="str">
        <f>IF(ISBLANK(A1226),"",_xlfn.XLOOKUP(A1226,'Requirement Overview'!C:C,'Requirement Overview'!E:E))</f>
        <v>Talme</v>
      </c>
      <c r="E1226" s="84" t="str">
        <f>IF(ISBLANK(A1226),"",_xlfn.XLOOKUP(A1226,'Requirement Overview'!C:C,'Requirement Overview'!H:H))</f>
        <v>IT</v>
      </c>
      <c r="F1226" s="445" t="str">
        <f>IF(ISBLANK(A1226),"",_xlfn.XLOOKUP(A1226,'Requirement Overview'!C:C,'Requirement Overview'!I:I))</f>
        <v>Windows system adminstrator</v>
      </c>
      <c r="G1226" s="62" t="str">
        <f>IF(ISBLANK(A1226),"",_xlfn.XLOOKUP(A1226,'Requirement Overview'!C:C,'Requirement Overview'!G:G))</f>
        <v>EMIDS</v>
      </c>
      <c r="H1226" s="650" t="s">
        <v>4401</v>
      </c>
      <c r="I1226" s="701" t="s">
        <v>519</v>
      </c>
      <c r="J1226" s="651" t="s">
        <v>4402</v>
      </c>
      <c r="K1226" s="700" t="s">
        <v>4403</v>
      </c>
      <c r="L1226" s="701" t="s">
        <v>421</v>
      </c>
      <c r="M1226" s="701" t="s">
        <v>390</v>
      </c>
      <c r="N1226" s="665" t="s">
        <v>3559</v>
      </c>
      <c r="O1226" s="24" t="s">
        <v>1583</v>
      </c>
      <c r="P1226" s="701" t="s">
        <v>569</v>
      </c>
      <c r="Q1226" s="701" t="s">
        <v>1557</v>
      </c>
      <c r="R1226" s="24" t="s">
        <v>589</v>
      </c>
      <c r="S1226" s="24" t="s">
        <v>601</v>
      </c>
      <c r="T1226" s="24" t="s">
        <v>103</v>
      </c>
      <c r="U1226" s="29">
        <v>46136</v>
      </c>
      <c r="V1226" s="29">
        <v>46136</v>
      </c>
    </row>
    <row r="1227" spans="1:24" ht="15" customHeight="1">
      <c r="A1227" s="24" t="s">
        <v>35</v>
      </c>
      <c r="B1227" s="24" t="s">
        <v>340</v>
      </c>
      <c r="C1227" s="84" t="str">
        <f>IF(ISBLANK(B1227),"",_xlfn.XLOOKUP(B1227,Recruiter!A:A,Recruiter!B:B))</f>
        <v>Harshitha</v>
      </c>
      <c r="D1227" s="103" t="str">
        <f>IF(ISBLANK(A1227),"",_xlfn.XLOOKUP(A1227,'Requirement Overview'!C:C,'Requirement Overview'!E:E))</f>
        <v>Talme</v>
      </c>
      <c r="E1227" s="84" t="str">
        <f>IF(ISBLANK(A1227),"",_xlfn.XLOOKUP(A1227,'Requirement Overview'!C:C,'Requirement Overview'!H:H))</f>
        <v>IT</v>
      </c>
      <c r="F1227" s="445" t="str">
        <f>IF(ISBLANK(A1227),"",_xlfn.XLOOKUP(A1227,'Requirement Overview'!C:C,'Requirement Overview'!I:I))</f>
        <v>Windows system adminstrator</v>
      </c>
      <c r="G1227" s="62" t="str">
        <f>IF(ISBLANK(A1227),"",_xlfn.XLOOKUP(A1227,'Requirement Overview'!C:C,'Requirement Overview'!G:G))</f>
        <v>EMIDS</v>
      </c>
      <c r="H1227" s="650" t="s">
        <v>4404</v>
      </c>
      <c r="I1227" s="701" t="s">
        <v>519</v>
      </c>
      <c r="J1227" s="651" t="s">
        <v>4405</v>
      </c>
      <c r="K1227" s="700">
        <v>7013992012</v>
      </c>
      <c r="L1227" s="701" t="s">
        <v>305</v>
      </c>
      <c r="M1227" s="701" t="s">
        <v>379</v>
      </c>
      <c r="N1227" s="665" t="s">
        <v>4406</v>
      </c>
      <c r="O1227" s="24" t="s">
        <v>407</v>
      </c>
      <c r="P1227" s="701" t="s">
        <v>879</v>
      </c>
      <c r="Q1227" s="701" t="s">
        <v>879</v>
      </c>
      <c r="R1227" s="24" t="s">
        <v>386</v>
      </c>
      <c r="S1227" s="24" t="s">
        <v>601</v>
      </c>
      <c r="T1227" s="24" t="s">
        <v>103</v>
      </c>
      <c r="U1227" s="29">
        <v>46136</v>
      </c>
      <c r="V1227" s="29">
        <v>46136</v>
      </c>
    </row>
    <row r="1228" spans="1:24" ht="15" customHeight="1">
      <c r="A1228" s="24" t="s">
        <v>35</v>
      </c>
      <c r="B1228" s="24" t="s">
        <v>340</v>
      </c>
      <c r="C1228" s="84" t="str">
        <f>IF(ISBLANK(B1228),"",_xlfn.XLOOKUP(B1228,Recruiter!A:A,Recruiter!B:B))</f>
        <v>Harshitha</v>
      </c>
      <c r="D1228" s="103" t="str">
        <f>IF(ISBLANK(A1228),"",_xlfn.XLOOKUP(A1228,'Requirement Overview'!C:C,'Requirement Overview'!E:E))</f>
        <v>Talme</v>
      </c>
      <c r="E1228" s="84" t="str">
        <f>IF(ISBLANK(A1228),"",_xlfn.XLOOKUP(A1228,'Requirement Overview'!C:C,'Requirement Overview'!H:H))</f>
        <v>IT</v>
      </c>
      <c r="F1228" s="445" t="str">
        <f>IF(ISBLANK(A1228),"",_xlfn.XLOOKUP(A1228,'Requirement Overview'!C:C,'Requirement Overview'!I:I))</f>
        <v>Windows system adminstrator</v>
      </c>
      <c r="G1228" s="62" t="str">
        <f>IF(ISBLANK(A1228),"",_xlfn.XLOOKUP(A1228,'Requirement Overview'!C:C,'Requirement Overview'!G:G))</f>
        <v>EMIDS</v>
      </c>
      <c r="H1228" s="650" t="s">
        <v>4407</v>
      </c>
      <c r="I1228" s="701" t="s">
        <v>519</v>
      </c>
      <c r="J1228" s="651" t="s">
        <v>4408</v>
      </c>
      <c r="K1228" s="700">
        <v>7896349080</v>
      </c>
      <c r="L1228" s="701" t="s">
        <v>305</v>
      </c>
      <c r="M1228" s="701" t="s">
        <v>395</v>
      </c>
      <c r="N1228" s="691" t="s">
        <v>4409</v>
      </c>
      <c r="O1228" s="24" t="s">
        <v>434</v>
      </c>
      <c r="P1228" s="701" t="s">
        <v>4410</v>
      </c>
      <c r="Q1228" s="701" t="s">
        <v>268</v>
      </c>
      <c r="R1228" s="24" t="s">
        <v>386</v>
      </c>
      <c r="S1228" s="24" t="s">
        <v>601</v>
      </c>
      <c r="T1228" s="24" t="s">
        <v>103</v>
      </c>
      <c r="U1228" s="29">
        <v>46136</v>
      </c>
      <c r="V1228" s="29">
        <v>46136</v>
      </c>
    </row>
    <row r="1229" spans="1:24" ht="15" customHeight="1">
      <c r="C1229" s="84" t="str">
        <f>IF(ISBLANK(B1229),"",_xlfn.XLOOKUP(B1229,Recruiter!A:A,Recruiter!B:B))</f>
        <v/>
      </c>
      <c r="D1229" s="103" t="str">
        <f>IF(ISBLANK(A1229),"",_xlfn.XLOOKUP(A1229,'Requirement Overview'!C:C,'Requirement Overview'!E:E))</f>
        <v/>
      </c>
      <c r="E1229" s="84" t="str">
        <f>IF(ISBLANK(A1229),"",_xlfn.XLOOKUP(A1229,'Requirement Overview'!C:C,'Requirement Overview'!H:H))</f>
        <v/>
      </c>
      <c r="F1229" s="445" t="str">
        <f>IF(ISBLANK(A1229),"",_xlfn.XLOOKUP(A1229,'Requirement Overview'!C:C,'Requirement Overview'!I:I))</f>
        <v/>
      </c>
      <c r="G1229" s="62" t="str">
        <f>IF(ISBLANK(A1229),"",_xlfn.XLOOKUP(A1229,'Requirement Overview'!C:C,'Requirement Overview'!G:G))</f>
        <v/>
      </c>
    </row>
    <row r="1230" spans="1:24" ht="15" customHeight="1">
      <c r="C1230" s="84" t="str">
        <f>IF(ISBLANK(B1230),"",_xlfn.XLOOKUP(B1230,Recruiter!A:A,Recruiter!B:B))</f>
        <v/>
      </c>
      <c r="D1230" s="103" t="str">
        <f>IF(ISBLANK(A1230),"",_xlfn.XLOOKUP(A1230,'Requirement Overview'!C:C,'Requirement Overview'!E:E))</f>
        <v/>
      </c>
      <c r="E1230" s="84" t="str">
        <f>IF(ISBLANK(A1230),"",_xlfn.XLOOKUP(A1230,'Requirement Overview'!C:C,'Requirement Overview'!H:H))</f>
        <v/>
      </c>
      <c r="F1230" s="445" t="str">
        <f>IF(ISBLANK(A1230),"",_xlfn.XLOOKUP(A1230,'Requirement Overview'!C:C,'Requirement Overview'!I:I))</f>
        <v/>
      </c>
      <c r="G1230" s="62" t="str">
        <f>IF(ISBLANK(A1230),"",_xlfn.XLOOKUP(A1230,'Requirement Overview'!C:C,'Requirement Overview'!G:G))</f>
        <v/>
      </c>
    </row>
    <row r="1231" spans="1:24" ht="15" customHeight="1">
      <c r="C1231" s="84" t="str">
        <f>IF(ISBLANK(B1231),"",_xlfn.XLOOKUP(B1231,Recruiter!A:A,Recruiter!B:B))</f>
        <v/>
      </c>
      <c r="D1231" s="103" t="str">
        <f>IF(ISBLANK(A1231),"",_xlfn.XLOOKUP(A1231,'Requirement Overview'!C:C,'Requirement Overview'!E:E))</f>
        <v/>
      </c>
      <c r="E1231" s="84" t="str">
        <f>IF(ISBLANK(A1231),"",_xlfn.XLOOKUP(A1231,'Requirement Overview'!C:C,'Requirement Overview'!H:H))</f>
        <v/>
      </c>
      <c r="F1231" s="445" t="str">
        <f>IF(ISBLANK(A1231),"",_xlfn.XLOOKUP(A1231,'Requirement Overview'!C:C,'Requirement Overview'!I:I))</f>
        <v/>
      </c>
      <c r="G1231" s="62" t="str">
        <f>IF(ISBLANK(A1231),"",_xlfn.XLOOKUP(A1231,'Requirement Overview'!C:C,'Requirement Overview'!G:G))</f>
        <v/>
      </c>
    </row>
    <row r="1232" spans="1:24" ht="15" customHeight="1">
      <c r="C1232" s="84" t="str">
        <f>IF(ISBLANK(B1232),"",_xlfn.XLOOKUP(B1232,Recruiter!A:A,Recruiter!B:B))</f>
        <v/>
      </c>
      <c r="D1232" s="103" t="str">
        <f>IF(ISBLANK(A1232),"",_xlfn.XLOOKUP(A1232,'Requirement Overview'!C:C,'Requirement Overview'!E:E))</f>
        <v/>
      </c>
      <c r="E1232" s="84" t="str">
        <f>IF(ISBLANK(A1232),"",_xlfn.XLOOKUP(A1232,'Requirement Overview'!C:C,'Requirement Overview'!H:H))</f>
        <v/>
      </c>
      <c r="F1232" s="445" t="str">
        <f>IF(ISBLANK(A1232),"",_xlfn.XLOOKUP(A1232,'Requirement Overview'!C:C,'Requirement Overview'!I:I))</f>
        <v/>
      </c>
      <c r="G1232" s="62" t="str">
        <f>IF(ISBLANK(A1232),"",_xlfn.XLOOKUP(A1232,'Requirement Overview'!C:C,'Requirement Overview'!G:G))</f>
        <v/>
      </c>
    </row>
    <row r="1233" spans="3:7" ht="15" customHeight="1">
      <c r="C1233" s="84" t="str">
        <f>IF(ISBLANK(B1233),"",_xlfn.XLOOKUP(B1233,Recruiter!A:A,Recruiter!B:B))</f>
        <v/>
      </c>
      <c r="D1233" s="103" t="str">
        <f>IF(ISBLANK(A1233),"",_xlfn.XLOOKUP(A1233,'Requirement Overview'!C:C,'Requirement Overview'!E:E))</f>
        <v/>
      </c>
      <c r="E1233" s="84" t="str">
        <f>IF(ISBLANK(A1233),"",_xlfn.XLOOKUP(A1233,'Requirement Overview'!C:C,'Requirement Overview'!H:H))</f>
        <v/>
      </c>
      <c r="F1233" s="445" t="str">
        <f>IF(ISBLANK(A1233),"",_xlfn.XLOOKUP(A1233,'Requirement Overview'!C:C,'Requirement Overview'!I:I))</f>
        <v/>
      </c>
      <c r="G1233" s="62" t="str">
        <f>IF(ISBLANK(A1233),"",_xlfn.XLOOKUP(A1233,'Requirement Overview'!C:C,'Requirement Overview'!G:G))</f>
        <v/>
      </c>
    </row>
    <row r="1234" spans="3:7" ht="15" customHeight="1">
      <c r="C1234" s="84" t="str">
        <f>IF(ISBLANK(B1234),"",_xlfn.XLOOKUP(B1234,Recruiter!A:A,Recruiter!B:B))</f>
        <v/>
      </c>
      <c r="D1234" s="103" t="str">
        <f>IF(ISBLANK(A1234),"",_xlfn.XLOOKUP(A1234,'Requirement Overview'!C:C,'Requirement Overview'!E:E))</f>
        <v/>
      </c>
      <c r="E1234" s="84" t="str">
        <f>IF(ISBLANK(A1234),"",_xlfn.XLOOKUP(A1234,'Requirement Overview'!C:C,'Requirement Overview'!H:H))</f>
        <v/>
      </c>
      <c r="F1234" s="445" t="str">
        <f>IF(ISBLANK(A1234),"",_xlfn.XLOOKUP(A1234,'Requirement Overview'!C:C,'Requirement Overview'!I:I))</f>
        <v/>
      </c>
      <c r="G1234" s="62" t="str">
        <f>IF(ISBLANK(A1234),"",_xlfn.XLOOKUP(A1234,'Requirement Overview'!C:C,'Requirement Overview'!G:G))</f>
        <v/>
      </c>
    </row>
    <row r="1235" spans="3:7" ht="15" customHeight="1">
      <c r="C1235" s="84" t="str">
        <f>IF(ISBLANK(B1235),"",_xlfn.XLOOKUP(B1235,Recruiter!A:A,Recruiter!B:B))</f>
        <v/>
      </c>
      <c r="D1235" s="103" t="str">
        <f>IF(ISBLANK(A1235),"",_xlfn.XLOOKUP(A1235,'Requirement Overview'!C:C,'Requirement Overview'!E:E))</f>
        <v/>
      </c>
      <c r="E1235" s="84" t="str">
        <f>IF(ISBLANK(A1235),"",_xlfn.XLOOKUP(A1235,'Requirement Overview'!C:C,'Requirement Overview'!H:H))</f>
        <v/>
      </c>
      <c r="F1235" s="445" t="str">
        <f>IF(ISBLANK(A1235),"",_xlfn.XLOOKUP(A1235,'Requirement Overview'!C:C,'Requirement Overview'!I:I))</f>
        <v/>
      </c>
      <c r="G1235" s="62" t="str">
        <f>IF(ISBLANK(A1235),"",_xlfn.XLOOKUP(A1235,'Requirement Overview'!C:C,'Requirement Overview'!G:G))</f>
        <v/>
      </c>
    </row>
    <row r="1236" spans="3:7" ht="15" customHeight="1">
      <c r="C1236" s="84" t="str">
        <f>IF(ISBLANK(B1236),"",_xlfn.XLOOKUP(B1236,Recruiter!A:A,Recruiter!B:B))</f>
        <v/>
      </c>
      <c r="D1236" s="103" t="str">
        <f>IF(ISBLANK(A1236),"",_xlfn.XLOOKUP(A1236,'Requirement Overview'!C:C,'Requirement Overview'!E:E))</f>
        <v/>
      </c>
      <c r="E1236" s="84" t="str">
        <f>IF(ISBLANK(A1236),"",_xlfn.XLOOKUP(A1236,'Requirement Overview'!C:C,'Requirement Overview'!H:H))</f>
        <v/>
      </c>
      <c r="F1236" s="445" t="str">
        <f>IF(ISBLANK(A1236),"",_xlfn.XLOOKUP(A1236,'Requirement Overview'!C:C,'Requirement Overview'!I:I))</f>
        <v/>
      </c>
      <c r="G1236" s="62" t="str">
        <f>IF(ISBLANK(A1236),"",_xlfn.XLOOKUP(A1236,'Requirement Overview'!C:C,'Requirement Overview'!G:G))</f>
        <v/>
      </c>
    </row>
    <row r="1237" spans="3:7" ht="15" customHeight="1">
      <c r="C1237" s="84" t="str">
        <f>IF(ISBLANK(B1237),"",_xlfn.XLOOKUP(B1237,Recruiter!A:A,Recruiter!B:B))</f>
        <v/>
      </c>
      <c r="D1237" s="103" t="str">
        <f>IF(ISBLANK(A1237),"",_xlfn.XLOOKUP(A1237,'Requirement Overview'!C:C,'Requirement Overview'!E:E))</f>
        <v/>
      </c>
      <c r="E1237" s="84" t="str">
        <f>IF(ISBLANK(A1237),"",_xlfn.XLOOKUP(A1237,'Requirement Overview'!C:C,'Requirement Overview'!H:H))</f>
        <v/>
      </c>
      <c r="F1237" s="445" t="str">
        <f>IF(ISBLANK(A1237),"",_xlfn.XLOOKUP(A1237,'Requirement Overview'!C:C,'Requirement Overview'!I:I))</f>
        <v/>
      </c>
      <c r="G1237" s="62" t="str">
        <f>IF(ISBLANK(A1237),"",_xlfn.XLOOKUP(A1237,'Requirement Overview'!C:C,'Requirement Overview'!G:G))</f>
        <v/>
      </c>
    </row>
    <row r="1238" spans="3:7" ht="15" customHeight="1">
      <c r="C1238" s="84" t="str">
        <f>IF(ISBLANK(B1238),"",_xlfn.XLOOKUP(B1238,Recruiter!A:A,Recruiter!B:B))</f>
        <v/>
      </c>
      <c r="D1238" s="103" t="str">
        <f>IF(ISBLANK(A1238),"",_xlfn.XLOOKUP(A1238,'Requirement Overview'!C:C,'Requirement Overview'!E:E))</f>
        <v/>
      </c>
      <c r="E1238" s="84" t="str">
        <f>IF(ISBLANK(A1238),"",_xlfn.XLOOKUP(A1238,'Requirement Overview'!C:C,'Requirement Overview'!H:H))</f>
        <v/>
      </c>
      <c r="F1238" s="445" t="str">
        <f>IF(ISBLANK(A1238),"",_xlfn.XLOOKUP(A1238,'Requirement Overview'!C:C,'Requirement Overview'!I:I))</f>
        <v/>
      </c>
      <c r="G1238" s="62" t="str">
        <f>IF(ISBLANK(A1238),"",_xlfn.XLOOKUP(A1238,'Requirement Overview'!C:C,'Requirement Overview'!G:G))</f>
        <v/>
      </c>
    </row>
    <row r="1239" spans="3:7" ht="15" customHeight="1">
      <c r="C1239" s="84" t="str">
        <f>IF(ISBLANK(B1239),"",_xlfn.XLOOKUP(B1239,Recruiter!A:A,Recruiter!B:B))</f>
        <v/>
      </c>
      <c r="D1239" s="103" t="str">
        <f>IF(ISBLANK(A1239),"",_xlfn.XLOOKUP(A1239,'Requirement Overview'!C:C,'Requirement Overview'!E:E))</f>
        <v/>
      </c>
      <c r="E1239" s="84" t="str">
        <f>IF(ISBLANK(A1239),"",_xlfn.XLOOKUP(A1239,'Requirement Overview'!C:C,'Requirement Overview'!H:H))</f>
        <v/>
      </c>
      <c r="F1239" s="445" t="str">
        <f>IF(ISBLANK(A1239),"",_xlfn.XLOOKUP(A1239,'Requirement Overview'!C:C,'Requirement Overview'!I:I))</f>
        <v/>
      </c>
      <c r="G1239" s="62" t="str">
        <f>IF(ISBLANK(A1239),"",_xlfn.XLOOKUP(A1239,'Requirement Overview'!C:C,'Requirement Overview'!G:G))</f>
        <v/>
      </c>
    </row>
    <row r="1240" spans="3:7" ht="15" customHeight="1">
      <c r="D1240" s="103" t="str">
        <f>IF(ISBLANK(A1240),"",_xlfn.XLOOKUP(A1240,'Requirement Overview'!C:C,'Requirement Overview'!E:E))</f>
        <v/>
      </c>
      <c r="E1240" s="84" t="str">
        <f>IF(ISBLANK(A1240),"",_xlfn.XLOOKUP(A1240,'Requirement Overview'!C:C,'Requirement Overview'!H:H))</f>
        <v/>
      </c>
      <c r="F1240" s="445" t="str">
        <f>IF(ISBLANK(A1240),"",_xlfn.XLOOKUP(A1240,'Requirement Overview'!C:C,'Requirement Overview'!I:I))</f>
        <v/>
      </c>
      <c r="G1240" s="62" t="str">
        <f>IF(ISBLANK(A1240),"",_xlfn.XLOOKUP(A1240,'Requirement Overview'!C:C,'Requirement Overview'!G:G))</f>
        <v/>
      </c>
    </row>
    <row r="1241" spans="3:7" ht="15" customHeight="1">
      <c r="D1241" s="103" t="str">
        <f>IF(ISBLANK(A1241),"",_xlfn.XLOOKUP(A1241,'Requirement Overview'!C:C,'Requirement Overview'!E:E))</f>
        <v/>
      </c>
      <c r="E1241" s="84" t="str">
        <f>IF(ISBLANK(A1241),"",_xlfn.XLOOKUP(A1241,'Requirement Overview'!C:C,'Requirement Overview'!H:H))</f>
        <v/>
      </c>
      <c r="F1241" s="445" t="str">
        <f>IF(ISBLANK(A1241),"",_xlfn.XLOOKUP(A1241,'Requirement Overview'!C:C,'Requirement Overview'!I:I))</f>
        <v/>
      </c>
    </row>
    <row r="1242" spans="3:7" ht="15" customHeight="1">
      <c r="D1242" s="103" t="str">
        <f>IF(ISBLANK(A1242),"",_xlfn.XLOOKUP(A1242,'Requirement Overview'!C:C,'Requirement Overview'!E:E))</f>
        <v/>
      </c>
      <c r="E1242" s="84" t="str">
        <f>IF(ISBLANK(A1242),"",_xlfn.XLOOKUP(A1242,'Requirement Overview'!C:C,'Requirement Overview'!H:H))</f>
        <v/>
      </c>
      <c r="F1242" s="445" t="str">
        <f>IF(ISBLANK(A1242),"",_xlfn.XLOOKUP(A1242,'Requirement Overview'!C:C,'Requirement Overview'!I:I))</f>
        <v/>
      </c>
    </row>
    <row r="1243" spans="3:7" ht="15" customHeight="1">
      <c r="E1243" s="84" t="str">
        <f>IF(ISBLANK(A1243),"",_xlfn.XLOOKUP(A1243,'Requirement Overview'!C:C,'Requirement Overview'!H:H))</f>
        <v/>
      </c>
      <c r="F1243" s="445" t="str">
        <f>IF(ISBLANK(A1243),"",_xlfn.XLOOKUP(A1243,'Requirement Overview'!C:C,'Requirement Overview'!I:I))</f>
        <v/>
      </c>
    </row>
    <row r="1244" spans="3:7" ht="15" customHeight="1">
      <c r="E1244" s="84" t="str">
        <f>IF(ISBLANK(A1244),"",_xlfn.XLOOKUP(A1244,'Requirement Overview'!C:C,'Requirement Overview'!H:H))</f>
        <v/>
      </c>
      <c r="F1244" s="445" t="str">
        <f>IF(ISBLANK(A1244),"",_xlfn.XLOOKUP(A1244,'Requirement Overview'!C:C,'Requirement Overview'!I:I))</f>
        <v/>
      </c>
    </row>
    <row r="1048492" spans="43:43" ht="14.45">
      <c r="AQ1048492" s="29"/>
    </row>
  </sheetData>
  <autoFilter ref="A1:AD1193" xr:uid="{EFDB9CE6-E515-4F98-A004-45BDAADDFD9A}"/>
  <phoneticPr fontId="83" type="noConversion"/>
  <dataValidations count="1">
    <dataValidation type="date" allowBlank="1" showInputMessage="1" showErrorMessage="1" sqref="U2:U401 V2:V529 U403:U529 X2:X529 V546:V547 AQ2:AQ731 AB420:AB731 AJ2:AM731 AF2:AF731 X534:X731 AB2:AB418 AO2:AO731 AJ735:AM1128 AQ735:AQ1128 X735:X1128 AF735:AF1128 AO735:AO1128 AB735:AB1128 AJ1130:AM1048576 AB1130:AB1048576 AO1130:AO1048576 AF1130:AF1048576 X1130:X1048576 AQ1130:AQ1048576 U551:V1048576" xr:uid="{EB33E7CE-BE01-49CF-8625-E830DCC60894}">
      <formula1>46023</formula1>
      <formula2>46753</formula2>
    </dataValidation>
  </dataValidations>
  <hyperlinks>
    <hyperlink ref="J24" r:id="rId1" xr:uid="{3ACB0C5D-6F64-4113-86FE-E450B81A4524}"/>
    <hyperlink ref="J25" r:id="rId2" xr:uid="{4C7E207D-A22C-4B3B-9347-D1B40DDB7D71}"/>
    <hyperlink ref="J26" r:id="rId3" xr:uid="{9D79051B-8489-4FE4-8575-1D4F370C26A8}"/>
    <hyperlink ref="J16" r:id="rId4" xr:uid="{05690A6A-3DBA-42DC-9678-C040FDD2F476}"/>
    <hyperlink ref="J28" r:id="rId5" xr:uid="{9EA33725-B2DA-4A27-A0EF-8C0BFCE1AEC1}"/>
    <hyperlink ref="J29" r:id="rId6" xr:uid="{35F09905-8A2F-4098-80D0-36E5E3E4AC2A}"/>
    <hyperlink ref="J27" r:id="rId7" xr:uid="{6D807F0E-262E-4BF2-9829-52FD412DEDF7}"/>
    <hyperlink ref="J30" r:id="rId8" xr:uid="{5CB9DACF-085B-4B14-A15D-BD22EC2E30FE}"/>
    <hyperlink ref="J31" r:id="rId9" xr:uid="{AE4EC615-8EE8-437D-9AF6-AD67E07769BA}"/>
    <hyperlink ref="J32" r:id="rId10" xr:uid="{1F60323C-4464-4FA8-BDB7-2CF79164DD95}"/>
    <hyperlink ref="J34" r:id="rId11" xr:uid="{A8B0C059-69B6-4744-BF7D-59066A547316}"/>
    <hyperlink ref="J33" r:id="rId12" xr:uid="{D35C79DF-4B3D-4F6F-9458-EAF819D22C36}"/>
    <hyperlink ref="J53" r:id="rId13" xr:uid="{18C16AD3-69BF-426C-8719-1B54B8A11F7B}"/>
    <hyperlink ref="J54" r:id="rId14" xr:uid="{82726495-2BDC-4218-BE79-0A85B8DF9C77}"/>
    <hyperlink ref="J55" r:id="rId15" xr:uid="{8A1C4394-6516-4550-BFD7-350A99422522}"/>
    <hyperlink ref="L71" r:id="rId16" display="km.manjunath.krishna21@gmail.com" xr:uid="{8EE3DBB1-C507-4C9B-A5A5-C7F9FB40B874}"/>
    <hyperlink ref="J72" r:id="rId17" xr:uid="{9A45A4FF-E0CB-43FC-A58B-F2D341F2A7A2}"/>
    <hyperlink ref="J74" r:id="rId18" xr:uid="{DB94E0DA-FEE0-4775-98EE-57F28D4E6767}"/>
    <hyperlink ref="J75" r:id="rId19" xr:uid="{B7B6B0A4-985B-48CE-A454-D52DE12EA09A}"/>
    <hyperlink ref="J76" r:id="rId20" xr:uid="{998D9D5A-3A4A-4DBD-B214-A19540E81986}"/>
    <hyperlink ref="J77" r:id="rId21" xr:uid="{28C44D93-A6BE-4C99-AD26-45D073528F63}"/>
    <hyperlink ref="J78" r:id="rId22" xr:uid="{1320AB28-4FEE-4C5D-BD4D-5DB8A3A8EC30}"/>
    <hyperlink ref="J90" r:id="rId23" xr:uid="{6F37C399-0B21-4A06-A234-4C5545ED87FD}"/>
    <hyperlink ref="J91" r:id="rId24" xr:uid="{9CAFBC11-C7A0-4C70-919F-C64A924D79CD}"/>
    <hyperlink ref="J92" r:id="rId25" xr:uid="{01764CDC-E7F4-4895-9F16-EE5D3570BEF6}"/>
    <hyperlink ref="J93" r:id="rId26" xr:uid="{B7EFAD2D-5421-4562-BD30-4AA4F6467613}"/>
    <hyperlink ref="J99" r:id="rId27" xr:uid="{04319204-47CB-4DDE-BCE2-32B4232AF6DA}"/>
    <hyperlink ref="J82" r:id="rId28" xr:uid="{8E91F52C-11C1-449A-9F5E-665246E23BDA}"/>
    <hyperlink ref="J83" r:id="rId29" xr:uid="{750B2BAF-F357-4525-8EB7-1AFCD2C3976A}"/>
    <hyperlink ref="J87" r:id="rId30" xr:uid="{3A25A06F-125D-4801-8BC2-F33E34A04700}"/>
    <hyperlink ref="J88" r:id="rId31" xr:uid="{BCC07F37-D6D2-40AF-B2F2-196A855C2F10}"/>
    <hyperlink ref="J89" r:id="rId32" xr:uid="{9F49725F-A21B-4A9F-AEFB-F6F163F4571E}"/>
    <hyperlink ref="J105" r:id="rId33" display="mailto:padamati.sathish@gmail.com" xr:uid="{755190BB-59F0-47D1-814B-99C3999416D9}"/>
    <hyperlink ref="J106" r:id="rId34" display="mailto:vimalsatna87@gmail.com" xr:uid="{4B81870F-E484-447E-A80F-12FCCD663C53}"/>
    <hyperlink ref="J107" r:id="rId35" display="mailto:jbiswas365@gmail.com" xr:uid="{CFB79115-F65A-43F8-909D-7B59FC349B2C}"/>
    <hyperlink ref="J108" r:id="rId36" display="mailto:nagendradeva999@gmail.com" xr:uid="{B9BEA53C-F9C7-4483-85E7-6657D3CD1454}"/>
    <hyperlink ref="J109" r:id="rId37" display="mailto:aniteshstuf@gmail.com" xr:uid="{E3830AA4-18A2-456E-AFBA-738C1D858E70}"/>
    <hyperlink ref="J110" r:id="rId38" display="mailto:gangalajyoshna99@gmail.com" xr:uid="{7C675855-A958-46DF-BEDA-430AD4267168}"/>
    <hyperlink ref="J111" r:id="rId39" display="mailto:arulseenu5@gmail.com" xr:uid="{916E4F61-579D-4A49-A15E-7210413F23CF}"/>
    <hyperlink ref="J112" r:id="rId40" xr:uid="{1747ECE2-4FE4-4B6A-9459-5C14519221F0}"/>
    <hyperlink ref="J113" r:id="rId41" display="mailto:samriddhisingh14@gmail.com" xr:uid="{107A6A3C-792A-4910-81FF-5744B79A112D}"/>
    <hyperlink ref="J114" r:id="rId42" display="mailto:pruthvimanjunath7@gmail.com" xr:uid="{9F5A9B92-87EE-4736-A4E2-A5F395234440}"/>
    <hyperlink ref="J118" r:id="rId43" xr:uid="{EAADD0E7-9C51-4C07-95A9-9B71FD30A2F6}"/>
    <hyperlink ref="J121" r:id="rId44" display="mailto:prakashmari91@gmail.com" xr:uid="{33D964D0-37D6-4E9E-8CEB-B04C8F685EE6}"/>
    <hyperlink ref="J122" r:id="rId45" display="mailto:mallikarjun002hiremath@gmail,com" xr:uid="{19AB1D66-7984-4446-A923-5DBDADF2E037}"/>
    <hyperlink ref="J123" r:id="rId46" display="mailto:praveenpj1994@gmail.com" xr:uid="{4E28410D-9DC4-4C33-82DE-53B4D0BE8DA7}"/>
    <hyperlink ref="J124" r:id="rId47" display="mailto:orasaravana@gmail.com" xr:uid="{32DF3CE6-01D8-42E1-985F-BA754E456B65}"/>
    <hyperlink ref="J125" r:id="rId48" display="mailto:manjunath560091@gmail.com" xr:uid="{67493BBB-B355-489E-8B43-EA5793FDFCA1}"/>
    <hyperlink ref="J126" r:id="rId49" display="mailto:salmankhan.farsi09@gmail.com" xr:uid="{04568B1E-0C8B-4123-8769-DE4F2823C493}"/>
    <hyperlink ref="J127" r:id="rId50" xr:uid="{74878E52-456A-4884-9FD5-C1A6D0EBABB7}"/>
    <hyperlink ref="J138" r:id="rId51" display="mailto:nitinnigamknp@gmail.com" xr:uid="{AE5B24D0-9F07-42D6-8CA2-450B928E5ABA}"/>
    <hyperlink ref="J139" r:id="rId52" display="mailto:Santosh.tiwari404@gmail.com" xr:uid="{F7EB01C6-1418-4B9E-B498-C252E50AC932}"/>
    <hyperlink ref="J140" r:id="rId53" xr:uid="{CB5400FC-8982-4EED-B372-AAD584E55F25}"/>
    <hyperlink ref="K143" r:id="rId54" display="subodh.m33@gmail.com" xr:uid="{4D4DC600-2DDE-4935-956F-ECFAB4C00C4A}"/>
    <hyperlink ref="J143" r:id="rId55" xr:uid="{BDDE363D-9B19-4118-B1AC-69636569FFE7}"/>
    <hyperlink ref="J145" r:id="rId56" xr:uid="{036065D6-6B02-42F8-9B36-38FC395FAE4A}"/>
    <hyperlink ref="K149" r:id="rId57" display="munikishore23@gmail.com" xr:uid="{C94910A1-FD27-4E23-BDCC-6DD43A7153F0}"/>
    <hyperlink ref="J149" r:id="rId58" xr:uid="{843B8604-76FC-4B9A-A80B-EEA340D97686}"/>
    <hyperlink ref="J150" r:id="rId59" xr:uid="{162B0148-DE45-4630-93EA-C8249A893D76}"/>
    <hyperlink ref="J154" r:id="rId60" display="mailto:ranjith.granus@gmail.com" xr:uid="{08E41B41-5263-4AEE-8849-7575AE817D67}"/>
    <hyperlink ref="J155" r:id="rId61" display="mailto:udaya.luck@gmail.com" xr:uid="{E7D2C57A-69D4-48FF-9C22-086D77903BA1}"/>
    <hyperlink ref="J164" r:id="rId62" xr:uid="{599B1CA2-933A-456F-A093-60E4A158F136}"/>
    <hyperlink ref="J156" r:id="rId63" xr:uid="{8DC9345C-82A1-4691-B59A-A3D3F40A19C1}"/>
    <hyperlink ref="J157" r:id="rId64" xr:uid="{B6B87334-CDFD-4699-8E67-B4E27913CE4B}"/>
    <hyperlink ref="J158" r:id="rId65" xr:uid="{FDC18E01-F5D7-4DDA-A4FE-839E5D877334}"/>
    <hyperlink ref="J174" r:id="rId66" xr:uid="{75995384-5D40-40F3-8A16-1EAD59F87D89}"/>
    <hyperlink ref="J188" r:id="rId67" display="mailto:reddylakshmi8296@gamil.com" xr:uid="{29668B6F-FDF8-49C1-A7AF-80E68668AC8A}"/>
    <hyperlink ref="J187" r:id="rId68" display="mailto:sadhanar1989@gmail.com" xr:uid="{ADE3B690-C534-4F85-8873-1F0173A82972}"/>
    <hyperlink ref="J185" r:id="rId69" display="mailto:mohammedshaheed757@gmail.com" xr:uid="{16435169-8D72-42F4-A216-DF831E8DB8A4}"/>
    <hyperlink ref="J214" r:id="rId70" display="mailto:saikiranalladurgam63@gmail.com" xr:uid="{A2E3DB7B-5FC7-4FE6-BEB6-4AAD59741D71}"/>
    <hyperlink ref="J215" r:id="rId71" display="mailto:lavaar861@gmail.com" xr:uid="{671F883D-D7BA-4BF4-B701-270374BD5B5F}"/>
    <hyperlink ref="J216" r:id="rId72" display="mailto:santoshhampannawar0831@gmail.com" xr:uid="{65C48F7E-8342-477A-BBF2-2F3BA0367911}"/>
    <hyperlink ref="J217" r:id="rId73" display="mailto:chhandashisaha39@gmail.com" xr:uid="{8B2F41A3-81BC-4A1E-A790-A2A0FB7E7E29}"/>
    <hyperlink ref="J218" r:id="rId74" display="mailto:denniarems@gmail.com" xr:uid="{B4B27CB2-A289-4547-87B3-1A3EBF059403}"/>
    <hyperlink ref="J219" r:id="rId75" display="mailto:bijaykumarbiju070@gmail.com" xr:uid="{9D61ED81-A3E8-4A64-AA93-5967997E5D3A}"/>
    <hyperlink ref="J220" r:id="rId76" display="mailto:chanduakhi888@gmail.com" xr:uid="{22E710EE-7F5C-4052-922B-D1E67FF3C944}"/>
    <hyperlink ref="J221" r:id="rId77" display="mailto:msprasad548@gmail.com" xr:uid="{A73DE1F6-77EA-4F67-8770-D819CBB0C957}"/>
    <hyperlink ref="J232" r:id="rId78" xr:uid="{BA0A9A55-4463-40B7-B0A9-8EAA75DA7311}"/>
    <hyperlink ref="J234" r:id="rId79" xr:uid="{618F3075-858F-4477-9A74-99BC7BFC9FDC}"/>
    <hyperlink ref="J233" r:id="rId80" xr:uid="{868F34B5-3E8A-4040-85C3-63E34B2B5099}"/>
    <hyperlink ref="J235" r:id="rId81" xr:uid="{FC8F6EDF-C64E-40A6-8EFC-30F133AF48C0}"/>
    <hyperlink ref="J230" r:id="rId82" xr:uid="{5F151EB1-F2B3-442A-A4C6-C8B9F4CBBE00}"/>
    <hyperlink ref="J231" r:id="rId83" xr:uid="{833F2D9C-6129-411D-B5EE-4010684AFB93}"/>
    <hyperlink ref="J236" r:id="rId84" xr:uid="{4222B482-71D6-4507-A300-C0983187954A}"/>
    <hyperlink ref="J237" r:id="rId85" xr:uid="{82F236B5-0FE5-4CE9-B253-13156FB96877}"/>
    <hyperlink ref="J194" r:id="rId86" xr:uid="{9BCA8CAC-58FE-4A44-BC4E-3E0744B7A5FA}"/>
    <hyperlink ref="J195" r:id="rId87" xr:uid="{C674E49B-B059-44C6-B4BC-670F7700C0E5}"/>
    <hyperlink ref="J196" r:id="rId88" xr:uid="{39240BC0-9E26-44F5-B1A7-CECB6F0F68C3}"/>
    <hyperlink ref="J197" r:id="rId89" xr:uid="{1AD057A0-EC9E-4A4F-BB4C-C895B4521D6A}"/>
    <hyperlink ref="J69" r:id="rId90" xr:uid="{62146239-5AE4-4B91-861A-6077A0360073}"/>
    <hyperlink ref="J70" r:id="rId91" xr:uid="{3F574DC0-D6FB-47E1-80DB-1151617A7320}"/>
    <hyperlink ref="J225" r:id="rId92" xr:uid="{A48C9A40-AD07-4BDB-B371-4201D472B1CF}"/>
    <hyperlink ref="J226" r:id="rId93" xr:uid="{F5569D48-98AB-4F1A-8FA5-7B5A322B5AD8}"/>
    <hyperlink ref="J238" r:id="rId94" xr:uid="{1059E3F1-1AC2-4B3C-AA54-491D6068A0A7}"/>
    <hyperlink ref="J239" r:id="rId95" xr:uid="{A0B0AAAC-6E5D-4AFD-AABE-FF7C3AD4C124}"/>
    <hyperlink ref="J198" r:id="rId96" xr:uid="{8272F15C-A04E-4332-BD27-5D8442C09C92}"/>
    <hyperlink ref="J222" r:id="rId97" xr:uid="{4697EC3F-3B4E-4E2A-9676-51AC27629310}"/>
    <hyperlink ref="J224" r:id="rId98" xr:uid="{F8A6A1D3-1CC4-4EBC-8E9E-89059C2A7AFB}"/>
    <hyperlink ref="J204" r:id="rId99" xr:uid="{4FFD324C-D19B-4CA3-9650-1D14EFF99463}"/>
    <hyperlink ref="J240" r:id="rId100" xr:uid="{D51DDDAE-57B8-4C57-AAFA-42809018A7B7}"/>
    <hyperlink ref="H245" r:id="rId101" xr:uid="{E9A65B12-85B9-44C0-80CB-D5D8D088007E}"/>
    <hyperlink ref="J247" r:id="rId102" xr:uid="{81582D99-3C1D-4276-9DC3-13F22D193655}"/>
    <hyperlink ref="J246" r:id="rId103" xr:uid="{C04409B4-EE40-444E-A1DB-773A62445B84}"/>
    <hyperlink ref="J245" r:id="rId104" xr:uid="{C00BA448-CA3E-4542-A538-87C54BB32415}"/>
    <hyperlink ref="J248" r:id="rId105" xr:uid="{9764D692-ECE2-49B5-8B64-02A771AE03A4}"/>
    <hyperlink ref="J249" r:id="rId106" xr:uid="{CC4D3866-39B4-446C-9A79-19CD6AC35EDB}"/>
    <hyperlink ref="J250" r:id="rId107" xr:uid="{74566D3A-A704-4C58-B120-F26367052BDD}"/>
    <hyperlink ref="J251" r:id="rId108" xr:uid="{A806B74E-64A2-4956-BE32-857866ECB262}"/>
    <hyperlink ref="J252" r:id="rId109" xr:uid="{4EBE753D-5171-4A22-A2E4-9A273E254085}"/>
    <hyperlink ref="H257" r:id="rId110" xr:uid="{1FCF5D2B-4AA3-42A2-90C2-BF6768BD2D5C}"/>
    <hyperlink ref="H259" r:id="rId111" xr:uid="{0A823688-5863-4F18-91ED-A1DE8E39D1A2}"/>
    <hyperlink ref="H260" r:id="rId112" xr:uid="{C9EA1F38-928B-465F-9BBF-493FCB0CFF57}"/>
    <hyperlink ref="H264" r:id="rId113" xr:uid="{141232C4-2E99-48D9-AC24-C4A7170B5228}"/>
    <hyperlink ref="J267" r:id="rId114" xr:uid="{45DE1DDD-724E-4595-A6B4-F6AB6389A852}"/>
    <hyperlink ref="J271" r:id="rId115" display="mailto:pruthvi4371@gmail.com" xr:uid="{5B256D11-3B52-466E-9E46-DD53290A0A5B}"/>
    <hyperlink ref="J272" r:id="rId116" display="mailto:kishorekumar.selvaraja13@gmail.com" xr:uid="{A6E2E5B2-51A8-4653-9CEE-43EA3991571F}"/>
    <hyperlink ref="J273" r:id="rId117" display="mailto:tufailalam8073@gmail.com" xr:uid="{8470359F-EB63-4F19-A8D3-C61292D3FF1E}"/>
    <hyperlink ref="J274" r:id="rId118" display="mailto:shriyahanchinal99@gmail.com" xr:uid="{90FF0F48-ECCC-4CDE-9A05-400329D757DF}"/>
    <hyperlink ref="J275" r:id="rId119" display="mailto:rksvm.win@gmail.com" xr:uid="{7120A2DF-3003-4E52-8B62-9B868C3C6DBA}"/>
    <hyperlink ref="J276" r:id="rId120" display="mailto:DSNV.wintel@gmail.com" xr:uid="{27913751-A57F-441D-946F-79E2D7A85770}"/>
    <hyperlink ref="J277" r:id="rId121" display="mailto:devarajulu1000@gmail.com" xr:uid="{424A5F76-811A-4EE9-BB8C-9F3393FAF0A0}"/>
    <hyperlink ref="J278" r:id="rId122" display="mailto:pavithrakotian.1997@gmail.com" xr:uid="{31C475FC-ED73-4DB0-84C2-72CBEC46A244}"/>
    <hyperlink ref="J279" r:id="rId123" display="mailto:sunilsshetty21@gmail.com" xr:uid="{B025BACE-75CE-4AB9-B277-0BB746BC357E}"/>
    <hyperlink ref="J293" r:id="rId124" xr:uid="{D0DC78B7-418D-4032-B240-667A6BBE335F}"/>
    <hyperlink ref="J292" r:id="rId125" xr:uid="{78907EE2-161D-4727-A254-BA9C4A448D10}"/>
    <hyperlink ref="J302" r:id="rId126" display="mailto:mjaseer43@gmail.com" xr:uid="{DCC62A81-6A72-4DA3-A00E-41FC8A633D50}"/>
    <hyperlink ref="J303" r:id="rId127" display="mailto:azharrazakhan78611@gmail.com" xr:uid="{40471FEC-9EBB-4AF6-A740-004B08DBF221}"/>
    <hyperlink ref="J311" r:id="rId128" xr:uid="{48A0A4A2-0678-4BB9-8C8F-73A16F60AD4F}"/>
    <hyperlink ref="J325" r:id="rId129" display="mailto:abisheikabisheikking@gmail.com" xr:uid="{050851C6-17A1-4858-B482-C6451FC3AB13}"/>
    <hyperlink ref="J326" r:id="rId130" display="mailto:madhukarmadz43@gmail.com" xr:uid="{BE34DC8E-1061-4A71-9B3F-B7BCD914B286}"/>
    <hyperlink ref="J327" r:id="rId131" display="mailto:sunandajha20@gmail.com " xr:uid="{40FB2772-BD81-4ACE-ADE3-B5684D255456}"/>
    <hyperlink ref="J328" r:id="rId132" display="mailto:sk.karanth@gmail.com" xr:uid="{F7886F18-99C4-451A-A7C8-6AC648B893C0}"/>
    <hyperlink ref="J329" r:id="rId133" display="mailto:brindakumar.13@gmail.com" xr:uid="{DC6685CB-8845-4797-B1BF-63E2EA0DF96F}"/>
    <hyperlink ref="J330" r:id="rId134" display="mailto:ec2k97@gmail.com" xr:uid="{FBBDFBAE-4882-41B7-A2BD-71A6D140D23F}"/>
    <hyperlink ref="J331" r:id="rId135" display="mailto:srinivasjavvadi03@gmail.com" xr:uid="{7776B38E-04EB-4E74-BAE2-A585D2EA1F49}"/>
    <hyperlink ref="J332" r:id="rId136" display="mailto:rupeshkumarkomati139@gmail.com" xr:uid="{72BC694F-884D-4961-98F1-847EB312B8DD}"/>
    <hyperlink ref="J333" r:id="rId137" display="mailto:saran.santhanakrishnan@gmail.com" xr:uid="{A134543D-11D3-4906-9841-69D140A425F5}"/>
    <hyperlink ref="J334" r:id="rId138" display="mailto:karthikaa10z@gmail.com" xr:uid="{3B878397-DA2A-44E6-85A2-74615A2740DD}"/>
    <hyperlink ref="J335" r:id="rId139" display="mailto:rohit0701yadav@gmail.com" xr:uid="{9ED48897-484E-4EF3-8C6D-9F75F8CB252C}"/>
    <hyperlink ref="J340" r:id="rId140" xr:uid="{BDC55A4C-8449-444A-8C78-2907CAAA5E5D}"/>
    <hyperlink ref="J341" r:id="rId141" xr:uid="{201FF8C1-00FE-4095-9BDC-94FCAC2126E8}"/>
    <hyperlink ref="H353" r:id="rId142" xr:uid="{100D71F7-85BC-47E9-922F-E08B4A51F40C}"/>
    <hyperlink ref="H357" r:id="rId143" xr:uid="{C2E3496B-C422-4217-AD50-63291B66DB7B}"/>
    <hyperlink ref="H358" r:id="rId144" xr:uid="{1735E08D-B39B-40FA-886A-5B4CD6FEA2AC}"/>
    <hyperlink ref="J344" r:id="rId145" xr:uid="{48A0795C-425C-441D-9E22-13D2DF8734AF}"/>
    <hyperlink ref="J345" r:id="rId146" xr:uid="{EF95E2B6-819E-4FE7-AC1B-240225D446FC}"/>
    <hyperlink ref="J350" r:id="rId147" xr:uid="{BA7F10BA-0BC6-497A-A623-05212BA2E083}"/>
    <hyperlink ref="J349" r:id="rId148" xr:uid="{DB03D679-4D27-4F82-85E3-EA35ECE7F8E4}"/>
    <hyperlink ref="J347" r:id="rId149" xr:uid="{D8FF08FF-A252-4E3D-890E-A0AB9725B6E3}"/>
    <hyperlink ref="J348" r:id="rId150" xr:uid="{970F04C8-5EAB-4F0D-A25A-FD606C4D3680}"/>
    <hyperlink ref="J352" r:id="rId151" xr:uid="{0B23CF32-2F90-4E63-ABA6-306AFEC25C22}"/>
    <hyperlink ref="J355" r:id="rId152" xr:uid="{5AD5C58B-7899-4552-A847-81F63EDA8B94}"/>
    <hyperlink ref="J354" r:id="rId153" xr:uid="{265D90E5-10F0-4D4A-9B98-8D57D4975CF3}"/>
    <hyperlink ref="J356" r:id="rId154" xr:uid="{C8778DDF-44CA-40D4-A70F-300338D82B49}"/>
    <hyperlink ref="J358" r:id="rId155" xr:uid="{ABC32F10-E68A-4D67-B921-7319FB1C9739}"/>
    <hyperlink ref="J353" r:id="rId156" xr:uid="{040BF6CB-6AF4-46F8-8671-FC16453C1E22}"/>
    <hyperlink ref="J357" r:id="rId157" xr:uid="{03E3F0C3-9941-408A-B47D-117395AC8D1E}"/>
    <hyperlink ref="J359" r:id="rId158" xr:uid="{F1DA33FE-CAD1-4732-A5C7-B933FE3000C5}"/>
    <hyperlink ref="J362" r:id="rId159" xr:uid="{8CC6FE06-27CF-4D40-A66F-1240ACCBC300}"/>
    <hyperlink ref="J372" r:id="rId160" xr:uid="{4A6F7D91-9707-4FB6-8E08-17731E016DAA}"/>
    <hyperlink ref="J373" r:id="rId161" xr:uid="{7DB7AA89-CDEE-48C6-91B2-7A978506649F}"/>
    <hyperlink ref="J342" r:id="rId162" display="mailto:singpri21@gmail.com" xr:uid="{3255CAFA-FE9B-450A-91D3-9304462417B5}"/>
    <hyperlink ref="J343" r:id="rId163" display="mailto:pardhe.m30@gmail.com" xr:uid="{876A486C-A0C5-4911-8C1B-91FC11658EFF}"/>
    <hyperlink ref="J381" r:id="rId164" display="mailto:sandipaher5432@gmail.com" xr:uid="{10B9AB0F-CF9C-477B-9DC4-A54532314BAD}"/>
    <hyperlink ref="J382" r:id="rId165" display="mailto:mohdzaidv35@gmail.com" xr:uid="{6D12579C-22DB-4F1C-B75F-9C607AB0E502}"/>
    <hyperlink ref="J383" r:id="rId166" display="mailto:nileshkansal1@gmail.com" xr:uid="{08B969E3-4A6B-4B75-B8C7-4A146B999FE1}"/>
    <hyperlink ref="J384" r:id="rId167" display="mailto:raufqureshi2001@gmail.com" xr:uid="{67659468-F918-442F-85E5-3134038670C3}"/>
    <hyperlink ref="J385" r:id="rId168" display="mailto:mrkaish@gmail.com" xr:uid="{B4CBD059-9FDE-4374-9191-97023D1676A8}"/>
    <hyperlink ref="J386" r:id="rId169" display="mailto:saicharan_konduri@rediffmail.com" xr:uid="{62A0E196-3916-458C-AB0E-E435184FA134}"/>
    <hyperlink ref="J387" r:id="rId170" display="mailto:sunithasu2001@gmail.com" xr:uid="{C96C7CC1-223C-4518-A888-3DEB36E5B150}"/>
    <hyperlink ref="J393" r:id="rId171" display="mailto:amansingh4467@gmail.com" xr:uid="{D65821A0-BC94-4F14-800F-64341BABC327}"/>
    <hyperlink ref="H394" r:id="rId172" xr:uid="{6D785C8F-05D4-4EFB-B60B-86D1F48021E0}"/>
    <hyperlink ref="H395" r:id="rId173" xr:uid="{F1B95E72-CBC0-46C6-91B9-F9F269EA8088}"/>
    <hyperlink ref="H396" r:id="rId174" xr:uid="{316FE586-282F-4718-8D53-A541B5E80558}"/>
    <hyperlink ref="J394" r:id="rId175" xr:uid="{1DA58823-57BF-458E-90D1-AFC8DF061DB6}"/>
    <hyperlink ref="J395" r:id="rId176" xr:uid="{76813270-CE60-4E67-B61A-D618E4F1E92C}"/>
    <hyperlink ref="J396" r:id="rId177" xr:uid="{69B31357-725E-4EAD-B7AE-EE3CCB86506B}"/>
    <hyperlink ref="J417" r:id="rId178" xr:uid="{5756CF07-9971-449F-883D-7EDEE6C24B0E}"/>
    <hyperlink ref="J418" r:id="rId179" xr:uid="{1834BF17-2231-4C90-A05A-80870D4876C0}"/>
    <hyperlink ref="J419" r:id="rId180" xr:uid="{C24745F9-87E3-4CA6-AE8D-48446C18EA43}"/>
    <hyperlink ref="J420" r:id="rId181" xr:uid="{73880D30-E7F3-48CF-8985-F9421DE85552}"/>
    <hyperlink ref="J421" r:id="rId182" xr:uid="{7DFEC066-2BA8-4BA0-9C9F-ED3BB1FBE492}"/>
    <hyperlink ref="J422" r:id="rId183" xr:uid="{419919D4-BD2C-4878-8F9C-A5BC00C67558}"/>
    <hyperlink ref="J423" r:id="rId184" xr:uid="{0C23522E-9D4D-493E-B157-43783568AD1A}"/>
    <hyperlink ref="J424" r:id="rId185" xr:uid="{61E88058-443C-4177-850B-AB69690EC813}"/>
    <hyperlink ref="J425" r:id="rId186" display="mailto:shamela.yousuff@gmail.com" xr:uid="{06DB6DCB-F1E5-4A04-8D92-2BD158968E7A}"/>
    <hyperlink ref="J426" r:id="rId187" display="mailto:kiranbehuriya.24@gmail.com" xr:uid="{B96ECB85-C73C-41CD-9693-C2326E17D4DC}"/>
    <hyperlink ref="J427" r:id="rId188" display="mailto:kksukanya06@gmail.com" xr:uid="{90987602-927D-4738-9BB4-26491C75886F}"/>
    <hyperlink ref="J428" r:id="rId189" xr:uid="{97F6D855-2414-4BC1-8FD6-998FDCD19CD5}"/>
    <hyperlink ref="J429" r:id="rId190" display="mailto:sangnyasreeb@gmail.com" xr:uid="{74A31F14-F8F4-4D83-8175-E82840C50DCD}"/>
    <hyperlink ref="J436" r:id="rId191" display="mailto:keerthanarameshbabu@gmail.com" xr:uid="{F2BD3A10-4223-4589-A5DF-6668482243FA}"/>
    <hyperlink ref="J438" r:id="rId192" display="mailto:prem.akkireddy0007@gmail.com" xr:uid="{7EBA1C28-AF7B-47D6-98E2-1521FE4DB3F9}"/>
    <hyperlink ref="H440" r:id="rId193" xr:uid="{6A5A8145-56EF-480B-AFF9-ECC01334CD64}"/>
    <hyperlink ref="H441" r:id="rId194" xr:uid="{2F383D34-39DA-4170-ABE1-9AC3F3EFDEED}"/>
    <hyperlink ref="H442" r:id="rId195" xr:uid="{457DF17F-6AEE-4A87-8DD6-34CB62933067}"/>
    <hyperlink ref="H443" r:id="rId196" xr:uid="{68EE93BC-6311-4C86-971C-312A48A54B18}"/>
    <hyperlink ref="H444" r:id="rId197" xr:uid="{249634FC-6858-445B-853F-62DB76F4DD85}"/>
    <hyperlink ref="H445" r:id="rId198" xr:uid="{FCD73A44-D7E1-45F8-943F-3493F8A04C30}"/>
    <hyperlink ref="H446" r:id="rId199" xr:uid="{2EA71914-3A24-4069-A31E-D537EAC466DD}"/>
    <hyperlink ref="J439" r:id="rId200" xr:uid="{001C4951-60BB-42C6-B366-5B8DCB96FF07}"/>
    <hyperlink ref="J440" r:id="rId201" xr:uid="{2117454D-123E-497E-92A4-9BC8CA56516B}"/>
    <hyperlink ref="J441" r:id="rId202" xr:uid="{BDCC73F1-A3D5-46EE-9117-64F33C287520}"/>
    <hyperlink ref="J442" r:id="rId203" xr:uid="{67C52DB5-A739-4C77-986A-A66068D15AC5}"/>
    <hyperlink ref="J443" r:id="rId204" xr:uid="{AF01957E-2D8E-4771-A2D7-C4AC7DC22F9B}"/>
    <hyperlink ref="J444" r:id="rId205" xr:uid="{F33998F5-2F64-4B37-9E5A-0551EC3BC77D}"/>
    <hyperlink ref="J445" r:id="rId206" xr:uid="{B11F751C-63C6-401C-A6CC-D9DD6355FD52}"/>
    <hyperlink ref="J446" r:id="rId207" xr:uid="{AB4CBC85-62D5-4764-A54E-00B9C2501727}"/>
    <hyperlink ref="H448" r:id="rId208" xr:uid="{A21A5E10-E639-4140-B615-F3E73783CE00}"/>
    <hyperlink ref="J451" r:id="rId209" xr:uid="{8317FD90-1DD2-47AB-BB7A-77FCAEF55453}"/>
    <hyperlink ref="J452" r:id="rId210" xr:uid="{126E5122-E0F3-4B08-A1E5-98A0F4D6D02F}"/>
    <hyperlink ref="J447" r:id="rId211" xr:uid="{D01D6289-FE9E-4210-8753-7D9521F5A424}"/>
    <hyperlink ref="J448" r:id="rId212" xr:uid="{D80DAA66-EE19-4681-A6FB-32ECFA0E9DFC}"/>
    <hyperlink ref="J449" r:id="rId213" xr:uid="{A7D6FFCE-63CB-4FF1-8F0F-DDB1B6B52C24}"/>
    <hyperlink ref="J450" r:id="rId214" xr:uid="{AD575CA5-4BC0-4DBF-B8B2-3F197CCCB20F}"/>
    <hyperlink ref="H453" r:id="rId215" xr:uid="{DBB96721-151E-44CD-8F9F-28B88A5445AE}"/>
    <hyperlink ref="H454" r:id="rId216" xr:uid="{89F65AA6-8D3F-49C8-BBAF-E9BB63C03043}"/>
    <hyperlink ref="H455" r:id="rId217" xr:uid="{F7118D53-C52D-49F7-9DDF-2F1D789976FE}"/>
    <hyperlink ref="H456" r:id="rId218" xr:uid="{2D66C85C-821F-424D-A6BF-2F1B4DF4A822}"/>
    <hyperlink ref="J453" r:id="rId219" xr:uid="{4269858F-1E93-481D-BA73-AD51C2450660}"/>
    <hyperlink ref="J454" r:id="rId220" xr:uid="{72100F9E-325D-4DA7-B65D-65ABF26107B1}"/>
    <hyperlink ref="J455" r:id="rId221" xr:uid="{304207C2-30A2-468D-A45B-BDDC7BDD213B}"/>
    <hyperlink ref="J456" r:id="rId222" xr:uid="{065DB48E-B892-4FB2-8A72-9AD8AD50CB96}"/>
    <hyperlink ref="J457" r:id="rId223" xr:uid="{F2CBA265-FCC1-4ED1-9144-8564B74DF564}"/>
    <hyperlink ref="J458" r:id="rId224" xr:uid="{7BE593A0-1EDD-4FF3-A2D2-8285BB163647}"/>
    <hyperlink ref="J459" r:id="rId225" xr:uid="{E3C4FE0C-ADEC-4F4C-864D-CF413EA9C7D2}"/>
    <hyperlink ref="H466" r:id="rId226" display="https://resdex.naukri.com/v3/preview?tabKey=profile&amp;sid=8286118696&amp;paramString=8b485a994a0b1f7d419bf11cc53a6d4b13106&amp;hfFlowName=search&amp;commentSearchType=comment-my,comment-others&amp;totalResumes=589&amp;hiringForFlowId=efceea52b6e652a4f1e84f3ffe140afc&amp;pFlow=SEARCH_ID&amp;pFlowId=efceea52b6e652a4f1e84f3ffe140afc&amp;tupleIndex=15&amp;storageKey=8286118696-1&amp;parentHighLightingKey=8286118696-1&amp;activeIn=7&amp;parentSid=8286118696&amp;sidGroupId=efceea52b6e652a4f1e84f3ffe140afc&amp;uresid=6655c6a50196f8e656a06ec4b91527ae505b0f59481b0f141010465f5d08584b110b191018445d5a085043126&amp;elasticType=es7&amp;uniqId=234e9ba39955d3b4cefd2852185863a75e09585748170f100742125f085f544c110902021646585c0050481101025245076" xr:uid="{D09F4010-5EFF-43F1-AA2C-C8C942170116}"/>
    <hyperlink ref="H467" r:id="rId227" display="https://resdex.naukri.com/v3/preview?tabKey=profile&amp;hfFlowName=simcv&amp;totalResumes=324&amp;pageUid=7663a608b33527f9362620cd72e5418d5a540d514d1a0e110702405f5a0950431201170b0242585808524d1108196&amp;hiringForFlowId=efceea52b6e652a4f1e84f3ffe140afc&amp;pFlow=SEARCH_ID&amp;pFlowId=efceea52b6e652a4f1e84f3ffe140afc&amp;tupleIndex=25&amp;storageKey=7663a608b33527f9362620cd72e5418d5a540d514d1a0e110702405f5a0950431201170b0242585808524d1108196-1&amp;parentHighLightingKey=8286177008-1&amp;activeIn=3650&amp;parentSid=8286177008&amp;sidGroupId=efceea52b6e652a4f1e84f3ffe140afc&amp;principalUserId=305137218&amp;uresid=40dd2b06bd6cba9b292c6a9319e64ea9595f0953421401180002405f5a0950431108180202405a55005043140d106&amp;parentActiveSimCvSource=collab&amp;parentSimCvCount=324&amp;parentContextSimCvCount=100&amp;parentSimCvSource=collab&amp;elasticType=es7&amp;simcvModelTag=sales_77_v1_rerankedV0&amp;simCvSource=collab&amp;uniqId=d84e9d301e98d9c659363c1b4a535f025f580b5943140115001145500b5f551f160102021646585c00534b1a08025245076&amp;parentSearchType=adv" xr:uid="{2BAF42D3-1834-490D-9E4F-CA00C54E0396}"/>
    <hyperlink ref="H468" r:id="rId228" display="https://resdex.naukri.com/v3/preview?tabKey=profile&amp;hfFlowName=simcv&amp;totalResumes=296&amp;pageUid=f7e16ff3e15aa5dbc9d15c8e6c7bb6785b5c0a564d1500140702405f5a0950431201100b02425a590152481400156&amp;hiringForFlowId=efceea52b6e652a4f1e84f3ffe140afc&amp;pFlow=SEARCH_ID&amp;pFlowId=efceea52b6e652a4f1e84f3ffe140afc&amp;tupleIndex=2&amp;storageKey=f7e16ff3e15aa5dbc9d15c8e6c7bb6785b5c0a564d1500140702405f5a0950431201100b02425a590152481400156-1&amp;parentHighLightingKey=8286177008-1&amp;activeIn=3650&amp;parentSid=8286177008&amp;sidGroupId=efceea52b6e652a4f1e84f3ffe140afc&amp;principalUserId=324832794&amp;uresid=b0073873886d069ad61b0a0dd93d105a59580855491600190602405f5a0950431201170b02405e5c0f534c160a146&amp;parentActiveSimCvSource=collab&amp;parentSimCvCount=296&amp;parentContextSimCvCount=100&amp;parentSimCvSource=collab&amp;elasticType=es7&amp;simcvModelTag=sales_77_v1_rerankedV0&amp;simCvSource=collab&amp;uniqId=b034538a160007d6c640eb60b39b36790e095c521b4200455712400a590b07191a08135713155e5e0a59481b0d13501052595a0e514b1a081905195209094f6&amp;parentSearchType=adv" xr:uid="{546E44E3-AB24-40DE-A1BB-E6178F56AAA6}"/>
    <hyperlink ref="J470" r:id="rId229" display="mailto:jithesh.shetty55@gmail.com " xr:uid="{16FA5244-C31E-4AD6-A764-0A414973C4FB}"/>
    <hyperlink ref="J471" r:id="rId230" display="mailto:Gautam05nov@gmail.com" xr:uid="{DA9D2AC4-491C-4F49-BF35-B67F3E2DFCC0}"/>
    <hyperlink ref="J472" r:id="rId231" display="mailto:akbisharath@gmail.com" xr:uid="{4EDC740C-88B2-4860-AAAD-A73B3BA47ED1}"/>
    <hyperlink ref="J469" r:id="rId232" display="mailto:divyamonisri@gmail.com" xr:uid="{FD3BC132-BE5C-4874-8C71-FDA2FC571D19}"/>
    <hyperlink ref="J468" r:id="rId233" display="mailto:surag1997@gmail.com" xr:uid="{8703A163-479F-4DB3-9FC0-3E4368AEBD33}"/>
    <hyperlink ref="J467" r:id="rId234" display="mailto:siona.m1998@gmail.com" xr:uid="{9D3B4846-1AE3-461C-8B2F-E750587F1CE4}"/>
    <hyperlink ref="J466" r:id="rId235" display="mailto:souravchowdhury9171@gmail.com" xr:uid="{F7DD9E78-39DF-4EA9-8466-814E90063D98}"/>
    <hyperlink ref="J473" r:id="rId236" display="mailto:saiprasanna.job@gmail.com" xr:uid="{73B137EC-575A-4B18-A282-2F8D6191B6C0}"/>
    <hyperlink ref="J474" r:id="rId237" display="mailto:somyaoriental@gmail.com" xr:uid="{29185847-9A62-4C5D-AA89-DBD2F16585EE}"/>
    <hyperlink ref="J475" r:id="rId238" display="mailto:nisharathod8337@gmail.com" xr:uid="{7D1BCEDD-DA3E-489D-AAC0-ACE13F96198F}"/>
    <hyperlink ref="J476" r:id="rId239" display="mailto:Sahanacthotigar@gmail.com" xr:uid="{A80CA91F-A146-4D59-A083-B8EEB8571782}"/>
    <hyperlink ref="H478" r:id="rId240" display="https://resdex.naukri.com/v3/preview?tabKey=profile&amp;sid=8289974354&amp;hfFlowName=simcv&amp;totalResumes=42&amp;pageUid=10b5e75b1ba4b24114df240eaee03d3a595401574b1a01120b02405f5a095342120b14020243595c0f57481700156&amp;hiringForFlowId=efceea52b6e652a4f1e84f3ffe140afc&amp;pFlow=SEARCH_ID&amp;pFlowId=efceea52b6e652a4f1e84f3ffe140afc&amp;tupleIndex=6&amp;storageKey=8289974354-1&amp;parentHighLightingKey=8286177008-1&amp;refineHighlightKey=8289974354&amp;activeIn=7&amp;parentSid=8289974354&amp;sidGroupId=efceea52b6e652a4f1e84f3ffe140afc&amp;principalUserId=211662494&amp;uresid=0836d2de6b994ecefa8a4ba1ac3675805b5c0b504a170d110502405f5a095342120a180702425a5e08544c100e156&amp;parentActiveSimCvSource=collab&amp;parentSimCvCount=296&amp;parentContextSimCvCount=100&amp;parentSimCvSource=collab&amp;elasticType=es7&amp;simcvModelTag=sales_77_v1_rerankedV0&amp;simCvSource=collab&amp;uniqId=9624f2c920d2e86d4ae57da67ce1e65a505958504e160a185743445a5958501b420f440b42495b555c581e125b44024052595a0e51481b08120a155209094f6&amp;parentSearchType=simcv" xr:uid="{F212F6CA-34E2-4741-A83B-4D56A906AC2F}"/>
    <hyperlink ref="J479" r:id="rId241" display="mailto:sunilroyal290@gmail.com" xr:uid="{064C6FA2-A82B-44EA-AD95-87E429234C53}"/>
    <hyperlink ref="J478" r:id="rId242" display="mailto:thirumalai7411@gmail.com" xr:uid="{71120DAE-458E-4B9F-9E3C-AF8A43BC8468}"/>
    <hyperlink ref="J480" r:id="rId243" display="mailto:r.abhishek1357@gmail.com" xr:uid="{9A39E5B3-C7E0-45D1-81E7-EB7071230939}"/>
    <hyperlink ref="J481" r:id="rId244" display="mailto:jtkoushik509@gmail.com" xr:uid="{1961A7C8-24B1-4883-8389-942DE8DCCEEA}"/>
    <hyperlink ref="J510" r:id="rId245" display="mailto:riteshmalakar21@gmail.com" xr:uid="{C3F9BD50-1F3E-41C8-8306-30F945DE6502}"/>
    <hyperlink ref="J511" r:id="rId246" display="mailto:ronak.zinzuwadia79@gmail.com" xr:uid="{B2BF4FCA-5402-4EF3-AC3C-363B5F8327F2}"/>
    <hyperlink ref="J512" r:id="rId247" display="mailto:dommettiaditya@gmail.com" xr:uid="{4970E6D4-1852-4E3F-BBB0-D03096956345}"/>
    <hyperlink ref="J530" r:id="rId248" display="mailto:srashti.khare93@gmail.com" xr:uid="{5279D786-41B2-4E4F-84BB-F39571F059C2}"/>
    <hyperlink ref="J531" r:id="rId249" display="mailto:harshaap007@gmail.com" xr:uid="{4B032CA9-286A-4F9F-9056-9267AC8084BA}"/>
    <hyperlink ref="J532" r:id="rId250" display="mailto:aneeshbabucb04@gmail.com" xr:uid="{E2CB3CA7-F012-4E89-A523-F03EB1D89860}"/>
    <hyperlink ref="J533" r:id="rId251" display="mailto:prajapatibs20@gmail.com" xr:uid="{1197B278-2F36-4D7D-8771-7217B7E5A4E9}"/>
    <hyperlink ref="J557" r:id="rId252" xr:uid="{96D2A1B4-8744-44E3-8C2C-CADBAAC213A4}"/>
    <hyperlink ref="K557" r:id="rId253" display="tel:+919591909081" xr:uid="{7D1FC66C-0C83-42F1-AB10-E016BE482DFF}"/>
    <hyperlink ref="H558" r:id="rId254" xr:uid="{101F5901-492A-4715-970A-23FD3EDE56C8}"/>
    <hyperlink ref="H559" r:id="rId255" xr:uid="{F20BAAE2-6B9D-45FA-B0BE-CD8E380B04AE}"/>
    <hyperlink ref="J558" r:id="rId256" xr:uid="{F5FC608D-6684-4CF6-AA52-FFC75A4389D4}"/>
    <hyperlink ref="J559" r:id="rId257" xr:uid="{C8A7DAE2-FFA2-4130-B5A1-1FBB414DCEDB}"/>
    <hyperlink ref="J560" r:id="rId258" xr:uid="{4F2FC1D1-D276-4067-9FC1-3B75E9BE5169}"/>
    <hyperlink ref="H560" r:id="rId259" xr:uid="{4BC76EC0-BC4A-4FF8-AB29-E04EA9C2B028}"/>
    <hyperlink ref="J561" r:id="rId260" display="mailto:nishitmdl@gmail.com" xr:uid="{AE7605BE-30B3-4AD7-A6EF-8B2DCEDE2E7D}"/>
    <hyperlink ref="J562" r:id="rId261" display="mailto:shankarhm01@gmail.com" xr:uid="{DD25A9A5-3E72-4E27-8979-C39DA36808A5}"/>
    <hyperlink ref="J563" r:id="rId262" display="mailto:pavankalyan1995@gmail.com" xr:uid="{7F885BEC-EE1D-4C3A-B090-AD36A126EBE4}"/>
    <hyperlink ref="J564" r:id="rId263" display="mailto:s.sharvarip@gmail.com" xr:uid="{1B28530D-1E5A-4076-9C28-400973D3E125}"/>
    <hyperlink ref="J566" r:id="rId264" display="mailto:arunkumarhooda2511@gmail.com" xr:uid="{6B504E17-1AA7-4B85-8FC9-F20D9AE461F2}"/>
    <hyperlink ref="J573" r:id="rId265" display="mailto:drajalakshmi.rk@gmail.com" xr:uid="{8D3A3F12-AC41-4EE8-8A30-11430642E26A}"/>
    <hyperlink ref="J574" r:id="rId266" display="mailto:abhidodderi26@gmail.com" xr:uid="{AEE94BB3-37DC-41B2-8B65-BEBFB60C8657}"/>
    <hyperlink ref="H597" r:id="rId267" xr:uid="{8B576C7D-C5D0-451E-9FEA-FD03992DE599}"/>
    <hyperlink ref="H599" r:id="rId268" xr:uid="{10300EEC-154B-40FC-B2F7-666FE44B990C}"/>
    <hyperlink ref="H601" r:id="rId269" xr:uid="{F8EE063F-4006-47F4-A673-3CD6244CB8F2}"/>
    <hyperlink ref="J600" r:id="rId270" xr:uid="{105F0340-DF8D-494D-8AB3-011406C7DBD5}"/>
    <hyperlink ref="J601" r:id="rId271" xr:uid="{D19EE92A-359B-4DC8-B68E-99909CF90AC7}"/>
    <hyperlink ref="J599" r:id="rId272" xr:uid="{83A98EFD-D852-424A-9019-B94025D798AA}"/>
    <hyperlink ref="J598" r:id="rId273" xr:uid="{EF1897F2-782B-4AB5-89A9-17A959EB7145}"/>
    <hyperlink ref="J597" r:id="rId274" xr:uid="{18980A90-7E00-49B6-A7F9-BEF95ACC9B61}"/>
    <hyperlink ref="H602" r:id="rId275" xr:uid="{A860C55A-62F0-4181-852E-CBEAA098898F}"/>
    <hyperlink ref="H603" r:id="rId276" xr:uid="{96FD1492-0146-4C3E-819C-47179A00389A}"/>
    <hyperlink ref="H604" r:id="rId277" xr:uid="{9BA64EDE-79A5-48CE-8737-F799F2B364E8}"/>
    <hyperlink ref="J602" r:id="rId278" xr:uid="{42E7C350-5F31-424F-8C99-8F193AA4754A}"/>
    <hyperlink ref="J603" r:id="rId279" xr:uid="{AB79BD29-1C33-4406-A643-6F890FE9E035}"/>
    <hyperlink ref="J608" r:id="rId280" display="mailto:harinatarajamandiram@gmail.com" xr:uid="{7F13ADC0-CDB6-4AC9-95B7-305CCA714365}"/>
    <hyperlink ref="J609" r:id="rId281" display="mailto:er.sravana.sandhya@gmail.com" xr:uid="{62BD625E-58EA-44EC-B133-BD4A5F20EBF5}"/>
    <hyperlink ref="J610" r:id="rId282" display="mailto:arunkumarhooda2511@gmail.com" xr:uid="{301DE482-8878-41E8-9CF0-AFAF18D3464E}"/>
    <hyperlink ref="J611" r:id="rId283" display="mailto:gpavankmr7@gmail.com" xr:uid="{597F84D7-A7DC-4F14-A275-77A451617E26}"/>
    <hyperlink ref="H613" r:id="rId284" xr:uid="{3E9CB202-42B6-4EB3-BAEC-D5E0312A8B19}"/>
    <hyperlink ref="J615" r:id="rId285" xr:uid="{21247E9F-74F3-4DC7-B565-25190B362B96}"/>
    <hyperlink ref="J613" r:id="rId286" xr:uid="{D004FC28-E778-473C-B214-ED5D65AAA3FE}"/>
    <hyperlink ref="J614" r:id="rId287" xr:uid="{0E4F8865-9F7D-4945-930D-124FE390A89F}"/>
    <hyperlink ref="J630" r:id="rId288" display="mailto:scbrksingh@gmail.com" xr:uid="{FFFC9EC3-23DA-47AA-AB89-EA666EE7485E}"/>
    <hyperlink ref="J631" r:id="rId289" display="mailto:sharadjain07@gmail.com" xr:uid="{7E08B036-0361-454E-A90C-C3846E4549B1}"/>
    <hyperlink ref="J639" r:id="rId290" xr:uid="{1E81C7F5-DD10-49B3-9A08-1AB3DF150C6E}"/>
    <hyperlink ref="J640" r:id="rId291" xr:uid="{4208B8FE-8FA2-4A53-A17F-CE41C4F6509B}"/>
    <hyperlink ref="J641" r:id="rId292" xr:uid="{3AE09C43-2DEB-45F2-9E70-F419B066664F}"/>
    <hyperlink ref="J644" r:id="rId293" xr:uid="{2A663239-A3A9-473D-8467-8420036C69E9}"/>
    <hyperlink ref="H663" r:id="rId294" xr:uid="{D3294777-C336-4815-A952-E024BB715D98}"/>
    <hyperlink ref="H664" r:id="rId295" xr:uid="{79A48AC8-9394-4689-BCCA-FCEDD5C30A1E}"/>
    <hyperlink ref="H665" r:id="rId296" xr:uid="{25B1540B-A1A5-41AF-8C2A-83005C4FB901}"/>
    <hyperlink ref="J662" r:id="rId297" xr:uid="{38386D8C-A59C-414C-A1DB-D11FB4F83E47}"/>
    <hyperlink ref="J663" r:id="rId298" xr:uid="{4D4BB1BF-399D-4B58-BEE6-9BBA339BE192}"/>
    <hyperlink ref="J664" r:id="rId299" xr:uid="{4E0698E3-1188-4378-8044-7FF52D2095FE}"/>
    <hyperlink ref="J665" r:id="rId300" xr:uid="{A39A7D69-EECE-4A37-8887-8B20588F6526}"/>
    <hyperlink ref="J670" r:id="rId301" xr:uid="{EFDA2662-7F61-408C-ACDE-4EE188A2831E}"/>
    <hyperlink ref="H675" r:id="rId302" display="https://resdex.naukri.com/v3/preview?tabKey=profile&amp;sid=8320645092&amp;paramString=8b485a994a0b1f7d419bf11cc53a6d4b13106&amp;hfFlowName=search&amp;commentSearchType=comment-my,comment-others&amp;totalResumes=1371&amp;hiringForFlowId=c989655263d93195f971f06a65741002&amp;pFlow=SEARCH_ID&amp;pFlowId=c989655263d93195f971f06a65741002&amp;tupleIndex=158&amp;storageKey=8320645092-1&amp;parentHighLightingKey=8320645092-1&amp;activeIn=7&amp;parentSid=8320645092&amp;sidGroupId=c989655263d93195f971f06a65741002&amp;uresid=57aeb26652d83cfa0e97279f62ea7e2e5a5a085449160a190102405f5a08524b170a14020243505f0c594c1100196&amp;elasticType=es7&amp;uniqId=2b73bf764ea0235ea287e40fa6f8697b5c580f58424709470514485c595c051c1a5a155647415d5a01584a105b47514352595a0e5049120d1206105209094f6" xr:uid="{9A4C88D5-C1E8-4B3F-A290-50D057956E26}"/>
    <hyperlink ref="H676" r:id="rId303" display="https://resdex.naukri.com/v3/preview?tabKey=profile&amp;sid=8320966016&amp;paramString=8b485a994a0b1f7d419bf11cc53a6d4b13106&amp;hfFlowName=search&amp;commentSearchType=comment-my,comment-others&amp;totalResumes=1724&amp;hiringForFlowId=42d53d241f068fa3ec0918e81928c07f&amp;pFlow=SEARCH_ID&amp;pFlowId=42d53d241f068fa3ec0918e81928c07f&amp;tupleIndex=33&amp;storageKey=8320966016-3&amp;parentHighLightingKey=8320966016-3&amp;activeIn=15&amp;parentSid=8320966016&amp;sidGroupId=42d53d241f068fa3ec0918e81928c07f&amp;uresid=a6f3b8d8d4a84ae655aec7782cd7b719595e0a544f1000110002405f5a08524b140f180602405c5f0d554b1a0a166&amp;elasticType=es7&amp;uniqId=73af6835ef1785f19f28dbc5078e64610d58080542160e1357424850590b044e425b145210490d550a554c170b12051652595a0e5049120e170a145209094f6" xr:uid="{0F7A6D1E-C6D3-4F9E-AFFA-7D1DA82B5B5E}"/>
    <hyperlink ref="H677" r:id="rId304" display="https://resdex.naukri.com/v3/preview?tabKey=profile&amp;sid=8320966016&amp;paramString=8b485a994a0b1f7d419bf11cc53a6d4b13106&amp;hfFlowName=search&amp;commentSearchType=comment-my,comment-others&amp;totalResumes=1724&amp;hiringForFlowId=42d53d241f068fa3ec0918e81928c07f&amp;pFlow=SEARCH_ID&amp;pFlowId=42d53d241f068fa3ec0918e81928c07f&amp;tupleIndex=28&amp;storageKey=8320966016-4&amp;parentHighLightingKey=8320966016-4&amp;activeIn=15&amp;parentSid=8320966016&amp;sidGroupId=42d53d241f068fa3ec0918e81928c07f&amp;uresid=8bfbecd6308a8e9ce1746d64e81395515a580b52481a0f160b02405f5a08524b1401120b02435e5e0a544e120b196&amp;elasticType=es7&amp;uniqId=4d9f5305b30f1520792ffc15585c24ec5f0b0d501b1608115514435e590b51191b0d135143155e5d0b0248130916051752595a0e5049120e1900195209094f6" xr:uid="{147A58E2-BE44-488E-92C7-82A57A8D0999}"/>
    <hyperlink ref="H679" r:id="rId305" display="https://resdex.naukri.com/v3/preview?tabKey=profile&amp;sid=8320501904&amp;paramString=8b485a994a0b1f7d419bf11cc53a6d4b13106&amp;hfFlowName=search&amp;commentSearchType=comment-my,comment-others&amp;totalResumes=4664&amp;hiringForFlowId=1a10b857883dba4f6e9aada7c38d2bae&amp;pFlow=SEARCH_ID&amp;pFlowId=1a10b857883dba4f6e9aada7c38d2bae&amp;tupleIndex=12&amp;storageKey=8320501904-2&amp;parentHighLightingKey=8320501904-2&amp;activeIn=15&amp;parentSid=8320501904&amp;sidGroupId=1a10b857883dba4f6e9aada7c38d2bae&amp;uresid=87a7acd7aa909d5c1c8bd1f5cd0dd78f595b0c53491709100602405f5a08524b100a170402405f5800504b1600166&amp;elasticType=es7&amp;uniqId=3ef0da329591c762bdf321bf8f8e3d8f500c5b5219155b135640470a590c594b420d110142425b085c5219100047564352595a0e5049120a1205165209094f6" xr:uid="{B8D231D0-18FA-401B-BCD2-C4700F390C1D}"/>
    <hyperlink ref="J676" r:id="rId306" display="mailto:yeshyadav1624@gmail.com" xr:uid="{A866A955-D7F9-446A-A17A-DD7B6B2B0168}"/>
    <hyperlink ref="J675" r:id="rId307" display="mailto:pradeepthammayya@gmail.com" xr:uid="{EE757995-1B51-41EE-A919-423759630A98}"/>
    <hyperlink ref="J677" r:id="rId308" display="mailto:mhkiran98@gmail.com" xr:uid="{435D7E52-9D83-4256-B183-633F17DF2E1F}"/>
    <hyperlink ref="J678" r:id="rId309" display="mailto:bkpatil247@gmail.com" xr:uid="{E587D591-2841-4703-B022-8BCCF553C0B4}"/>
    <hyperlink ref="J679" r:id="rId310" display="mailto:nailesh.c@gmail.com" xr:uid="{92024A93-A4EB-4659-A728-ABFB98447093}"/>
    <hyperlink ref="H680" r:id="rId311" display="https://resdex.naukri.com/v3/preview?tabKey=profile&amp;sid=8320966016&amp;paramString=8b485a994a0b1f7d419bf11cc53a6d4b13106&amp;hfFlowName=search&amp;commentSearchType=comment-my,comment-others&amp;totalResumes=1724&amp;hiringForFlowId=42d53d241f068fa3ec0918e81928c07f&amp;pFlow=SEARCH_ID&amp;pFlowId=42d53d241f068fa3ec0918e81928c07f&amp;tupleIndex=14&amp;storageKey=8320966016-4&amp;parentHighLightingKey=8320966016-4&amp;activeIn=15&amp;parentSid=8320966016&amp;sidGroupId=42d53d241f068fa3ec0918e81928c07f&amp;uresid=76eebb36951bf065ffa488567b8edabb595c0a574b1b09100002405f5a08524b1401120b02405a5f08554e1b08186&amp;elasticType=es7&amp;uniqId=e64184a0ebea6d26b73569c735c8a4715f5c0000424009110011485c540d074a1a0102021646595e0856421001025245076" xr:uid="{F0FA660C-A98F-4F20-8846-75F2AD69EA69}"/>
    <hyperlink ref="J680" r:id="rId312" display="mailto:KIRANHEGDE1995@GMAIL.COM" xr:uid="{6CCCCEBF-202D-4D78-8F6C-0A4C49DE1DEE}"/>
    <hyperlink ref="J689" r:id="rId313" display="mailto:kumarsunilraj6293@gmail.com" xr:uid="{E4F739A4-7CBD-4DBD-8D74-CDCD6EF9D1B5}"/>
    <hyperlink ref="J690" r:id="rId314" display="mailto:aishwarya547541@gmail.com" xr:uid="{051D25A4-8AC2-4C39-8007-457352FCE979}"/>
    <hyperlink ref="J691" r:id="rId315" display="mailto:aishwarya547541@gmail.com" xr:uid="{AE7382CA-B24D-463A-BF45-637BB868881D}"/>
    <hyperlink ref="J686" r:id="rId316" display="mailto:dasratikanta829@gmail.com" xr:uid="{C81DB9B5-1962-4259-999C-8DCD97A5D5CB}"/>
    <hyperlink ref="J687" r:id="rId317" display="mailto:kumar1555sushant@gmail.com " xr:uid="{CF757A21-952F-4B8C-8EBC-18F1B74E7E3B}"/>
    <hyperlink ref="J688" r:id="rId318" display="mailto:baikuntha1526@gmail.com" xr:uid="{D2CA2A0C-A1DF-4D29-9B4F-C3A386D12BFA}"/>
    <hyperlink ref="J692" r:id="rId319" xr:uid="{35412BC6-4350-48AE-8EAB-28887C13E41E}"/>
    <hyperlink ref="J703" r:id="rId320" display="mailto:yogesh.talurmath@gmail.com" xr:uid="{FE1F884F-B3AD-44BC-BFE8-F70D91B2CA46}"/>
    <hyperlink ref="J705" r:id="rId321" display="mailto:shashikumargowdabelagul@gmail.com" xr:uid="{0534FC5C-C595-4134-82C9-5F03779EED7B}"/>
    <hyperlink ref="J708" r:id="rId322" display="mailto:sureshmohankumar19@gmail.co" xr:uid="{C48A9F6D-3696-4307-9ECC-73CB71131B47}"/>
    <hyperlink ref="J709" r:id="rId323" display="mailto:umeshgowda088@gmail.com" xr:uid="{84D67B6C-5FFE-4A32-A73D-DA24C83C2CFD}"/>
    <hyperlink ref="J717" r:id="rId324" xr:uid="{921CAE0F-C59D-474E-B6D7-231C72A29C65}"/>
    <hyperlink ref="J718" r:id="rId325" display="mailto:Maheshsunkara92@gmail.com" xr:uid="{7E3EE309-4464-4146-B35D-99FDC4662055}"/>
    <hyperlink ref="J719" r:id="rId326" display="mailto:nagaprathappasam@gmail.com" xr:uid="{6C92CC4E-5D50-4268-807A-228725B282B2}"/>
    <hyperlink ref="J720" r:id="rId327" display="mailto:garimasharma.tech2403@gmail.com" xr:uid="{795E0E3F-A2DC-4DD9-9F4B-09CBFB576123}"/>
    <hyperlink ref="J406" r:id="rId328" xr:uid="{E235ADB4-A1AE-46BF-ADEE-0C2A369570DE}"/>
    <hyperlink ref="J721" r:id="rId329" xr:uid="{5E685894-7E9B-4C55-90F3-799A6F9CAEAE}"/>
    <hyperlink ref="J722" r:id="rId330" xr:uid="{55854009-071F-4480-B30A-F9FEEDC58F9C}"/>
    <hyperlink ref="J723" r:id="rId331" xr:uid="{EEEB6716-6589-4752-B74F-2A3C33B20F67}"/>
    <hyperlink ref="J726" r:id="rId332" xr:uid="{96F5DDDC-4133-4752-8ED9-29C6FEFC4360}"/>
    <hyperlink ref="J727" r:id="rId333" xr:uid="{D18BB061-E6AA-4894-9626-689D6004043D}"/>
    <hyperlink ref="J728" r:id="rId334" xr:uid="{36BA5B2C-499F-4A8E-A163-0481B76622BA}"/>
    <hyperlink ref="J730" r:id="rId335" display="mailto:sailjagruti99@gmail.com" xr:uid="{32FCAFA2-0BFB-47A1-BC4D-59B60586BEFF}"/>
    <hyperlink ref="H734" r:id="rId336" display="https://resdex.naukri.com/v3/preview?tabKey=profile&amp;sid=8340049342&amp;paramString=8b485a994a0b1f7d419bf11cc53a6d4b13106&amp;hfFlowName=search&amp;commentSearchType=comment-my,comment-others&amp;totalResumes=27&amp;hiringForFlowId=28e08f90eaa56e961687d8816514fcb6&amp;pFlow=SEARCH_ID&amp;pFlowId=28e08f90eaa56e961687d8816514fcb6&amp;tupleIndex=0&amp;storageKey=8340049342-1&amp;parentHighLightingKey=8340049342-1&amp;activeIn=7&amp;parentSid=8340049342&amp;sidGroupId=28e08f90eaa56e961687d8816514fcb6&amp;uresid=9a230ba76663b2868c72f2e45be1628e5a5c0053421109160b02405f5a08584b140e120302435b5f0d574e150e156&amp;elasticType=es7&amp;uniqId=04bcd9b18d5b04eb9fc48ad3a530f47159085d521c1b5c165047485d590d544e410b12501115505a0e044a140b16504552595a0e5043120e1600115209094f6" xr:uid="{C7834217-133A-4016-A363-9D6460A1A254}"/>
    <hyperlink ref="H735" r:id="rId337" display="https://resdex.naukri.com/v3/preview?tabKey=profile&amp;sid=8340049342&amp;paramString=8b485a994a0b1f7d419bf11cc53a6d4b13106&amp;hfFlowName=search&amp;commentSearchType=comment-my,comment-others&amp;totalResumes=27&amp;hiringForFlowId=28e08f90eaa56e961687d8816514fcb6&amp;pFlow=SEARCH_ID&amp;pFlowId=28e08f90eaa56e961687d8816514fcb6&amp;tupleIndex=1&amp;storageKey=8340049342-1&amp;parentHighLightingKey=8340049342-1&amp;activeIn=7&amp;parentSid=8340049342&amp;sidGroupId=28e08f90eaa56e961687d8816514fcb6&amp;uresid=3259d3d30d43a1d3e129ea3e374c45205a5a0b564e140a190302405f5a08584b140e12030243505e0e584d1408156&amp;elasticType=es7&amp;uniqId=7ccf6d2f0c9580330489f8286eab92e0590f00034f1209450311445e595d04421a0a120513430d5f0c001f110e47004252595a0e5043120e1600115209094f6" xr:uid="{61F3C71D-1FA0-4A73-8BE1-1CE515F6D06D}"/>
    <hyperlink ref="J733" r:id="rId338" display="mailto:anilanu.kumar2004@gmail.com" xr:uid="{04E2DADF-B41C-409A-8F14-7BE9CA3A6270}"/>
    <hyperlink ref="J736" r:id="rId339" display="mailto:kssaiswaroop22@gmail.com" xr:uid="{4A5F54B8-1309-4062-B45B-A329AE50D6E4}"/>
    <hyperlink ref="J734" r:id="rId340" display="mailto:praneshrajan.for@gmail.com" xr:uid="{8441BD5E-A9C8-40C6-ADBA-39772040722C}"/>
    <hyperlink ref="J735" r:id="rId341" display="mailto:manojkaisalagi97@gmail.com" xr:uid="{AB09C622-537C-479E-8764-07EE3358F4B5}"/>
    <hyperlink ref="J737" r:id="rId342" display="mailto:gpaal369@gmail.com" xr:uid="{68656958-4D2A-4E56-88CF-EEDD07080E9B}"/>
    <hyperlink ref="J744" r:id="rId343" xr:uid="{44E30AD2-C37A-4F2F-86B2-F077E9863879}"/>
    <hyperlink ref="J745" r:id="rId344" xr:uid="{FDCC2509-0F3B-4B96-9238-B3E4CB805E61}"/>
    <hyperlink ref="J748" r:id="rId345" xr:uid="{92BD5B6C-9FB0-4C68-AA78-48703F368C0C}"/>
    <hyperlink ref="J749" r:id="rId346" xr:uid="{B359A37D-E161-4921-90F3-997C63760F7A}"/>
    <hyperlink ref="H754" r:id="rId347" display="Aman Rodrigues." xr:uid="{87AEC34D-71D7-47BD-9105-20E0F29A4534}"/>
    <hyperlink ref="J754" r:id="rId348" xr:uid="{9AAF3550-F84D-4AE4-84A7-50E7AD46F06B}"/>
    <hyperlink ref="J755" r:id="rId349" xr:uid="{7415B6E5-9795-4E2F-8596-0AF6BC90C730}"/>
    <hyperlink ref="J761" r:id="rId350" display="mailto:iambharath2003kid@gmail.com" xr:uid="{7327AA95-F463-493B-A66A-D514099CF401}"/>
    <hyperlink ref="J760" r:id="rId351" display="mailto:kingofkaprakapra@gmail.com" xr:uid="{2E5253E8-ACD1-452E-B234-38B83E979A28}"/>
    <hyperlink ref="J762" r:id="rId352" display="mailto:manjunatht360@gmail.com" xr:uid="{D1A2E8B9-F1ED-4C5C-9D5B-1E550E08DAE8}"/>
    <hyperlink ref="J763" r:id="rId353" display="mailto:soundarapandidce@gmail.com" xr:uid="{BB31A0ED-12C6-46C5-8752-451AAB0BDC67}"/>
    <hyperlink ref="J764" r:id="rId354" tooltip="mailto:harun.rasith2010@gmail.com" display="mailto:harun.rasith2010@gmail.com" xr:uid="{45FF198B-83C9-4961-B86C-67A4A43DBF3C}"/>
    <hyperlink ref="J765" r:id="rId355" tooltip="mailto:ramchandamc@gmail.com" display="mailto:ramchandamc@gmail.com" xr:uid="{6950A1DE-7BA0-4207-97A0-D171A34BEB45}"/>
    <hyperlink ref="H766" r:id="rId356" xr:uid="{DE353A61-D312-4F04-8340-6AD21DA5D1E0}"/>
    <hyperlink ref="J766" r:id="rId357" xr:uid="{4EC27C2C-7ECC-40F6-B5A0-842CAF0D9A79}"/>
    <hyperlink ref="H771" r:id="rId358" display="KARTHIK M" xr:uid="{B6CE8EC8-828E-4430-B236-0F77728467CE}"/>
    <hyperlink ref="H772" r:id="rId359" display="Sneha.K" xr:uid="{043FE2DF-9BE1-4463-9FE3-72ADCC1BD988}"/>
    <hyperlink ref="J771" r:id="rId360" xr:uid="{5A5C76A9-8195-45A2-ACE6-B76B30A77DB5}"/>
    <hyperlink ref="J772" r:id="rId361" xr:uid="{5029C28D-BF67-451A-A93C-F00674280336}"/>
    <hyperlink ref="J773" r:id="rId362" xr:uid="{FADCFF2A-BBC9-4699-98E4-067E3D525327}"/>
    <hyperlink ref="H777" r:id="rId363" xr:uid="{F201ACB9-C8D9-4700-B844-5AB976EDAF81}"/>
    <hyperlink ref="J777" r:id="rId364" xr:uid="{528BD7E8-6908-4B80-BB6B-AE24EACB30AA}"/>
    <hyperlink ref="J778" r:id="rId365" xr:uid="{CA08181C-FC48-411E-A07A-31D456A040BD}"/>
    <hyperlink ref="J779" r:id="rId366" display="mailto:sarotitan@gmail.com" xr:uid="{76A6D03E-8DEF-4FA6-B1CE-D04C7DDA79B2}"/>
    <hyperlink ref="J780" r:id="rId367" display="mailto:bindhusr1017@gmail.com" xr:uid="{C60C3A87-1651-43A5-9D0C-0CD0F263BFE7}"/>
    <hyperlink ref="J781" r:id="rId368" display="mailto:arunkumar939195@gmail.com" xr:uid="{A9DA5D81-FE77-453B-9A7D-03128B8183F8}"/>
    <hyperlink ref="J782" r:id="rId369" display="mailto:prajakta1552@gmail.com" xr:uid="{6D9F3016-F537-46B2-BF79-CA90D8BDAB6C}"/>
    <hyperlink ref="J783" r:id="rId370" display="mailto:Subhashreesahoo287@gmail.com" xr:uid="{A0C872CE-9FEE-499A-85A5-1CB8E4444B85}"/>
    <hyperlink ref="J784" r:id="rId371" display="mailto:yogeshwar2401@gmail.com" xr:uid="{9A36C139-150E-4301-9DBA-72318F7F1D07}"/>
    <hyperlink ref="J786" r:id="rId372" display="mailto:shajahan.shaike@gmail.com" xr:uid="{812D552E-7D6E-40DF-9E11-FCA2246963B6}"/>
    <hyperlink ref="J787" r:id="rId373" xr:uid="{B6996894-F779-4031-BDDD-E6A3DC87006D}"/>
    <hyperlink ref="J788" r:id="rId374" xr:uid="{8E80109F-448A-4222-8837-CC753983B3E0}"/>
    <hyperlink ref="J789" r:id="rId375" display="mailto:jaiminthakor781@gmail.com" xr:uid="{F2298B9C-D8B1-4103-ADE9-B784F25B3431}"/>
    <hyperlink ref="J790" r:id="rId376" display="mailto:vasukisrideeva@gmail.com" xr:uid="{C54FF6F0-AFB0-4877-B2DD-D351FD082BAF}"/>
    <hyperlink ref="J791" r:id="rId377" display="mailto:sangeethasrideev@gmail.com" xr:uid="{9690A3BF-E6AD-4CDF-BE99-147C8F162BBD}"/>
    <hyperlink ref="J826" r:id="rId378" display="mailto:divyamk1220@gmail.com" xr:uid="{B66EA45A-37B2-4ED7-A237-633F75E4E04B}"/>
    <hyperlink ref="J827" r:id="rId379" xr:uid="{053E5610-5077-4AAE-8646-C8C7CBB114E7}"/>
    <hyperlink ref="H832" r:id="rId380" display="https://resdex.naukri.com/v3/preview?tabKey=profile&amp;sid=8371004640&amp;paramString=8b485a994a0b1f7d419bf11cc53a6d4b13106&amp;hfFlowName=search&amp;commentSearchType=comment-my,comment-others&amp;totalResumes=25&amp;hiringForFlowId=bd41fcb3c0ffcccbbdf915a7d328cdd6&amp;pFlow=SEARCH_ID&amp;pFlowId=bd41fcb3c0ffcccbbdf915a7d328cdd6&amp;tupleIndex=2&amp;storageKey=8371004640-1&amp;parentHighLightingKey=8371004640-1&amp;activeIn=7&amp;parentSid=8371004640&amp;sidGroupId=bd41fcb3c0ffcccbbdf915a7d328cdd6&amp;uresid=977d2b4b0484dcc15b6cde3d75596ec35a5a0a55431309100702405f5a0a51491a0f1001024350590c554b120d176&amp;elasticType=es7&amp;uniqId=49f6d71dc2d7fa85f2e26220259c5ae158080c054f145f105716480d59085448420b17571347585d0c5019120e11511052595a0e524a10001702135209094f6" xr:uid="{D64CF842-7A6E-4128-B040-5F9AAC2C9195}"/>
    <hyperlink ref="H833" r:id="rId381" display="https://resdex.naukri.com/v3/preview?tabKey=profile&amp;sid=8371004640&amp;paramString=8b485a994a0b1f7d419bf11cc53a6d4b13106&amp;hfFlowName=search&amp;commentSearchType=comment-my,comment-others&amp;totalResumes=25&amp;hiringForFlowId=bd41fcb3c0ffcccbbdf915a7d328cdd6&amp;pFlow=SEARCH_ID&amp;pFlowId=bd41fcb3c0ffcccbbdf915a7d328cdd6&amp;tupleIndex=8&amp;storageKey=8371004640-1&amp;parentHighLightingKey=8371004640-1&amp;activeIn=7&amp;parentSid=8371004640&amp;sidGroupId=bd41fcb3c0ffcccbbdf915a7d328cdd6&amp;uresid=e236fa57ef74406d53d875d611020b165a5f0f54431000180002405f5a0a51491a0f100102435b5401594c160a106&amp;elasticType=es7&amp;uniqId=46d0f0d661daabf418c43f97c9c2f0fe0b550e5918450b435240445a595f03181a0911011140500e085342405840524352595a0e524a10001702135209094f6" xr:uid="{1AC15DC0-E3B5-4EA4-A1A6-EB85E6987B65}"/>
    <hyperlink ref="H834" r:id="rId382" display="https://resdex.naukri.com/v3/preview?tabKey=profile&amp;sid=8371017834&amp;paramString=8b485a994a0b1f7d419bf11cc53a6d4b13106&amp;hfFlowName=search&amp;commentSearchType=comment-my,comment-others&amp;totalResumes=3674&amp;hiringForFlowId=bd41fcb3c0ffcccbbdf915a7d328cdd6&amp;pFlow=SEARCH_ID&amp;pFlowId=bd41fcb3c0ffcccbbdf915a7d328cdd6&amp;tupleIndex=7&amp;storageKey=8371017834-1&amp;parentHighLightingKey=8371017834-1&amp;activeIn=7&amp;parentSid=8371017834&amp;sidGroupId=bd41fcb3c0ffcccbbdf915a7d328cdd6&amp;uresid=32f314f4653ef910ab0740743ba18db65b5c0e5243100f170302405f5a0a514e1309160702425a550d5543150e156&amp;elasticType=es7&amp;uniqId=e8a9618787bc591242db0a6a94604faf0d5c01564c1a5c4355124750590b554f1a0f43021015515d09524c100b19051652595a0e524a17091104155209094f6" xr:uid="{A098F5A7-73D7-4B8B-980A-3D9032634E3E}"/>
    <hyperlink ref="H835" r:id="rId383" display="https://resdex.naukri.com/v3/preview?tabKey=profile&amp;sid=8371017834&amp;paramString=8b485a994a0b1f7d419bf11cc53a6d4b13106&amp;hfFlowName=search&amp;commentSearchType=comment-my,comment-others&amp;totalResumes=3674&amp;hiringForFlowId=bd41fcb3c0ffcccbbdf915a7d328cdd6&amp;pFlow=SEARCH_ID&amp;pFlowId=bd41fcb3c0ffcccbbdf915a7d328cdd6&amp;tupleIndex=21&amp;storageKey=8371017834-1&amp;parentHighLightingKey=8371017834-1&amp;activeIn=7&amp;parentSid=8371017834&amp;sidGroupId=bd41fcb3c0ffcccbbdf915a7d328cdd6&amp;uresid=2790a5e7d5d4bf60bdea329d21354f425a5b0e524e1508150502405f5a0a514e1309160702435f550a584d1b0e196&amp;elasticType=es7&amp;uniqId=23a75137ff2974fd7303df69154a4cfd095d015219110a110747415f5958054f410a120740125e095a551f145a17511252595a0e524a17091104155209094f6" xr:uid="{0EB8EF61-F905-4A5C-A5ED-7AF07D8FEA2B}"/>
    <hyperlink ref="H836" r:id="rId384" display="https://resdex.naukri.com/v3/preview?tabKey=profile&amp;sid=8371017834&amp;paramString=8b485a994a0b1f7d419bf11cc53a6d4b13106&amp;hfFlowName=search&amp;commentSearchType=comment-my,comment-others&amp;totalResumes=3674&amp;hiringForFlowId=bd41fcb3c0ffcccbbdf915a7d328cdd6&amp;pFlow=SEARCH_ID&amp;pFlowId=bd41fcb3c0ffcccbbdf915a7d328cdd6&amp;tupleIndex=16&amp;storageKey=8371017834-1&amp;parentHighLightingKey=8371017834-1&amp;activeIn=7&amp;parentSid=8371017834&amp;sidGroupId=bd41fcb3c0ffcccbbdf915a7d328cdd6&amp;uresid=dec6c86894251221076dcab9dd38beb65a5d00524f120d120502405f5a0a514e1309160702435a5e09534f130d196&amp;elasticType=es7&amp;uniqId=b3a5d63b2a0e2ad55e075eb6c873d3770d0e090242450c125140145b595c544b1a5d120514130e5f5b5142425819031852595a0e524a17091104155209094f6" xr:uid="{5C626E65-1A18-4141-95D9-6CEF7D4AA512}"/>
    <hyperlink ref="J852" r:id="rId385" display="mailto:anilkr1187@gmail.com" xr:uid="{3BA74AD3-CA9B-4EAC-B6B6-1AB10731C9FE}"/>
    <hyperlink ref="J853" r:id="rId386" display="mailto:shaik.shakeer01@gmail.com" xr:uid="{1D1F210D-92A4-4E03-8658-92FF59532023}"/>
    <hyperlink ref="J854" r:id="rId387" display="mailto:jeeva006nantham@gmail.com" xr:uid="{08DF640C-FD86-4D73-86D7-FCDAC8ED1EBE}"/>
    <hyperlink ref="J855" r:id="rId388" display="mailto:keerthikkumar3333@gmail.com" xr:uid="{353ADB2E-7E08-44D3-851E-E17551C5AEC3}"/>
    <hyperlink ref="H856" r:id="rId389" display="https://resdex.naukri.com/v3/preview?tabKey=profile&amp;sid=8371004640&amp;paramString=8b485a994a0b1f7d419bf11cc53a6d4b13106&amp;hfFlowName=search&amp;commentSearchType=comment-my,comment-others&amp;totalResumes=25&amp;hiringForFlowId=bd41fcb3c0ffcccbbdf915a7d328cdd6&amp;pFlow=SEARCH_ID&amp;pFlowId=bd41fcb3c0ffcccbbdf915a7d328cdd6&amp;tupleIndex=7&amp;storageKey=8371004640-1&amp;parentHighLightingKey=8371004640-1&amp;activeIn=7&amp;parentSid=8371004640&amp;sidGroupId=bd41fcb3c0ffcccbbdf915a7d328cdd6&amp;uresid=106f94943837be1c637c6d79175ca0405b5d01534b1a00190702405f5a0a51491a0f1001024259540b564b1708196&amp;elasticType=es7&amp;uniqId=a6b6fe1366935811816e44b0d635ac8d5d0e5a07421b5f180342105a5901051f420916511314595b0f511f470e44041252595a0e524a10001702135209094f6" xr:uid="{81C5CCDF-94A4-4D15-BE98-9D5C8BF1D6FF}"/>
    <hyperlink ref="H857" r:id="rId390" display="https://resdex.naukri.com/v3/preview?tabKey=profile&amp;sid=8371017834&amp;paramString=8b485a994a0b1f7d419bf11cc53a6d4b13106&amp;hfFlowName=search&amp;commentSearchType=comment-my,comment-others&amp;totalResumes=3674&amp;hiringForFlowId=bd41fcb3c0ffcccbbdf915a7d328cdd6&amp;pFlow=SEARCH_ID&amp;pFlowId=bd41fcb3c0ffcccbbdf915a7d328cdd6&amp;tupleIndex=3&amp;storageKey=8371017834-1&amp;parentHighLightingKey=8371017834-1&amp;activeIn=7&amp;parentSid=8371017834&amp;sidGroupId=bd41fcb3c0ffcccbbdf915a7d328cdd6&amp;uresid=53a3014352e934d86ae488154e9b912659550c56481a0f180a02405f5a0a514e13091607024051550d50421008106&amp;elasticType=es7&amp;uniqId=3b302a85744faa313b1fd83ff23fba755e5f5a521e465a155042470a595a571e410910521014090c0e054f100a10564452595a0e524a17091104155209094f6" xr:uid="{0E6C3B2D-8B6C-4516-83B0-7D48484FD6DE}"/>
    <hyperlink ref="H858" r:id="rId391" display="https://resdex.naukri.com/v3/preview?tabKey=profile&amp;sid=8371017834&amp;paramString=8b485a994a0b1f7d419bf11cc53a6d4b13106&amp;hfFlowName=search&amp;commentSearchType=comment-my,comment-others&amp;totalResumes=3674&amp;hiringForFlowId=bd41fcb3c0ffcccbbdf915a7d328cdd6&amp;pFlow=SEARCH_ID&amp;pFlowId=bd41fcb3c0ffcccbbdf915a7d328cdd6&amp;tupleIndex=13&amp;storageKey=8371017834-1&amp;parentHighLightingKey=8371017834-1&amp;activeIn=7&amp;parentSid=8371017834&amp;sidGroupId=bd41fcb3c0ffcccbbdf915a7d328cdd6&amp;uresid=955f4cf8a11956811a209ebe867e807e5b5d0b5748160e190302405f5a0a514e130916070242595e0f594a1009156&amp;elasticType=es7&amp;uniqId=4df54fa35b019cdfb8e3418cabbd37bb0b0b00051f17001451141450595f5843420c420247170a0e0e5043410916554552595a0e524a17091104155209094f6" xr:uid="{079DCE49-1E39-4E14-A961-01E0A98941D2}"/>
    <hyperlink ref="H859" r:id="rId392" display="https://resdex.naukri.com/v3/preview?tabKey=profile&amp;sid=8371017834&amp;paramString=8b485a994a0b1f7d419bf11cc53a6d4b13106&amp;hfFlowName=search&amp;commentSearchType=comment-my,comment-others&amp;totalResumes=3674&amp;hiringForFlowId=bd41fcb3c0ffcccbbdf915a7d328cdd6&amp;pFlow=SEARCH_ID&amp;pFlowId=bd41fcb3c0ffcccbbdf915a7d328cdd6&amp;tupleIndex=20&amp;storageKey=8371017834-1&amp;parentHighLightingKey=8371017834-1&amp;activeIn=7&amp;parentSid=8371017834&amp;sidGroupId=bd41fcb3c0ffcccbbdf915a7d328cdd6&amp;uresid=99e98062d87eefd45e090453d2a56b565b5d0b554c1508190502405f5a0a514e130916070242595e0c534a140f196&amp;elasticType=es7&amp;uniqId=37da7b685bf96d1dfe20652301878f7e5c0e0a071f450e1407151458590a04191b5d420b4042580b5f594f160811521852595a0e524a17091104155209094f6" xr:uid="{10C7BE44-DBF3-4987-BE67-03416529DFC1}"/>
    <hyperlink ref="H860" r:id="rId393" display="https://resdex.naukri.com/v3/preview?tabKey=profile&amp;sid=8371017834&amp;paramString=8b485a994a0b1f7d419bf11cc53a6d4b13106&amp;hfFlowName=search&amp;commentSearchType=comment-my,comment-others&amp;totalResumes=3674&amp;hiringForFlowId=bd41fcb3c0ffcccbbdf915a7d328cdd6&amp;pFlow=SEARCH_ID&amp;pFlowId=bd41fcb3c0ffcccbbdf915a7d328cdd6&amp;tupleIndex=0&amp;storageKey=8371017834-1&amp;parentHighLightingKey=8371017834-1&amp;activeIn=7&amp;parentSid=8371017834&amp;sidGroupId=bd41fcb3c0ffcccbbdf915a7d328cdd6&amp;uresid=716a525be86c471be6b49ca9ca60e4465b5f085442100c120102405f5a0a514e1309160702425b5f0f5242100b176&amp;elasticType=es7&amp;uniqId=cd1c34a34a270f71bf9eb703b9cd6e7009085c00494201120b15105e595f044a4200165518490b0b5c5543455c47554052595a0e524a17091104155209094f6" xr:uid="{7A9F8185-B4B0-4E90-AA35-FC1F3A421246}"/>
    <hyperlink ref="H878" r:id="rId394" xr:uid="{D4378A57-EAEC-47F4-BAB0-DE78CEF9DDAB}"/>
    <hyperlink ref="H879" r:id="rId395" xr:uid="{6B343484-FC92-4AF4-9BDB-FB459938831C}"/>
    <hyperlink ref="H880" r:id="rId396" xr:uid="{C1756A1C-2782-4550-BC57-C2E4D39ADE4B}"/>
    <hyperlink ref="J879" r:id="rId397" xr:uid="{D93F665F-D856-4A8A-B5D0-55F237D3A7C3}"/>
    <hyperlink ref="J880" r:id="rId398" xr:uid="{3A0C56DB-8AD1-4138-9514-70A85387F81B}"/>
    <hyperlink ref="H881" r:id="rId399" xr:uid="{B28FECCB-6BFF-4E1C-AF26-27DE06F483EB}"/>
    <hyperlink ref="J881" r:id="rId400" xr:uid="{34081C62-2DF0-4855-81B4-356AC3B43038}"/>
    <hyperlink ref="H882" r:id="rId401" xr:uid="{3001CADC-6199-464D-8013-CF0F0340606A}"/>
    <hyperlink ref="J882" r:id="rId402" xr:uid="{EBC46B03-7980-4CE7-BAD2-6256BABC01D6}"/>
    <hyperlink ref="H884" r:id="rId403" xr:uid="{29033BEE-E344-43B6-BFA5-4AF695A0CCF0}"/>
    <hyperlink ref="H885" r:id="rId404" xr:uid="{0C6798DD-6284-40B6-910C-395A7B29AEE9}"/>
    <hyperlink ref="J886" r:id="rId405" xr:uid="{521D3665-FAB2-4D05-8AAE-256288317F83}"/>
    <hyperlink ref="J887" r:id="rId406" xr:uid="{93AF9965-34A2-4052-8A79-A12F5FCF029F}"/>
    <hyperlink ref="J893" r:id="rId407" display="mailto:anumolunaresh95@gmail.com" xr:uid="{E3E09DF4-EF28-407B-B61A-72C0A3AF2F73}"/>
    <hyperlink ref="J894" r:id="rId408" display="mailto:bheerappawage@gmail.com" xr:uid="{B0235BC4-A809-4144-A057-8BD0D19A8B25}"/>
    <hyperlink ref="J899" r:id="rId409" display="mailto:somnathchougule01@gmail.com" xr:uid="{0E21FFC5-BD58-46D6-AD7F-C572C1D4CABE}"/>
    <hyperlink ref="J900" r:id="rId410" display="mailto:Vikramsharma0901@gmail.com" xr:uid="{1C5D11E9-6DF3-4198-9271-279574832591}"/>
    <hyperlink ref="J930" r:id="rId411" xr:uid="{5F208721-D793-4685-8CCE-417A63682FAB}"/>
    <hyperlink ref="J960" r:id="rId412" xr:uid="{DB682E68-00AA-48E8-9074-8AC96F540D7A}"/>
    <hyperlink ref="H961" r:id="rId413" xr:uid="{318FD615-3243-4627-A66D-2E124FE73DB2}"/>
    <hyperlink ref="H962" r:id="rId414" xr:uid="{803E1A49-C4B2-4A35-94EE-0D56B73465C8}"/>
    <hyperlink ref="H963" r:id="rId415" xr:uid="{CC8A5E28-9BDD-4340-A09F-0DE02FEF715B}"/>
    <hyperlink ref="J961" r:id="rId416" xr:uid="{E0DE71BB-A1C8-45DC-B317-5E1136DD3934}"/>
    <hyperlink ref="J964" r:id="rId417" xr:uid="{2F596734-3885-44DD-B0A1-FFCA12200A26}"/>
    <hyperlink ref="J962" r:id="rId418" xr:uid="{4BB7117C-11C0-4F68-B04A-58CDF250E6E4}"/>
    <hyperlink ref="J963" r:id="rId419" xr:uid="{7E96237B-363D-42D2-B2AC-A717F3D075C4}"/>
    <hyperlink ref="H968" r:id="rId420" xr:uid="{FB99CB00-204F-4887-8CD8-CC0CBB9C1E3D}"/>
    <hyperlink ref="H971" r:id="rId421" xr:uid="{90F1FD1F-9BD7-414C-90F8-EBF94C1E7B40}"/>
    <hyperlink ref="H972" r:id="rId422" xr:uid="{5760A742-D8ED-489C-B97C-D2FC73AA012C}"/>
    <hyperlink ref="H973" r:id="rId423" xr:uid="{B42671F8-977C-4548-960A-8393155DAB1E}"/>
    <hyperlink ref="H969" r:id="rId424" xr:uid="{AF3D5CE1-CCBB-4EE8-8506-18CAB8ED9FE7}"/>
    <hyperlink ref="H970" r:id="rId425" xr:uid="{B2FA9833-A5F5-42F6-9C14-5D0F1CF91372}"/>
    <hyperlink ref="H974" r:id="rId426" xr:uid="{43541E0C-176B-4BE2-B856-7841B82D9D21}"/>
    <hyperlink ref="H975" r:id="rId427" xr:uid="{9E748EB4-519C-40D0-B518-D0DF64B5356E}"/>
    <hyperlink ref="H985" r:id="rId428" xr:uid="{44E22623-1E65-453E-A8EB-CD530CF94658}"/>
    <hyperlink ref="H987" r:id="rId429" xr:uid="{97AD56CB-9D9A-43A7-96FC-25BAE2A9B4DB}"/>
    <hyperlink ref="H988" r:id="rId430" xr:uid="{1540546E-17FB-4998-BF00-23EA9425C74B}"/>
    <hyperlink ref="J1010" r:id="rId431" xr:uid="{862C14D7-F35A-4C3C-83AF-760C2E8C688B}"/>
    <hyperlink ref="J985" r:id="rId432" xr:uid="{913BBE0F-B2CF-48E0-AE66-CAC677D97292}"/>
    <hyperlink ref="J987" r:id="rId433" xr:uid="{BE26F109-6E1A-4134-8E8D-5200115C752B}"/>
    <hyperlink ref="J986" r:id="rId434" xr:uid="{DF5D5191-F95D-4796-856D-A2A440AA6A50}"/>
    <hyperlink ref="J988" r:id="rId435" xr:uid="{281F22D2-98D2-467C-B5DF-7F91F0094860}"/>
    <hyperlink ref="H1014" r:id="rId436" xr:uid="{FB1D25B5-C47A-4C7F-AB51-E875E65BA6AD}"/>
    <hyperlink ref="H1015" r:id="rId437" xr:uid="{68996642-B37C-4998-9C3C-E2ED33B84B80}"/>
    <hyperlink ref="H1016" r:id="rId438" xr:uid="{45B6867D-F404-4E61-92B9-3906B4694C70}"/>
    <hyperlink ref="H1017" r:id="rId439" display="BHUPENDER SHARMA" xr:uid="{62EF2888-053D-440C-964F-A0D292401C77}"/>
    <hyperlink ref="H1018" r:id="rId440" xr:uid="{D2FB1BF3-7D1D-46B4-8C44-C788188B2131}"/>
    <hyperlink ref="H1019" r:id="rId441" xr:uid="{FCB04E23-BC41-4FE8-9CA8-801687C138BA}"/>
    <hyperlink ref="H1020" r:id="rId442" xr:uid="{B50BD95D-CFCC-49DF-BA6E-3E5314DECFD8}"/>
    <hyperlink ref="J1014" r:id="rId443" xr:uid="{1507114A-7313-497F-8EC1-9376400BB195}"/>
    <hyperlink ref="J1015" r:id="rId444" xr:uid="{73D36A80-6574-44F8-9DD2-F6E6EE0B64A7}"/>
    <hyperlink ref="J1016" r:id="rId445" xr:uid="{C3753D75-7AFE-46AD-B7A9-67731E698C58}"/>
    <hyperlink ref="J1021" r:id="rId446" xr:uid="{8165F7FB-5019-42B8-9289-60B567152AB4}"/>
    <hyperlink ref="J1018" r:id="rId447" xr:uid="{A671515F-AC7B-4BAA-9104-5D12888E2E24}"/>
    <hyperlink ref="J1019" r:id="rId448" xr:uid="{AC3F94E0-32A2-4F97-9C3E-D4395DD34034}"/>
    <hyperlink ref="J1022" r:id="rId449" xr:uid="{C0762AC2-7497-4B30-8145-6CD657FF73AB}"/>
    <hyperlink ref="J1020" r:id="rId450" xr:uid="{9FED6A64-53BF-41D4-B4D3-AF650D276946}"/>
    <hyperlink ref="H1023" r:id="rId451" xr:uid="{5F74DAE5-562F-40EF-B701-BE8E6F9F3026}"/>
    <hyperlink ref="J1023" r:id="rId452" xr:uid="{481B9ADE-DA5F-49E1-9987-D85ABC7DCEED}"/>
    <hyperlink ref="J1025" r:id="rId453" display="mailto:kpoojaryshreyas@gmail.com" xr:uid="{E7202906-5A05-40DA-8CFE-8DD29B74E505}"/>
    <hyperlink ref="J1026" r:id="rId454" display="mailto:manishmalkania@gmail.com" xr:uid="{A9FBBC99-A645-4412-92B3-6DC9D299E90B}"/>
    <hyperlink ref="J1027" r:id="rId455" display="mailto:sasank.km@gmail.com" xr:uid="{AFDB2015-E0E9-4556-8ADA-668C7F4AF18E}"/>
    <hyperlink ref="J1028" r:id="rId456" display="mailto:vikasachar3333@gmail.com" xr:uid="{5A3BA541-DB25-43DB-B4D7-511B79251C1C}"/>
    <hyperlink ref="J1031" r:id="rId457" xr:uid="{B4AAAEA0-8B21-465B-A4D0-5425B254B218}"/>
    <hyperlink ref="J1033" r:id="rId458" display="mailto:mamata.veeranna@gmail.com" xr:uid="{BE41C81F-45BE-41C9-BA6E-9F5587CF0570}"/>
    <hyperlink ref="J1034" r:id="rId459" display="mailto:suryajyothirmai@gmail.com" xr:uid="{B419D9E6-9E1D-474E-95EB-CE6A56292CCB}"/>
    <hyperlink ref="J1035" r:id="rId460" display="mailto:setusrinivasp@gmail.com" xr:uid="{DE80AACE-7D36-4057-89DD-1F462449743D}"/>
    <hyperlink ref="J1036" r:id="rId461" display="mailto:anandbpatil10@gmail.com" xr:uid="{56C226E3-BB95-4C30-91C4-D3A6AEA8C8EA}"/>
    <hyperlink ref="J1037" r:id="rId462" display="mailto:madhuk.20@gmail.com" xr:uid="{8556383F-1E57-4F70-A07D-98FA89C8B7E9}"/>
    <hyperlink ref="J1038" r:id="rId463" display="mailto:vinothkumarmagendiran@gmail.com" xr:uid="{4974A565-0917-4312-B74D-49337DF9C73C}"/>
    <hyperlink ref="J1039" r:id="rId464" display="mailto:suchitrap.suchi@gmail.com" xr:uid="{266A5253-8A49-4D1A-A4B1-E82B274570D7}"/>
    <hyperlink ref="J1040" r:id="rId465" display="mailto:melbinrc@gmail.com" xr:uid="{FB777C06-3CB2-4040-8176-36DDA7CC4D0B}"/>
    <hyperlink ref="J1041" r:id="rId466" display="mailto:vishnuprakashg7@gmail.com" xr:uid="{ECD21C3E-E71A-40D1-86AF-E6600C1A2386}"/>
    <hyperlink ref="J1042" r:id="rId467" display="mailto:prasad.dwd@gmail.com" xr:uid="{C56D5A89-BD8C-4EED-9D91-045B2104B41D}"/>
    <hyperlink ref="J1043" r:id="rId468" display="mailto:kumarsantha88@gmail.com" xr:uid="{4A2ED57D-1553-4823-8C48-5C3DAB24F104}"/>
    <hyperlink ref="J1045" r:id="rId469" display="mailto:akshaykumar142p@gmail.com" xr:uid="{737C7EF4-D4A5-49B5-86E0-8CF88B1D136D}"/>
    <hyperlink ref="J1046" r:id="rId470" display="mailto:sameerwawa4@gmail.com" xr:uid="{B653413C-DF55-4378-9939-7908163EB0C4}"/>
    <hyperlink ref="J661" r:id="rId471" xr:uid="{CB40580D-4ADE-473B-98D1-F555F7212CE5}"/>
    <hyperlink ref="H1054" r:id="rId472" xr:uid="{8A1EDC96-1703-4783-B6A1-147E20465688}"/>
    <hyperlink ref="H1057" r:id="rId473" xr:uid="{9C4B0366-0730-4D42-8E21-9EDC36A63272}"/>
    <hyperlink ref="H1059" r:id="rId474" xr:uid="{05D576BD-17DE-44B9-8A84-56AD01E9AC59}"/>
    <hyperlink ref="H1063" r:id="rId475" xr:uid="{3BC1CFFF-1572-4FC1-A6D5-921DB87C67D5}"/>
    <hyperlink ref="H1064" r:id="rId476" xr:uid="{4995B619-3E4F-4875-A4C2-86FADD78A0F2}"/>
    <hyperlink ref="H1065" r:id="rId477" xr:uid="{01F8BB5F-7088-40CB-BE26-C9D660068A42}"/>
    <hyperlink ref="H1066" r:id="rId478" xr:uid="{069E9702-88FC-4B5B-9758-D8FE1BD3F1E1}"/>
    <hyperlink ref="H1067" r:id="rId479" xr:uid="{E6F86B9C-D321-4D1A-BFBC-4F980B22DC38}"/>
    <hyperlink ref="H1068" r:id="rId480" xr:uid="{5FB8BC12-5CC8-4B74-86C5-6FF8C6F54619}"/>
    <hyperlink ref="J1055" r:id="rId481" xr:uid="{282813AD-C3D8-493C-9440-D3CF95FF126F}"/>
    <hyperlink ref="J1057" r:id="rId482" xr:uid="{4D48D19E-4CB9-41DC-91D9-E0BD0B610B45}"/>
    <hyperlink ref="J1056" r:id="rId483" xr:uid="{417FA726-4320-4277-8570-5D949742D8D2}"/>
    <hyperlink ref="J1054" r:id="rId484" xr:uid="{DA1EA0F3-2C36-4771-BF5C-365A67DB170C}"/>
    <hyperlink ref="J1058" r:id="rId485" xr:uid="{D070AA87-8B5D-4B5D-9049-F7EFFE154F6B}"/>
    <hyperlink ref="J1060" r:id="rId486" xr:uid="{6FA26E6C-64A2-4DED-89DF-F6E38545F9D2}"/>
    <hyperlink ref="J1061" r:id="rId487" xr:uid="{5026FF11-6F1E-4398-AD48-17E18DDE334B}"/>
    <hyperlink ref="J1062" r:id="rId488" xr:uid="{7E2D174A-156C-4FA6-9707-E7C786A45A02}"/>
    <hyperlink ref="J1064" r:id="rId489" xr:uid="{6977AF8F-7B69-496B-9F20-E8778F5086B4}"/>
    <hyperlink ref="J1065" r:id="rId490" xr:uid="{699A5BBD-3AEF-45C1-AA17-CE141F25AF83}"/>
    <hyperlink ref="J1066" r:id="rId491" xr:uid="{5487A861-1C55-498B-9CAA-8B93BDEC5FC7}"/>
    <hyperlink ref="J1067" r:id="rId492" xr:uid="{9AE2C404-7CA7-4828-864A-0CF348E8D89C}"/>
    <hyperlink ref="J1063" r:id="rId493" xr:uid="{6B10347E-47C3-4DAC-B3C5-0192FD1B9542}"/>
    <hyperlink ref="J1068" r:id="rId494" xr:uid="{ABC9A28D-7F33-4C7E-8F17-B0D17AF61C87}"/>
    <hyperlink ref="H1069" r:id="rId495" xr:uid="{C942E50D-6E59-4690-81CC-08E30C01BE2C}"/>
    <hyperlink ref="J1069" r:id="rId496" xr:uid="{7783DBDC-BE1E-4F0B-AEBE-2056186C6AA8}"/>
    <hyperlink ref="H1070" r:id="rId497" xr:uid="{933D5453-F008-4FC5-9CF6-7A16069C89EB}"/>
    <hyperlink ref="H1071" r:id="rId498" xr:uid="{600A6867-6280-4782-B1A9-C2D6499ED6BE}"/>
    <hyperlink ref="H1073" r:id="rId499" xr:uid="{7414E113-2E35-4A24-B394-BEDCA6DAEC15}"/>
    <hyperlink ref="H1074" r:id="rId500" xr:uid="{167067CC-D2E2-4424-9482-D2B3EAC78B91}"/>
    <hyperlink ref="J1074" r:id="rId501" xr:uid="{A6A8859F-80CC-4D3D-9086-EBB73D3DAF62}"/>
    <hyperlink ref="J1070" r:id="rId502" xr:uid="{6FEE3A31-54D7-474E-885D-36445FADEDCE}"/>
    <hyperlink ref="J1071" r:id="rId503" xr:uid="{DDA7496E-CF95-4C8F-AC54-467C7A82DF9C}"/>
    <hyperlink ref="J1072" r:id="rId504" xr:uid="{83AF4A5A-8756-456A-8EA2-330871069C06}"/>
    <hyperlink ref="J1073" r:id="rId505" xr:uid="{065402F6-0D92-4ADB-A6E5-EF27BC3B87B6}"/>
    <hyperlink ref="J1090" r:id="rId506" xr:uid="{18079642-EB5F-48B5-81AC-0C2B804D52BA}"/>
    <hyperlink ref="J1092" r:id="rId507" display="mailto:ambikasingh1991@gmail.com" xr:uid="{8033FBF2-50B5-4718-B634-B80514496715}"/>
    <hyperlink ref="J1093" r:id="rId508" display="mailto:shanmukaprian1997@gmail.com" xr:uid="{27BF6E0B-D081-4C4F-926B-5FDC27A173BE}"/>
    <hyperlink ref="J1094" r:id="rId509" xr:uid="{E4FE60A7-7958-48F6-AB99-D4DC37781134}"/>
    <hyperlink ref="J1096" r:id="rId510" display="mailto:babinbabin4321@gmail.com" xr:uid="{46B8A11C-4C4A-4183-8DF4-B9A10005E4AE}"/>
    <hyperlink ref="J1097" r:id="rId511" display="mailto:aravindhansuresh3108@gmail.com" xr:uid="{C355B7A0-857B-4709-8370-F6BDC1E0CDB3}"/>
    <hyperlink ref="J1098" r:id="rId512" display="mailto:sangeethasivan81@gmail.com" xr:uid="{BCD3A55A-1387-4CFA-9F41-1664C366400B}"/>
    <hyperlink ref="J1103" r:id="rId513" display="mailto:priyankaisdynamics@gmail.com" xr:uid="{2B7A017E-1122-4DD2-BDD6-06A11A7B9F71}"/>
    <hyperlink ref="J1104" r:id="rId514" display="mailto:hareeshrangani36@gmail.com" xr:uid="{32329A4A-E3AB-4C36-95E7-B5F0691BF5FC}"/>
    <hyperlink ref="J1105" r:id="rId515" xr:uid="{6E6EBB98-A58F-40E0-963E-74EFBDB0DE79}"/>
    <hyperlink ref="J1119" r:id="rId516" xr:uid="{D2E5319E-6950-4E0E-8929-2452D4502A6A}"/>
    <hyperlink ref="H1120" r:id="rId517" xr:uid="{98CE9ED3-A9F0-456F-8C8B-2FAD54FC24CA}"/>
    <hyperlink ref="H1121" r:id="rId518" xr:uid="{A3F67F1E-3484-4189-95F6-9E4FCB837471}"/>
    <hyperlink ref="H1122" r:id="rId519" xr:uid="{D919827D-1FEA-4FE2-B3E3-A9009D1518D5}"/>
    <hyperlink ref="H1123" r:id="rId520" xr:uid="{86754474-1E70-4F75-B716-94C400427F63}"/>
    <hyperlink ref="H1124" r:id="rId521" xr:uid="{77648227-6AA9-4D0B-9DE0-782A7B72A01B}"/>
    <hyperlink ref="H1125" r:id="rId522" xr:uid="{5BBED40C-3FD9-4772-80AE-F3B2D5C8B156}"/>
    <hyperlink ref="J1120" r:id="rId523" xr:uid="{57153F73-86A4-4569-8903-5D12727A1568}"/>
    <hyperlink ref="J1121" r:id="rId524" xr:uid="{BF2F9B05-98F0-4FB2-982E-D170F30FAE03}"/>
    <hyperlink ref="J1123" r:id="rId525" xr:uid="{9BB80849-D9F9-485C-A094-CB6636A3594C}"/>
    <hyperlink ref="J1124" r:id="rId526" xr:uid="{336C9592-9309-4AE7-BCD9-7AA380E88FB1}"/>
    <hyperlink ref="J1125" r:id="rId527" xr:uid="{F6EBBA38-F2E4-4021-8ACE-ECAC80F3384F}"/>
    <hyperlink ref="J1126" r:id="rId528" xr:uid="{5EA44CE3-CB0B-411D-95F8-0BCEB43A4A9F}"/>
    <hyperlink ref="J1122" r:id="rId529" xr:uid="{8AB528D8-75AA-449E-9B30-EEFBBAE587F1}"/>
    <hyperlink ref="H1127" r:id="rId530" xr:uid="{93A3B2A2-5593-4EA8-AE7C-9F318B1B9467}"/>
    <hyperlink ref="H1128" r:id="rId531" xr:uid="{87B493FB-9CAD-4B33-9F0E-34F15D987C68}"/>
    <hyperlink ref="H1129" r:id="rId532" xr:uid="{02E6F25B-A8D5-46FE-9BC4-15845FBEF5E0}"/>
    <hyperlink ref="J1127" r:id="rId533" xr:uid="{5E901147-336C-476B-AD17-484EE6A01169}"/>
    <hyperlink ref="J1128" r:id="rId534" xr:uid="{125CBED3-62B3-4183-AA3D-50185FDCD02D}"/>
    <hyperlink ref="J1129" r:id="rId535" xr:uid="{E063CA1C-5B73-4866-8302-6BA8A8D63196}"/>
    <hyperlink ref="H1130" r:id="rId536" xr:uid="{65D84137-1D8C-4628-97B3-1F3A07FE0CDD}"/>
    <hyperlink ref="H1131" r:id="rId537" xr:uid="{1E03E174-0660-4DDF-B0B5-D8B741CF7502}"/>
    <hyperlink ref="H1132" r:id="rId538" xr:uid="{29566EB5-D595-4317-804E-E0DA4EF84014}"/>
    <hyperlink ref="H1134" r:id="rId539" xr:uid="{0173797C-CEB0-41E7-A4BB-4886573E1AB2}"/>
    <hyperlink ref="J1130" r:id="rId540" xr:uid="{E8F4DECE-10E9-4B35-AEE8-E06325AD68F2}"/>
    <hyperlink ref="J1131" r:id="rId541" xr:uid="{48AD8E09-887B-490F-9CB2-1712BC718674}"/>
    <hyperlink ref="J1132" r:id="rId542" xr:uid="{A49E4AC6-5CBC-42A0-918B-5B51FA0D4A10}"/>
    <hyperlink ref="J1133" r:id="rId543" xr:uid="{78E39831-F7A5-4EB8-887C-248626DD98AC}"/>
    <hyperlink ref="J1134" r:id="rId544" xr:uid="{44EC0521-E35B-4F41-B09D-EC8405E12857}"/>
    <hyperlink ref="J1135" r:id="rId545" xr:uid="{07CE9E9D-E82B-4E60-95C0-53CEF78D2D0A}"/>
    <hyperlink ref="J1136" r:id="rId546" xr:uid="{B3CB5A68-E262-4EAE-BED1-788038A539BC}"/>
    <hyperlink ref="H1137" r:id="rId547" xr:uid="{5D102953-21B3-41D7-9E0C-740356033AE8}"/>
    <hyperlink ref="H1138" r:id="rId548" display="Sujith Kumar k c" xr:uid="{13C25E4D-B5FD-4AA2-888E-959124647813}"/>
    <hyperlink ref="H1139" r:id="rId549" display="JEEVAN R" xr:uid="{96539E91-0242-4E37-9F57-FFCF8D3E578F}"/>
    <hyperlink ref="J1137" r:id="rId550" xr:uid="{92A049F0-6A5F-4C97-BB1A-2F15D6422465}"/>
    <hyperlink ref="J1138" r:id="rId551" xr:uid="{140DEBF0-D2D4-447D-8BAD-C1BF445806AB}"/>
    <hyperlink ref="J1139" r:id="rId552" xr:uid="{9DBB06D6-504B-46B5-ACBD-97DD5AAF62D6}"/>
    <hyperlink ref="H1144" r:id="rId553" xr:uid="{182F8EAA-F81E-4FE2-A753-ECAFEF626DDA}"/>
    <hyperlink ref="H1146" r:id="rId554" xr:uid="{705BB087-5EA3-4334-8541-1C7B4DE7FCA5}"/>
    <hyperlink ref="H1147" r:id="rId555" xr:uid="{5929847D-57E3-4C9A-9266-1068DF9A12E4}"/>
    <hyperlink ref="H1149" r:id="rId556" xr:uid="{669AE90F-384D-4A1D-8E86-74D0F7640842}"/>
    <hyperlink ref="H1150" r:id="rId557" xr:uid="{515735B1-9B25-405C-8B00-B842113DDF9F}"/>
    <hyperlink ref="H1151" r:id="rId558" xr:uid="{ED463F82-8580-45BB-8FAB-9D3FF8840DF1}"/>
    <hyperlink ref="H1153" r:id="rId559" display="ANJU JACOB" xr:uid="{3745D0F8-E54C-4E23-AFEF-B1C17D9FA8FA}"/>
    <hyperlink ref="H1152" r:id="rId560" xr:uid="{DDB57CDB-53C9-4C20-B430-EBD4B2B06729}"/>
    <hyperlink ref="J1148" r:id="rId561" xr:uid="{9DD63127-A90C-4520-A165-E85329E9C56C}"/>
    <hyperlink ref="J1144" r:id="rId562" xr:uid="{C7B826B6-5394-4B2B-8F3B-11E9A581F9FD}"/>
    <hyperlink ref="J1145" r:id="rId563" xr:uid="{C3BAA795-C882-4BCA-97AF-177FCF91F41B}"/>
    <hyperlink ref="J1146" r:id="rId564" xr:uid="{DA29BE64-2A7D-469B-AD87-A81313C8FCFD}"/>
    <hyperlink ref="J1147" r:id="rId565" xr:uid="{B79715F8-DFFF-413E-85FA-B7BDD1C32382}"/>
    <hyperlink ref="J1149" r:id="rId566" xr:uid="{6E323457-CA99-4974-B84D-FCE33A878E73}"/>
    <hyperlink ref="J1150" r:id="rId567" xr:uid="{5FA04686-B1E5-4243-9773-5452B7F541FB}"/>
    <hyperlink ref="J1151" r:id="rId568" xr:uid="{61893206-81BA-4AB2-BF3E-B0B9ED777F90}"/>
    <hyperlink ref="J1152" r:id="rId569" xr:uid="{3551A059-0451-4E3B-85B6-7542F034B3E5}"/>
    <hyperlink ref="J1153" r:id="rId570" xr:uid="{CE5DCE3D-0585-4914-ADAF-C87928C3AA93}"/>
    <hyperlink ref="H1169" r:id="rId571" xr:uid="{007F5EED-1322-4B40-B88A-1C873992E1B5}"/>
    <hyperlink ref="H1171" r:id="rId572" xr:uid="{02B53392-A042-442E-800D-9935B6EB4844}"/>
    <hyperlink ref="H1172" r:id="rId573" xr:uid="{2FF7C618-2FFA-449B-8377-4269970D79CB}"/>
    <hyperlink ref="J1169" r:id="rId574" xr:uid="{7BC83054-A41A-4217-A052-FBCC1C9A844C}"/>
    <hyperlink ref="J1170" r:id="rId575" xr:uid="{E9BD89A1-7F6C-4872-8444-3C9DC7C80798}"/>
    <hyperlink ref="J1171" r:id="rId576" xr:uid="{7B4C64C9-C54A-44F7-B603-4DFCDF171569}"/>
    <hyperlink ref="J1172" r:id="rId577" xr:uid="{B2BB8D30-247C-4440-AA1A-2C5DBCF16B56}"/>
    <hyperlink ref="J1173" r:id="rId578" xr:uid="{AED9B1D2-FA2A-48B5-9F96-44EDCEB02305}"/>
    <hyperlink ref="J1174" r:id="rId579" xr:uid="{7F9D7C0C-C4B7-410A-A959-29798EFAD915}"/>
    <hyperlink ref="H1181" r:id="rId580" xr:uid="{7E9D7063-1431-440F-B78F-C49538B51085}"/>
    <hyperlink ref="H1182" r:id="rId581" xr:uid="{BB8EE70C-3026-4807-9F63-E2777FA4B2BD}"/>
    <hyperlink ref="J1182" r:id="rId582" xr:uid="{52A98F2E-EA8D-421F-9E42-65DFE93CE7F5}"/>
    <hyperlink ref="H1191" r:id="rId583" xr:uid="{A51C8BA7-2424-4EA2-B7CE-BE89D3B2BBD5}"/>
    <hyperlink ref="H1192" r:id="rId584" xr:uid="{64694FED-A4BA-4727-A485-2E1686F0E60C}"/>
    <hyperlink ref="H1193" r:id="rId585" xr:uid="{B455A003-D141-41A8-962D-6A66830093B4}"/>
    <hyperlink ref="J1191" r:id="rId586" xr:uid="{889AC9D2-C7B4-4516-81CD-DE5F16D8AA78}"/>
    <hyperlink ref="J1192" r:id="rId587" xr:uid="{BCCA8D12-4545-4DCF-AAFD-ED9A7ED484D2}"/>
    <hyperlink ref="J1193" r:id="rId588" xr:uid="{394F4B06-074C-4101-8FB2-844F44054B9E}"/>
  </hyperlinks>
  <pageMargins left="0.7" right="0.7" top="0.75" bottom="0.75" header="0.3" footer="0.3"/>
  <tableParts count="1">
    <tablePart r:id="rId589"/>
  </tableParts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B68DA1C4-3E5B-44DF-887F-D8879E05B891}">
          <x14:formula1>
            <xm:f>Recruiter!$A$2:$A$50</xm:f>
          </x14:formula1>
          <xm:sqref>B16:B23 B2 B27:B732 B740:B1048576</xm:sqref>
        </x14:dataValidation>
        <x14:dataValidation type="list" allowBlank="1" showInputMessage="1" showErrorMessage="1" xr:uid="{0BE20B44-FCAC-4F79-9D01-C427425C5048}">
          <x14:formula1>
            <xm:f>Dropdowns!$G$2:$G$22</xm:f>
          </x14:formula1>
          <xm:sqref>T2:T39 T41:T1048576</xm:sqref>
        </x14:dataValidation>
        <x14:dataValidation type="list" allowBlank="1" showInputMessage="1" showErrorMessage="1" xr:uid="{BFDDACDD-5B1A-4DE5-99CF-897018D6048E}">
          <x14:formula1>
            <xm:f>Dropdowns!$M$2:$M$30</xm:f>
          </x14:formula1>
          <xm:sqref>T40 R75:R78 W69:W70 W191:W194 W79:W82 I286 S2:S295 S297:S374 S376:S377 S379:S1048576</xm:sqref>
        </x14:dataValidation>
        <x14:dataValidation type="list" allowBlank="1" showInputMessage="1" showErrorMessage="1" xr:uid="{9B20E6ED-9D6F-4A50-ADB5-EB5BD9AE9F00}">
          <x14:formula1>
            <xm:f>Dropdowns!$A$2:$A$5</xm:f>
          </x14:formula1>
          <xm:sqref>Y2:Y110 AC2:AC731 AG2:AG731 Y113:Y731 Y735:Y1128 AG735:AG1128 AC735:AC1128 AC1130:AC1048576 AG1130:AG1048576 Y1130:Y1048576</xm:sqref>
        </x14:dataValidation>
        <x14:dataValidation type="list" allowBlank="1" showInputMessage="1" showErrorMessage="1" xr:uid="{94E2AA66-0F48-4DD3-8EA0-70FE35F77632}">
          <x14:formula1>
            <xm:f>Dropdowns!$AB$2:$AB$208</xm:f>
          </x14:formula1>
          <xm:sqref>F214:F218 F387:F388 F854 F865</xm:sqref>
        </x14:dataValidation>
        <x14:dataValidation type="list" allowBlank="1" showInputMessage="1" showErrorMessage="1" xr:uid="{10C9B316-7B12-400F-A802-31FDA13C7660}">
          <x14:formula1>
            <xm:f>Dropdowns!$T$2:$T$64</xm:f>
          </x14:formula1>
          <xm:sqref>G214:G217</xm:sqref>
        </x14:dataValidation>
        <x14:dataValidation type="list" allowBlank="1" showInputMessage="1" showErrorMessage="1" xr:uid="{182F4693-08A5-44C2-AA74-F2C0FBB888B5}">
          <x14:formula1>
            <xm:f>Dropdowns!$E$2:$E$3</xm:f>
          </x14:formula1>
          <xm:sqref>AP2:AP731 AP735:AP1128 AP1130:AP1048576</xm:sqref>
        </x14:dataValidation>
        <x14:dataValidation type="list" allowBlank="1" showInputMessage="1" showErrorMessage="1" xr:uid="{EFC85ED0-0E27-4A5A-9B94-290333A7397F}">
          <x14:formula1>
            <xm:f>Dropdowns!$K$2:$K$4</xm:f>
          </x14:formula1>
          <xm:sqref>AR2:AR731 AR735:AR1128 AR1130:AR1048576</xm:sqref>
        </x14:dataValidation>
        <x14:dataValidation type="list" allowBlank="1" showInputMessage="1" showErrorMessage="1" xr:uid="{B22B100A-CD10-4E24-B298-F7ECF88E4799}">
          <x14:formula1>
            <xm:f>Dropdowns!$C$2:$C$5</xm:f>
          </x14:formula1>
          <xm:sqref>AN2:AN731 AN735:AN1128 AN1130:AN1048576</xm:sqref>
        </x14:dataValidation>
        <x14:dataValidation type="list" allowBlank="1" showInputMessage="1" showErrorMessage="1" xr:uid="{1EE03148-7617-47F5-BCFA-2785FA3065D1}">
          <x14:formula1>
            <xm:f>'Requirement Overview'!$C$2:$C$476</xm:f>
          </x14:formula1>
          <xm:sqref>A27:A34 A36:A213 A884:A973 A832:A877 A976:A1061 A790:A827 A712:A788 A2:A23 A218:A386 H667:H669 A711:B711 A391:A710 A1075:A1167 A1169:A1048576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B7C91-5E83-4A23-900F-4A570058A62F}">
  <dimension ref="A1:H8"/>
  <sheetViews>
    <sheetView workbookViewId="0">
      <pane ySplit="1" topLeftCell="A2" activePane="bottomLeft" state="frozen"/>
      <selection pane="bottomLeft" activeCell="G2" sqref="G2"/>
    </sheetView>
  </sheetViews>
  <sheetFormatPr defaultColWidth="8.85546875" defaultRowHeight="14.45"/>
  <cols>
    <col min="1" max="1" width="14" bestFit="1" customWidth="1"/>
    <col min="2" max="2" width="17.42578125" bestFit="1" customWidth="1"/>
    <col min="3" max="3" width="8.28515625" bestFit="1" customWidth="1"/>
    <col min="4" max="4" width="17" bestFit="1" customWidth="1"/>
    <col min="5" max="6" width="16.42578125" bestFit="1" customWidth="1"/>
    <col min="7" max="7" width="7.42578125" bestFit="1" customWidth="1"/>
    <col min="8" max="8" width="11.42578125" bestFit="1" customWidth="1"/>
  </cols>
  <sheetData>
    <row r="1" spans="1:8">
      <c r="A1" s="1" t="s">
        <v>4411</v>
      </c>
      <c r="B1" s="1" t="s">
        <v>198</v>
      </c>
      <c r="C1" s="1" t="s">
        <v>4412</v>
      </c>
      <c r="D1" s="1" t="s">
        <v>4413</v>
      </c>
      <c r="E1" s="1" t="s">
        <v>4414</v>
      </c>
      <c r="F1" s="1" t="s">
        <v>4415</v>
      </c>
      <c r="G1" s="1" t="s">
        <v>4416</v>
      </c>
      <c r="H1" t="s">
        <v>4417</v>
      </c>
    </row>
    <row r="2" spans="1:8">
      <c r="A2" t="s">
        <v>1417</v>
      </c>
      <c r="B2" t="s">
        <v>4418</v>
      </c>
      <c r="H2" t="s">
        <v>4419</v>
      </c>
    </row>
    <row r="3" spans="1:8">
      <c r="A3" t="s">
        <v>340</v>
      </c>
      <c r="B3" t="s">
        <v>104</v>
      </c>
      <c r="H3" t="s">
        <v>4420</v>
      </c>
    </row>
    <row r="4" spans="1:8">
      <c r="A4" t="s">
        <v>258</v>
      </c>
      <c r="B4" t="s">
        <v>259</v>
      </c>
      <c r="H4" t="s">
        <v>4421</v>
      </c>
    </row>
    <row r="5" spans="1:8">
      <c r="A5" t="s">
        <v>236</v>
      </c>
      <c r="B5" t="s">
        <v>510</v>
      </c>
      <c r="H5" t="s">
        <v>4421</v>
      </c>
    </row>
    <row r="6" spans="1:8">
      <c r="A6" t="s">
        <v>520</v>
      </c>
      <c r="B6" t="s">
        <v>1661</v>
      </c>
      <c r="H6" t="s">
        <v>4420</v>
      </c>
    </row>
    <row r="7" spans="1:8">
      <c r="A7" t="s">
        <v>4422</v>
      </c>
      <c r="B7" t="s">
        <v>4423</v>
      </c>
      <c r="H7" t="s">
        <v>4421</v>
      </c>
    </row>
    <row r="8" spans="1:8">
      <c r="A8" t="s">
        <v>4424</v>
      </c>
      <c r="B8" t="s">
        <v>4425</v>
      </c>
    </row>
  </sheetData>
  <autoFilter ref="A1:G1" xr:uid="{3C7B7C91-5E83-4A23-900F-4A570058A62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3325A-C12D-4151-A21F-88C227C4BC6F}">
  <dimension ref="A1:B26"/>
  <sheetViews>
    <sheetView workbookViewId="0">
      <selection activeCell="B2" sqref="B2"/>
    </sheetView>
  </sheetViews>
  <sheetFormatPr defaultColWidth="8.85546875" defaultRowHeight="14.45"/>
  <cols>
    <col min="1" max="1" width="31.28515625" bestFit="1" customWidth="1"/>
    <col min="2" max="2" width="16.42578125" bestFit="1" customWidth="1"/>
  </cols>
  <sheetData>
    <row r="1" spans="1:2">
      <c r="A1" s="1" t="s">
        <v>8</v>
      </c>
      <c r="B1" s="1" t="s">
        <v>20</v>
      </c>
    </row>
    <row r="2" spans="1:2">
      <c r="A2" t="s">
        <v>28</v>
      </c>
    </row>
    <row r="3" spans="1:2">
      <c r="A3" t="s">
        <v>32</v>
      </c>
    </row>
    <row r="4" spans="1:2">
      <c r="A4" t="s">
        <v>34</v>
      </c>
    </row>
    <row r="5" spans="1:2">
      <c r="A5" t="s">
        <v>36</v>
      </c>
    </row>
    <row r="6" spans="1:2">
      <c r="A6" t="s">
        <v>39</v>
      </c>
    </row>
    <row r="7" spans="1:2">
      <c r="A7" t="s">
        <v>41</v>
      </c>
    </row>
    <row r="8" spans="1:2">
      <c r="A8" t="s">
        <v>43</v>
      </c>
    </row>
    <row r="9" spans="1:2">
      <c r="A9" t="s">
        <v>46</v>
      </c>
    </row>
    <row r="10" spans="1:2">
      <c r="A10" t="s">
        <v>48</v>
      </c>
    </row>
    <row r="11" spans="1:2">
      <c r="A11" t="s">
        <v>50</v>
      </c>
    </row>
    <row r="12" spans="1:2">
      <c r="A12" t="s">
        <v>52</v>
      </c>
    </row>
    <row r="13" spans="1:2">
      <c r="A13" t="s">
        <v>58</v>
      </c>
    </row>
    <row r="14" spans="1:2">
      <c r="A14" t="s">
        <v>60</v>
      </c>
    </row>
    <row r="15" spans="1:2">
      <c r="A15" t="s">
        <v>63</v>
      </c>
    </row>
    <row r="16" spans="1:2">
      <c r="A16" t="s">
        <v>65</v>
      </c>
    </row>
    <row r="17" spans="1:1">
      <c r="A17" t="s">
        <v>67</v>
      </c>
    </row>
    <row r="18" spans="1:1">
      <c r="A18" t="s">
        <v>69</v>
      </c>
    </row>
    <row r="19" spans="1:1">
      <c r="A19" t="s">
        <v>71</v>
      </c>
    </row>
    <row r="20" spans="1:1">
      <c r="A20" t="s">
        <v>74</v>
      </c>
    </row>
    <row r="21" spans="1:1">
      <c r="A21" t="s">
        <v>76</v>
      </c>
    </row>
    <row r="22" spans="1:1">
      <c r="A22" t="s">
        <v>78</v>
      </c>
    </row>
    <row r="23" spans="1:1">
      <c r="A23" t="s">
        <v>81</v>
      </c>
    </row>
    <row r="24" spans="1:1">
      <c r="A24" t="s">
        <v>78</v>
      </c>
    </row>
    <row r="25" spans="1:1">
      <c r="A25" t="s">
        <v>85</v>
      </c>
    </row>
    <row r="26" spans="1:1">
      <c r="A26" t="s">
        <v>88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C5B667D-EE91-4DA2-8A44-6C1E1B70C902}">
          <x14:formula1>
            <xm:f>Dropdowns!$AB$2:$AB$208</xm:f>
          </x14:formula1>
          <xm:sqref>A2:A26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8878C-2D57-427A-B0D1-9E2DF6DA8B79}">
  <dimension ref="A2:X178"/>
  <sheetViews>
    <sheetView topLeftCell="A168" workbookViewId="0">
      <selection activeCell="B172" sqref="B172:C176"/>
    </sheetView>
  </sheetViews>
  <sheetFormatPr defaultColWidth="8.85546875" defaultRowHeight="14.45"/>
  <cols>
    <col min="2" max="2" width="12.140625" customWidth="1"/>
    <col min="3" max="3" width="47.28515625" bestFit="1" customWidth="1"/>
    <col min="4" max="4" width="13.140625" customWidth="1"/>
    <col min="5" max="5" width="32.7109375" bestFit="1" customWidth="1"/>
    <col min="6" max="6" width="43.7109375" bestFit="1" customWidth="1"/>
    <col min="7" max="7" width="21.42578125" bestFit="1" customWidth="1"/>
    <col min="8" max="8" width="18" bestFit="1" customWidth="1"/>
    <col min="9" max="11" width="18" customWidth="1"/>
    <col min="12" max="12" width="26.140625" customWidth="1"/>
    <col min="13" max="13" width="22.28515625" bestFit="1" customWidth="1"/>
    <col min="14" max="14" width="26.85546875" style="403" bestFit="1" customWidth="1"/>
    <col min="15" max="15" width="21.42578125" style="70" bestFit="1" customWidth="1"/>
    <col min="16" max="16" width="13.42578125" bestFit="1" customWidth="1"/>
    <col min="17" max="17" width="15.28515625" customWidth="1"/>
    <col min="18" max="18" width="14.7109375" bestFit="1" customWidth="1"/>
    <col min="19" max="19" width="22" customWidth="1"/>
    <col min="20" max="20" width="21.85546875" bestFit="1" customWidth="1"/>
    <col min="21" max="21" width="29.7109375" style="403" customWidth="1"/>
    <col min="22" max="22" width="17.7109375" customWidth="1"/>
  </cols>
  <sheetData>
    <row r="2" spans="2:24" ht="28.9">
      <c r="B2" s="10" t="s">
        <v>4426</v>
      </c>
      <c r="C2" s="10" t="s">
        <v>4427</v>
      </c>
      <c r="D2" s="10" t="s">
        <v>4428</v>
      </c>
      <c r="E2" s="10" t="s">
        <v>4429</v>
      </c>
      <c r="F2" s="10" t="s">
        <v>4430</v>
      </c>
      <c r="G2" s="10" t="s">
        <v>4431</v>
      </c>
      <c r="H2" s="10" t="s">
        <v>4432</v>
      </c>
      <c r="I2" s="10" t="s">
        <v>4433</v>
      </c>
      <c r="J2" s="67"/>
      <c r="K2" s="67"/>
      <c r="L2" s="11" t="s">
        <v>26</v>
      </c>
      <c r="M2" s="12" t="s">
        <v>4434</v>
      </c>
      <c r="N2" s="10" t="s">
        <v>56</v>
      </c>
      <c r="O2" s="406" t="s">
        <v>4435</v>
      </c>
      <c r="P2" s="12" t="s">
        <v>4436</v>
      </c>
      <c r="Q2" s="13" t="s">
        <v>4437</v>
      </c>
      <c r="R2" s="12" t="s">
        <v>38</v>
      </c>
      <c r="V2" s="10" t="s">
        <v>4438</v>
      </c>
      <c r="W2" s="11" t="s">
        <v>4439</v>
      </c>
      <c r="X2" s="18" t="s">
        <v>4440</v>
      </c>
    </row>
    <row r="3" spans="2:24" ht="28.9">
      <c r="B3" s="6" t="s">
        <v>104</v>
      </c>
      <c r="C3" s="6">
        <v>75</v>
      </c>
      <c r="D3" s="6">
        <v>30</v>
      </c>
      <c r="E3" s="6">
        <v>5</v>
      </c>
      <c r="F3" s="6">
        <v>10</v>
      </c>
      <c r="G3" s="6">
        <v>20</v>
      </c>
      <c r="H3" s="6">
        <v>7</v>
      </c>
      <c r="I3" s="6">
        <v>3</v>
      </c>
      <c r="J3" s="8"/>
      <c r="K3" s="8"/>
      <c r="L3" s="8" t="s">
        <v>4441</v>
      </c>
      <c r="M3" s="3" t="s">
        <v>4442</v>
      </c>
      <c r="N3" s="6" t="s">
        <v>4443</v>
      </c>
      <c r="O3" s="6"/>
      <c r="P3" s="3"/>
      <c r="Q3" s="4"/>
      <c r="R3" s="3"/>
      <c r="V3" s="17" t="s">
        <v>28</v>
      </c>
      <c r="W3" s="16">
        <v>2</v>
      </c>
      <c r="X3" s="5" t="s">
        <v>54</v>
      </c>
    </row>
    <row r="4" spans="2:24">
      <c r="B4" s="6" t="s">
        <v>259</v>
      </c>
      <c r="C4" s="6">
        <v>75</v>
      </c>
      <c r="D4" s="6">
        <v>11</v>
      </c>
      <c r="E4" s="6" t="s">
        <v>3243</v>
      </c>
      <c r="F4" s="6">
        <v>4</v>
      </c>
      <c r="G4" s="6">
        <v>7</v>
      </c>
      <c r="H4" s="6">
        <v>1</v>
      </c>
      <c r="I4" s="6">
        <v>2</v>
      </c>
      <c r="J4" s="8"/>
      <c r="K4" s="8"/>
      <c r="L4" s="8"/>
      <c r="M4" s="3"/>
      <c r="N4" s="6" t="s">
        <v>4444</v>
      </c>
      <c r="O4" s="6"/>
      <c r="P4" s="3" t="s">
        <v>4445</v>
      </c>
      <c r="Q4" s="4" t="s">
        <v>4446</v>
      </c>
      <c r="R4" s="3"/>
      <c r="U4" s="403" t="s">
        <v>4447</v>
      </c>
      <c r="V4" s="7" t="s">
        <v>32</v>
      </c>
      <c r="W4" s="9">
        <v>4</v>
      </c>
      <c r="X4" s="3" t="s">
        <v>54</v>
      </c>
    </row>
    <row r="5" spans="2:24">
      <c r="B5" s="6" t="s">
        <v>510</v>
      </c>
      <c r="C5" s="6">
        <v>60</v>
      </c>
      <c r="D5" s="6">
        <v>7</v>
      </c>
      <c r="E5" s="6">
        <v>2</v>
      </c>
      <c r="F5" s="6">
        <v>0</v>
      </c>
      <c r="G5" s="6">
        <v>5</v>
      </c>
      <c r="H5" s="6">
        <v>0</v>
      </c>
      <c r="I5" s="6">
        <v>0</v>
      </c>
      <c r="J5" s="8"/>
      <c r="K5" s="8"/>
      <c r="L5" s="8" t="s">
        <v>4448</v>
      </c>
      <c r="M5" s="3"/>
      <c r="N5" s="6"/>
      <c r="O5" s="6"/>
      <c r="P5" s="3"/>
      <c r="Q5" s="4"/>
      <c r="R5" s="3" t="s">
        <v>4449</v>
      </c>
      <c r="V5" s="7" t="s">
        <v>34</v>
      </c>
      <c r="W5" s="9">
        <v>1</v>
      </c>
      <c r="X5" s="3">
        <v>16</v>
      </c>
    </row>
    <row r="6" spans="2:24" ht="28.9">
      <c r="B6" s="6" t="s">
        <v>1661</v>
      </c>
      <c r="C6" s="15">
        <v>30</v>
      </c>
      <c r="D6" s="15">
        <v>7</v>
      </c>
      <c r="E6" s="15">
        <v>3</v>
      </c>
      <c r="F6" s="15">
        <v>0</v>
      </c>
      <c r="G6" s="15">
        <v>3</v>
      </c>
      <c r="H6" s="15">
        <v>0</v>
      </c>
      <c r="I6" s="15">
        <v>0</v>
      </c>
      <c r="J6" s="68"/>
      <c r="K6" s="68"/>
      <c r="L6" s="8" t="s">
        <v>4450</v>
      </c>
      <c r="M6" s="3"/>
      <c r="N6" s="6"/>
      <c r="O6" s="6"/>
      <c r="P6" s="3"/>
      <c r="Q6" s="4"/>
      <c r="R6" s="3" t="s">
        <v>4449</v>
      </c>
      <c r="V6" s="7" t="s">
        <v>36</v>
      </c>
      <c r="W6" s="9">
        <v>1</v>
      </c>
      <c r="X6" s="3">
        <v>21</v>
      </c>
    </row>
    <row r="7" spans="2:24" ht="28.9">
      <c r="C7" s="14">
        <f>SUM(C3:C6)</f>
        <v>240</v>
      </c>
      <c r="D7" s="14">
        <f t="shared" ref="D7:I7" si="0">SUM(D3:D6)</f>
        <v>55</v>
      </c>
      <c r="E7" s="14">
        <f t="shared" si="0"/>
        <v>10</v>
      </c>
      <c r="F7" s="14">
        <f t="shared" si="0"/>
        <v>14</v>
      </c>
      <c r="G7" s="14">
        <f t="shared" si="0"/>
        <v>35</v>
      </c>
      <c r="H7" s="14">
        <f t="shared" si="0"/>
        <v>8</v>
      </c>
      <c r="I7" s="14">
        <f t="shared" si="0"/>
        <v>5</v>
      </c>
      <c r="J7" s="69"/>
      <c r="K7" s="69"/>
      <c r="V7" s="7" t="s">
        <v>39</v>
      </c>
      <c r="W7" s="9">
        <v>2</v>
      </c>
      <c r="X7" s="3">
        <v>8</v>
      </c>
    </row>
    <row r="8" spans="2:24">
      <c r="C8" s="2" t="s">
        <v>4451</v>
      </c>
      <c r="V8" s="7" t="s">
        <v>41</v>
      </c>
      <c r="W8" s="9">
        <v>1</v>
      </c>
      <c r="X8" s="3">
        <v>0</v>
      </c>
    </row>
    <row r="9" spans="2:24">
      <c r="V9" s="7" t="s">
        <v>43</v>
      </c>
      <c r="W9" s="9">
        <v>1</v>
      </c>
      <c r="X9" s="3">
        <v>0</v>
      </c>
    </row>
    <row r="15" spans="2:24" ht="28.9">
      <c r="B15" s="10" t="s">
        <v>4426</v>
      </c>
      <c r="C15" s="10" t="s">
        <v>4427</v>
      </c>
      <c r="D15" s="10" t="s">
        <v>4428</v>
      </c>
      <c r="E15" s="10" t="s">
        <v>4429</v>
      </c>
      <c r="F15" s="10" t="s">
        <v>4430</v>
      </c>
      <c r="G15" s="10" t="s">
        <v>4431</v>
      </c>
      <c r="H15" s="10" t="s">
        <v>4432</v>
      </c>
      <c r="I15" s="10" t="s">
        <v>4433</v>
      </c>
      <c r="J15" s="67"/>
      <c r="K15" s="67"/>
      <c r="L15" s="11" t="s">
        <v>26</v>
      </c>
      <c r="M15" s="12" t="s">
        <v>4434</v>
      </c>
      <c r="N15" s="10" t="s">
        <v>56</v>
      </c>
      <c r="O15" s="406" t="s">
        <v>4435</v>
      </c>
      <c r="P15" s="12" t="s">
        <v>4436</v>
      </c>
      <c r="Q15" s="13" t="s">
        <v>4437</v>
      </c>
      <c r="R15" s="12" t="s">
        <v>38</v>
      </c>
      <c r="S15" s="12" t="s">
        <v>62</v>
      </c>
    </row>
    <row r="16" spans="2:24" ht="28.9">
      <c r="B16" s="6" t="s">
        <v>104</v>
      </c>
      <c r="C16" s="6">
        <v>20</v>
      </c>
      <c r="D16" s="6">
        <v>7</v>
      </c>
      <c r="E16" s="6">
        <v>4</v>
      </c>
      <c r="F16" s="6">
        <v>3</v>
      </c>
      <c r="G16" s="6"/>
      <c r="H16" s="6">
        <v>3</v>
      </c>
      <c r="I16" s="6"/>
      <c r="J16" s="8"/>
      <c r="K16" s="8"/>
      <c r="L16" s="8" t="s">
        <v>4452</v>
      </c>
      <c r="M16" s="3"/>
      <c r="N16" s="6"/>
      <c r="O16" s="6"/>
      <c r="P16" s="3"/>
      <c r="Q16" s="4"/>
      <c r="R16" s="3"/>
    </row>
    <row r="17" spans="2:21">
      <c r="B17" s="6" t="s">
        <v>259</v>
      </c>
      <c r="C17" s="6">
        <v>95</v>
      </c>
      <c r="D17" s="6">
        <v>25</v>
      </c>
      <c r="E17" s="6">
        <v>13</v>
      </c>
      <c r="F17" s="6">
        <v>5</v>
      </c>
      <c r="G17" s="6">
        <v>7</v>
      </c>
      <c r="H17" s="6">
        <v>4</v>
      </c>
      <c r="I17" s="6"/>
      <c r="J17" s="8"/>
      <c r="K17" s="8"/>
      <c r="L17" s="8"/>
      <c r="M17" s="3"/>
      <c r="N17" s="6" t="s">
        <v>4453</v>
      </c>
      <c r="O17" s="6"/>
      <c r="P17" s="3"/>
      <c r="Q17" s="4" t="s">
        <v>4454</v>
      </c>
      <c r="R17" s="3"/>
      <c r="S17" t="s">
        <v>4455</v>
      </c>
    </row>
    <row r="18" spans="2:21">
      <c r="B18" s="6" t="s">
        <v>510</v>
      </c>
      <c r="C18" s="6">
        <v>60</v>
      </c>
      <c r="D18" s="6">
        <v>20</v>
      </c>
      <c r="E18" s="6">
        <v>4</v>
      </c>
      <c r="F18" s="6">
        <v>1</v>
      </c>
      <c r="G18" s="6">
        <v>15</v>
      </c>
      <c r="H18" s="6">
        <v>0</v>
      </c>
      <c r="I18" s="6">
        <v>1</v>
      </c>
      <c r="J18" s="8"/>
      <c r="K18" s="8"/>
      <c r="L18" s="8"/>
      <c r="M18" s="3" t="s">
        <v>4456</v>
      </c>
      <c r="N18" s="6"/>
      <c r="O18" s="6"/>
      <c r="P18" s="3"/>
      <c r="Q18" s="4"/>
      <c r="R18" s="3"/>
      <c r="S18" t="s">
        <v>4457</v>
      </c>
    </row>
    <row r="19" spans="2:21">
      <c r="B19" s="6" t="s">
        <v>1661</v>
      </c>
      <c r="C19" s="15">
        <v>125</v>
      </c>
      <c r="D19" s="15">
        <v>19</v>
      </c>
      <c r="E19" s="15">
        <v>3</v>
      </c>
      <c r="F19" s="15">
        <v>5</v>
      </c>
      <c r="G19" s="15">
        <v>11</v>
      </c>
      <c r="H19" s="15">
        <v>5</v>
      </c>
      <c r="I19" s="15"/>
      <c r="J19" s="68"/>
      <c r="K19" s="68"/>
      <c r="L19" s="8" t="s">
        <v>4458</v>
      </c>
      <c r="M19" s="3"/>
      <c r="N19" s="6"/>
      <c r="O19" s="6"/>
      <c r="P19" s="3"/>
      <c r="Q19" s="4"/>
      <c r="R19" s="3" t="s">
        <v>4459</v>
      </c>
    </row>
    <row r="20" spans="2:21">
      <c r="C20" s="14">
        <f t="shared" ref="C20:I20" si="1">SUM(C16:C19)</f>
        <v>300</v>
      </c>
      <c r="D20" s="14">
        <f t="shared" si="1"/>
        <v>71</v>
      </c>
      <c r="E20" s="14">
        <f t="shared" si="1"/>
        <v>24</v>
      </c>
      <c r="F20" s="14">
        <f t="shared" si="1"/>
        <v>14</v>
      </c>
      <c r="G20" s="14">
        <f t="shared" si="1"/>
        <v>33</v>
      </c>
      <c r="H20" s="14">
        <f t="shared" si="1"/>
        <v>12</v>
      </c>
      <c r="I20" s="14">
        <f t="shared" si="1"/>
        <v>1</v>
      </c>
      <c r="J20" s="69"/>
      <c r="K20" s="69"/>
    </row>
    <row r="21" spans="2:21">
      <c r="C21" s="2"/>
    </row>
    <row r="23" spans="2:21" ht="28.9">
      <c r="B23" s="10" t="s">
        <v>4426</v>
      </c>
      <c r="C23" s="10" t="s">
        <v>4427</v>
      </c>
      <c r="D23" s="10" t="s">
        <v>4428</v>
      </c>
      <c r="E23" s="10" t="s">
        <v>4429</v>
      </c>
      <c r="F23" s="10" t="s">
        <v>4430</v>
      </c>
      <c r="G23" s="10" t="s">
        <v>4431</v>
      </c>
      <c r="H23" s="10" t="s">
        <v>4432</v>
      </c>
      <c r="I23" s="10" t="s">
        <v>4433</v>
      </c>
      <c r="J23" s="67" t="s">
        <v>4460</v>
      </c>
      <c r="K23" s="67" t="s">
        <v>4461</v>
      </c>
      <c r="L23" s="11" t="s">
        <v>26</v>
      </c>
      <c r="M23" s="12" t="s">
        <v>4434</v>
      </c>
      <c r="N23" s="10" t="s">
        <v>56</v>
      </c>
      <c r="O23" s="406" t="s">
        <v>4435</v>
      </c>
      <c r="P23" s="12" t="s">
        <v>4436</v>
      </c>
      <c r="Q23" s="13" t="s">
        <v>4437</v>
      </c>
      <c r="R23" s="12" t="s">
        <v>38</v>
      </c>
      <c r="S23" s="12" t="s">
        <v>73</v>
      </c>
      <c r="T23" s="12" t="s">
        <v>4462</v>
      </c>
      <c r="U23" s="18" t="s">
        <v>62</v>
      </c>
    </row>
    <row r="24" spans="2:21" ht="28.9">
      <c r="B24" s="6" t="s">
        <v>104</v>
      </c>
      <c r="C24" s="6">
        <v>80</v>
      </c>
      <c r="D24" s="6">
        <v>23</v>
      </c>
      <c r="E24" s="6">
        <v>3</v>
      </c>
      <c r="F24" s="6">
        <v>19</v>
      </c>
      <c r="G24" s="6">
        <v>3</v>
      </c>
      <c r="H24" s="6"/>
      <c r="I24" s="6">
        <v>14</v>
      </c>
      <c r="J24" s="8">
        <v>1</v>
      </c>
      <c r="K24" s="8">
        <v>3</v>
      </c>
      <c r="L24" s="8" t="s">
        <v>4463</v>
      </c>
      <c r="M24" s="3" t="s">
        <v>4464</v>
      </c>
      <c r="N24" s="6"/>
      <c r="O24" s="6" t="s">
        <v>4465</v>
      </c>
      <c r="P24" s="3"/>
      <c r="Q24" s="4"/>
      <c r="R24" s="3"/>
      <c r="T24" t="s">
        <v>4466</v>
      </c>
    </row>
    <row r="25" spans="2:21" ht="28.9">
      <c r="B25" s="6" t="s">
        <v>259</v>
      </c>
      <c r="C25" s="6">
        <v>85</v>
      </c>
      <c r="D25" s="6">
        <v>23</v>
      </c>
      <c r="E25" s="6">
        <v>11</v>
      </c>
      <c r="F25" s="6"/>
      <c r="G25" s="6">
        <v>6</v>
      </c>
      <c r="H25" s="6"/>
      <c r="I25" s="6">
        <v>1</v>
      </c>
      <c r="J25" s="8"/>
      <c r="K25" s="8"/>
      <c r="L25" s="8" t="s">
        <v>4467</v>
      </c>
      <c r="M25" s="3"/>
      <c r="N25" s="6" t="s">
        <v>4468</v>
      </c>
      <c r="O25" s="6" t="s">
        <v>4469</v>
      </c>
      <c r="P25" s="3"/>
      <c r="Q25" s="4"/>
      <c r="R25" s="3"/>
      <c r="U25" s="403" t="s">
        <v>4470</v>
      </c>
    </row>
    <row r="26" spans="2:21" ht="28.9">
      <c r="B26" s="6" t="s">
        <v>510</v>
      </c>
      <c r="C26" s="6">
        <v>75</v>
      </c>
      <c r="D26" s="6">
        <v>31</v>
      </c>
      <c r="E26" s="6">
        <v>19</v>
      </c>
      <c r="F26" s="6"/>
      <c r="G26" s="6">
        <v>4</v>
      </c>
      <c r="H26" s="6"/>
      <c r="I26" s="6"/>
      <c r="J26" s="8">
        <v>1</v>
      </c>
      <c r="K26" s="8"/>
      <c r="L26" s="8" t="s">
        <v>4471</v>
      </c>
      <c r="M26" s="3"/>
      <c r="N26" s="6" t="s">
        <v>4472</v>
      </c>
      <c r="O26" s="6" t="s">
        <v>4469</v>
      </c>
      <c r="P26" s="3"/>
      <c r="Q26" s="4"/>
      <c r="R26" s="3"/>
      <c r="U26" s="403" t="s">
        <v>4473</v>
      </c>
    </row>
    <row r="27" spans="2:21" ht="28.9">
      <c r="B27" s="6" t="s">
        <v>1661</v>
      </c>
      <c r="C27" s="15">
        <v>85</v>
      </c>
      <c r="D27" s="15">
        <v>24</v>
      </c>
      <c r="E27" s="15">
        <v>5</v>
      </c>
      <c r="F27" s="15">
        <v>4</v>
      </c>
      <c r="G27" s="15"/>
      <c r="H27" s="15">
        <v>2</v>
      </c>
      <c r="I27" s="15">
        <v>2</v>
      </c>
      <c r="J27" s="68"/>
      <c r="K27" s="68"/>
      <c r="L27" s="8" t="s">
        <v>4474</v>
      </c>
      <c r="M27" s="3" t="s">
        <v>4475</v>
      </c>
      <c r="N27" s="6"/>
      <c r="O27" s="6" t="s">
        <v>4476</v>
      </c>
      <c r="P27" s="3"/>
      <c r="Q27" s="4"/>
      <c r="R27" s="3"/>
      <c r="S27" t="s">
        <v>4477</v>
      </c>
    </row>
    <row r="28" spans="2:21">
      <c r="C28" s="14">
        <f t="shared" ref="C28:I28" si="2">SUM(C24:C27)</f>
        <v>325</v>
      </c>
      <c r="D28" s="14">
        <f t="shared" si="2"/>
        <v>101</v>
      </c>
      <c r="E28" s="14">
        <f t="shared" si="2"/>
        <v>38</v>
      </c>
      <c r="F28" s="14">
        <f t="shared" si="2"/>
        <v>23</v>
      </c>
      <c r="G28" s="14">
        <f t="shared" si="2"/>
        <v>13</v>
      </c>
      <c r="H28" s="14">
        <f t="shared" si="2"/>
        <v>2</v>
      </c>
      <c r="I28" s="14">
        <f t="shared" si="2"/>
        <v>17</v>
      </c>
      <c r="J28" s="69"/>
      <c r="K28" s="69"/>
    </row>
    <row r="34" spans="2:21">
      <c r="B34" t="s">
        <v>4478</v>
      </c>
      <c r="C34" t="s">
        <v>4479</v>
      </c>
      <c r="D34" t="s">
        <v>4480</v>
      </c>
      <c r="F34" t="s">
        <v>4481</v>
      </c>
    </row>
    <row r="35" spans="2:21">
      <c r="B35" t="s">
        <v>104</v>
      </c>
      <c r="C35" t="s">
        <v>26</v>
      </c>
      <c r="D35" t="s">
        <v>4482</v>
      </c>
      <c r="F35" t="s">
        <v>4483</v>
      </c>
    </row>
    <row r="36" spans="2:21">
      <c r="B36" t="s">
        <v>104</v>
      </c>
      <c r="C36" t="s">
        <v>4484</v>
      </c>
      <c r="F36" t="s">
        <v>4485</v>
      </c>
    </row>
    <row r="37" spans="2:21">
      <c r="B37" t="s">
        <v>510</v>
      </c>
      <c r="C37" t="s">
        <v>4486</v>
      </c>
    </row>
    <row r="38" spans="2:21">
      <c r="B38" t="s">
        <v>1661</v>
      </c>
      <c r="C38" t="s">
        <v>4487</v>
      </c>
    </row>
    <row r="39" spans="2:21">
      <c r="B39" t="s">
        <v>259</v>
      </c>
      <c r="C39" t="s">
        <v>4488</v>
      </c>
    </row>
    <row r="42" spans="2:21" s="2" customFormat="1" ht="28.9">
      <c r="B42" s="10" t="s">
        <v>4426</v>
      </c>
      <c r="C42" s="10" t="s">
        <v>4427</v>
      </c>
      <c r="D42" s="10" t="s">
        <v>4428</v>
      </c>
      <c r="E42" s="10" t="s">
        <v>4429</v>
      </c>
      <c r="F42" s="10" t="s">
        <v>4430</v>
      </c>
      <c r="G42" s="10" t="s">
        <v>4431</v>
      </c>
      <c r="H42" s="10" t="s">
        <v>4432</v>
      </c>
      <c r="I42" s="10" t="s">
        <v>4433</v>
      </c>
      <c r="J42" s="67" t="s">
        <v>4460</v>
      </c>
      <c r="K42" s="67" t="s">
        <v>4461</v>
      </c>
      <c r="L42" s="67" t="s">
        <v>26</v>
      </c>
      <c r="M42" s="18" t="s">
        <v>4434</v>
      </c>
      <c r="N42" s="10" t="s">
        <v>56</v>
      </c>
      <c r="O42" s="10" t="s">
        <v>4435</v>
      </c>
      <c r="P42" s="18" t="s">
        <v>4436</v>
      </c>
      <c r="Q42" s="123" t="s">
        <v>4437</v>
      </c>
      <c r="R42" s="123" t="s">
        <v>38</v>
      </c>
      <c r="S42" s="18" t="s">
        <v>116</v>
      </c>
      <c r="T42" s="18" t="s">
        <v>4462</v>
      </c>
      <c r="U42" s="18" t="s">
        <v>62</v>
      </c>
    </row>
    <row r="43" spans="2:21" ht="43.15">
      <c r="B43" s="6" t="s">
        <v>104</v>
      </c>
      <c r="C43" s="6">
        <v>60</v>
      </c>
      <c r="D43" s="6">
        <v>27</v>
      </c>
      <c r="E43" s="6">
        <v>6</v>
      </c>
      <c r="F43" s="6">
        <v>13</v>
      </c>
      <c r="G43" s="6">
        <v>8</v>
      </c>
      <c r="H43" s="6">
        <v>10</v>
      </c>
      <c r="I43" s="6">
        <v>2</v>
      </c>
      <c r="J43" s="8">
        <v>3</v>
      </c>
      <c r="K43" s="8"/>
      <c r="L43" s="8" t="s">
        <v>4489</v>
      </c>
      <c r="M43" s="3" t="s">
        <v>4490</v>
      </c>
      <c r="N43" s="6"/>
      <c r="O43" s="6"/>
      <c r="P43" s="3"/>
      <c r="Q43" s="4"/>
      <c r="R43" s="4"/>
      <c r="S43" s="54"/>
      <c r="T43" s="54"/>
      <c r="U43" s="6"/>
    </row>
    <row r="44" spans="2:21">
      <c r="B44" s="6" t="s">
        <v>259</v>
      </c>
      <c r="C44" s="6">
        <v>20</v>
      </c>
      <c r="D44" s="6">
        <v>18</v>
      </c>
      <c r="E44" s="6" t="s">
        <v>4491</v>
      </c>
      <c r="F44" s="6"/>
      <c r="G44" s="6"/>
      <c r="H44" s="6"/>
      <c r="I44" s="6"/>
      <c r="J44" s="8"/>
      <c r="K44" s="8"/>
      <c r="L44" s="8"/>
      <c r="M44" s="3"/>
      <c r="N44" s="6"/>
      <c r="O44" s="6" t="s">
        <v>4492</v>
      </c>
      <c r="P44" s="3"/>
      <c r="Q44" s="4"/>
      <c r="R44" s="4"/>
      <c r="S44" s="54" t="s">
        <v>4493</v>
      </c>
      <c r="T44" s="54"/>
      <c r="U44" s="6"/>
    </row>
    <row r="45" spans="2:21">
      <c r="B45" s="6" t="s">
        <v>510</v>
      </c>
      <c r="C45" s="6">
        <v>45</v>
      </c>
      <c r="D45" s="6">
        <v>18</v>
      </c>
      <c r="E45" s="6">
        <v>10</v>
      </c>
      <c r="F45" s="6"/>
      <c r="G45" s="6"/>
      <c r="H45" s="6"/>
      <c r="I45" s="6"/>
      <c r="J45" s="8"/>
      <c r="K45" s="8"/>
      <c r="L45" s="8"/>
      <c r="M45" s="3"/>
      <c r="N45" s="6" t="s">
        <v>4494</v>
      </c>
      <c r="O45" s="6" t="s">
        <v>4492</v>
      </c>
      <c r="P45" s="3"/>
      <c r="Q45" s="4"/>
      <c r="R45" s="4"/>
      <c r="S45" s="54" t="s">
        <v>4495</v>
      </c>
      <c r="T45" s="54"/>
      <c r="U45" s="6"/>
    </row>
    <row r="46" spans="2:21" ht="28.9">
      <c r="B46" s="6" t="s">
        <v>1661</v>
      </c>
      <c r="C46" s="15">
        <v>60</v>
      </c>
      <c r="D46" s="15">
        <v>24</v>
      </c>
      <c r="E46" s="15">
        <v>16</v>
      </c>
      <c r="F46" s="15"/>
      <c r="G46" s="15">
        <v>3</v>
      </c>
      <c r="H46" s="15">
        <v>4</v>
      </c>
      <c r="I46" s="15"/>
      <c r="J46" s="68">
        <v>1</v>
      </c>
      <c r="K46" s="68"/>
      <c r="L46" s="8" t="s">
        <v>4496</v>
      </c>
      <c r="M46" s="6" t="s">
        <v>4497</v>
      </c>
      <c r="N46" s="6"/>
      <c r="O46" s="6" t="s">
        <v>4498</v>
      </c>
      <c r="P46" s="3"/>
      <c r="Q46" s="4"/>
      <c r="R46" s="4"/>
      <c r="S46" s="54" t="s">
        <v>4499</v>
      </c>
      <c r="T46" s="54"/>
      <c r="U46" s="6"/>
    </row>
    <row r="47" spans="2:21">
      <c r="C47" s="14">
        <f t="shared" ref="C47:J47" si="3">SUM(C43:C46)</f>
        <v>185</v>
      </c>
      <c r="D47" s="14">
        <f t="shared" si="3"/>
        <v>87</v>
      </c>
      <c r="E47" s="14">
        <f t="shared" si="3"/>
        <v>32</v>
      </c>
      <c r="F47" s="14">
        <f t="shared" si="3"/>
        <v>13</v>
      </c>
      <c r="G47" s="14">
        <f t="shared" si="3"/>
        <v>11</v>
      </c>
      <c r="H47" s="14">
        <f t="shared" si="3"/>
        <v>14</v>
      </c>
      <c r="I47" s="14">
        <f t="shared" si="3"/>
        <v>2</v>
      </c>
      <c r="J47" s="69">
        <f t="shared" si="3"/>
        <v>4</v>
      </c>
      <c r="K47" s="69"/>
    </row>
    <row r="50" spans="1:24">
      <c r="B50" s="54" t="s">
        <v>4478</v>
      </c>
      <c r="C50" s="54" t="s">
        <v>4500</v>
      </c>
    </row>
    <row r="51" spans="1:24">
      <c r="B51" s="54" t="s">
        <v>104</v>
      </c>
      <c r="C51" s="130" t="s">
        <v>4501</v>
      </c>
    </row>
    <row r="52" spans="1:24">
      <c r="B52" s="54" t="s">
        <v>510</v>
      </c>
      <c r="C52" s="130" t="s">
        <v>4502</v>
      </c>
    </row>
    <row r="53" spans="1:24">
      <c r="B53" s="54" t="s">
        <v>1661</v>
      </c>
      <c r="C53" s="130" t="s">
        <v>4503</v>
      </c>
    </row>
    <row r="54" spans="1:24">
      <c r="B54" s="54" t="s">
        <v>259</v>
      </c>
      <c r="C54" s="130" t="s">
        <v>4504</v>
      </c>
    </row>
    <row r="57" spans="1:24" ht="28.9">
      <c r="B57" s="10" t="s">
        <v>4426</v>
      </c>
      <c r="C57" s="10" t="s">
        <v>4427</v>
      </c>
      <c r="D57" s="10" t="s">
        <v>4428</v>
      </c>
      <c r="E57" s="10" t="s">
        <v>4429</v>
      </c>
      <c r="F57" s="10" t="s">
        <v>4430</v>
      </c>
      <c r="G57" s="10" t="s">
        <v>4431</v>
      </c>
      <c r="H57" s="10" t="s">
        <v>4432</v>
      </c>
      <c r="I57" s="10" t="s">
        <v>4433</v>
      </c>
      <c r="J57" s="67" t="s">
        <v>4460</v>
      </c>
      <c r="K57" s="67" t="s">
        <v>4461</v>
      </c>
      <c r="L57" s="67" t="s">
        <v>26</v>
      </c>
      <c r="M57" s="18" t="s">
        <v>4434</v>
      </c>
      <c r="N57" s="10" t="s">
        <v>56</v>
      </c>
      <c r="O57" s="10" t="s">
        <v>4435</v>
      </c>
      <c r="P57" s="18" t="s">
        <v>73</v>
      </c>
      <c r="Q57" s="123" t="s">
        <v>38</v>
      </c>
      <c r="R57" s="18" t="s">
        <v>62</v>
      </c>
      <c r="U57" s="2"/>
    </row>
    <row r="58" spans="1:24">
      <c r="A58" s="240"/>
      <c r="B58" s="238" t="s">
        <v>104</v>
      </c>
      <c r="C58" s="238">
        <v>40</v>
      </c>
      <c r="D58" s="237">
        <v>21</v>
      </c>
      <c r="E58" s="238">
        <v>8</v>
      </c>
      <c r="F58" s="238"/>
      <c r="G58" s="238"/>
      <c r="H58" s="238"/>
      <c r="I58" s="238"/>
      <c r="J58" s="238"/>
      <c r="K58" s="238"/>
      <c r="L58" s="238"/>
      <c r="M58" s="95"/>
      <c r="N58" s="238"/>
      <c r="O58" s="238"/>
      <c r="P58" s="238"/>
      <c r="Q58" s="95"/>
      <c r="R58" s="239"/>
      <c r="S58" s="240"/>
      <c r="T58" s="240"/>
      <c r="U58" s="404"/>
      <c r="V58" s="240"/>
      <c r="W58" s="240"/>
      <c r="X58" s="240"/>
    </row>
    <row r="59" spans="1:24" s="240" customFormat="1" ht="57.6">
      <c r="B59" s="238" t="s">
        <v>259</v>
      </c>
      <c r="C59" s="238">
        <v>55</v>
      </c>
      <c r="D59" s="238">
        <v>30</v>
      </c>
      <c r="E59" s="238"/>
      <c r="F59" s="238"/>
      <c r="G59" s="238"/>
      <c r="H59" s="238">
        <v>2</v>
      </c>
      <c r="I59" s="238"/>
      <c r="J59" s="238"/>
      <c r="K59" s="238"/>
      <c r="L59" s="238" t="s">
        <v>4505</v>
      </c>
      <c r="M59" s="95"/>
      <c r="N59" s="238" t="s">
        <v>4506</v>
      </c>
      <c r="O59" s="238" t="s">
        <v>4507</v>
      </c>
      <c r="P59" s="238" t="s">
        <v>4508</v>
      </c>
      <c r="Q59" s="95"/>
      <c r="R59" s="239" t="s">
        <v>4509</v>
      </c>
      <c r="U59" s="404"/>
    </row>
    <row r="60" spans="1:24" s="240" customFormat="1" ht="43.15">
      <c r="B60" s="238" t="s">
        <v>510</v>
      </c>
      <c r="C60" s="238">
        <v>65</v>
      </c>
      <c r="D60" s="238">
        <v>30</v>
      </c>
      <c r="E60" s="238"/>
      <c r="F60" s="238"/>
      <c r="G60" s="238"/>
      <c r="H60" s="238"/>
      <c r="I60" s="238"/>
      <c r="J60" s="238">
        <v>2</v>
      </c>
      <c r="K60" s="238"/>
      <c r="L60" s="145"/>
      <c r="M60" s="145" t="s">
        <v>4490</v>
      </c>
      <c r="N60" s="238" t="s">
        <v>4510</v>
      </c>
      <c r="O60" s="238" t="s">
        <v>4511</v>
      </c>
      <c r="P60" s="239" t="s">
        <v>4512</v>
      </c>
      <c r="Q60" s="145"/>
      <c r="R60" s="239"/>
      <c r="U60" s="404"/>
    </row>
    <row r="61" spans="1:24" s="240" customFormat="1" ht="43.15">
      <c r="B61" s="238" t="s">
        <v>1661</v>
      </c>
      <c r="C61" s="241">
        <v>60</v>
      </c>
      <c r="D61" s="241">
        <v>28</v>
      </c>
      <c r="E61" s="238"/>
      <c r="F61" s="238"/>
      <c r="G61" s="238">
        <v>6</v>
      </c>
      <c r="H61" s="238">
        <v>3</v>
      </c>
      <c r="I61" s="238"/>
      <c r="J61" s="238">
        <v>1</v>
      </c>
      <c r="K61" s="238"/>
      <c r="L61" s="238"/>
      <c r="M61" s="145" t="s">
        <v>4513</v>
      </c>
      <c r="N61" s="238"/>
      <c r="O61" s="238" t="s">
        <v>4511</v>
      </c>
      <c r="P61" s="238" t="s">
        <v>4514</v>
      </c>
      <c r="Q61" s="238" t="s">
        <v>4515</v>
      </c>
      <c r="R61" s="239"/>
      <c r="U61" s="404"/>
    </row>
    <row r="62" spans="1:24">
      <c r="C62" s="14">
        <f t="shared" ref="C62:J62" si="4">SUM(C58:C61)</f>
        <v>220</v>
      </c>
      <c r="D62" s="14">
        <f t="shared" si="4"/>
        <v>109</v>
      </c>
      <c r="E62" s="14">
        <f t="shared" si="4"/>
        <v>8</v>
      </c>
      <c r="F62" s="14">
        <f t="shared" si="4"/>
        <v>0</v>
      </c>
      <c r="G62" s="14">
        <f t="shared" si="4"/>
        <v>6</v>
      </c>
      <c r="H62" s="14">
        <f t="shared" si="4"/>
        <v>5</v>
      </c>
      <c r="I62" s="14">
        <f t="shared" si="4"/>
        <v>0</v>
      </c>
      <c r="J62" s="69">
        <f t="shared" si="4"/>
        <v>3</v>
      </c>
      <c r="K62" s="69"/>
    </row>
    <row r="64" spans="1:24">
      <c r="B64" s="54" t="s">
        <v>4478</v>
      </c>
      <c r="C64" s="54" t="s">
        <v>4516</v>
      </c>
    </row>
    <row r="65" spans="2:20">
      <c r="B65" s="54" t="s">
        <v>104</v>
      </c>
      <c r="C65" s="130" t="s">
        <v>4517</v>
      </c>
    </row>
    <row r="66" spans="2:20">
      <c r="B66" s="54" t="s">
        <v>4418</v>
      </c>
      <c r="C66" s="130" t="s">
        <v>4518</v>
      </c>
    </row>
    <row r="67" spans="2:20">
      <c r="B67" s="54" t="s">
        <v>510</v>
      </c>
      <c r="C67" s="130" t="s">
        <v>4519</v>
      </c>
    </row>
    <row r="68" spans="2:20">
      <c r="B68" s="54" t="s">
        <v>1661</v>
      </c>
      <c r="C68" s="130" t="s">
        <v>4520</v>
      </c>
    </row>
    <row r="69" spans="2:20">
      <c r="B69" s="54" t="s">
        <v>259</v>
      </c>
      <c r="C69" s="130" t="s">
        <v>4521</v>
      </c>
    </row>
    <row r="72" spans="2:20" ht="28.9">
      <c r="B72" s="280" t="s">
        <v>4426</v>
      </c>
      <c r="C72" s="280" t="s">
        <v>4427</v>
      </c>
      <c r="D72" s="280" t="s">
        <v>4428</v>
      </c>
      <c r="E72" s="280" t="s">
        <v>4429</v>
      </c>
      <c r="F72" s="280" t="s">
        <v>4430</v>
      </c>
      <c r="G72" s="280" t="s">
        <v>4431</v>
      </c>
      <c r="H72" s="280" t="s">
        <v>4432</v>
      </c>
      <c r="I72" s="280" t="s">
        <v>4433</v>
      </c>
      <c r="J72" s="280" t="s">
        <v>4460</v>
      </c>
      <c r="K72" s="280" t="s">
        <v>4461</v>
      </c>
      <c r="L72" s="280" t="s">
        <v>26</v>
      </c>
      <c r="M72" s="281" t="s">
        <v>4434</v>
      </c>
      <c r="N72" s="280" t="s">
        <v>56</v>
      </c>
      <c r="O72" s="280" t="s">
        <v>4522</v>
      </c>
      <c r="P72" s="281" t="s">
        <v>73</v>
      </c>
      <c r="Q72" s="281" t="s">
        <v>38</v>
      </c>
      <c r="R72" s="281" t="s">
        <v>62</v>
      </c>
      <c r="S72" s="281" t="s">
        <v>4435</v>
      </c>
      <c r="T72" s="281" t="s">
        <v>132</v>
      </c>
    </row>
    <row r="73" spans="2:20" ht="78">
      <c r="B73" s="238" t="s">
        <v>104</v>
      </c>
      <c r="C73" s="238">
        <v>68</v>
      </c>
      <c r="D73" s="238">
        <v>34</v>
      </c>
      <c r="E73" s="238">
        <v>13</v>
      </c>
      <c r="F73" s="238"/>
      <c r="G73" s="238">
        <v>5</v>
      </c>
      <c r="H73" s="238">
        <v>1</v>
      </c>
      <c r="I73" s="238"/>
      <c r="J73" s="238"/>
      <c r="K73" s="238"/>
      <c r="L73" s="238" t="s">
        <v>4523</v>
      </c>
      <c r="M73" s="284" t="s">
        <v>4524</v>
      </c>
      <c r="N73" s="238"/>
      <c r="O73" s="238"/>
      <c r="P73" s="238"/>
      <c r="Q73" s="95"/>
      <c r="R73" s="239"/>
      <c r="S73" s="239"/>
      <c r="T73" s="239"/>
    </row>
    <row r="74" spans="2:20" ht="28.9">
      <c r="B74" s="238" t="s">
        <v>259</v>
      </c>
      <c r="C74" s="238">
        <v>45</v>
      </c>
      <c r="D74" s="238">
        <v>12</v>
      </c>
      <c r="E74" s="238"/>
      <c r="F74" s="238"/>
      <c r="G74" s="238"/>
      <c r="H74" s="238">
        <v>2</v>
      </c>
      <c r="I74" s="238">
        <v>1</v>
      </c>
      <c r="J74" s="238"/>
      <c r="K74" s="238"/>
      <c r="L74" s="238"/>
      <c r="M74" s="95"/>
      <c r="N74" s="238" t="s">
        <v>4525</v>
      </c>
      <c r="O74" s="238"/>
      <c r="P74" s="238" t="s">
        <v>4526</v>
      </c>
      <c r="Q74" s="95"/>
      <c r="R74" s="239" t="s">
        <v>4527</v>
      </c>
      <c r="S74" s="239"/>
      <c r="T74" s="239"/>
    </row>
    <row r="75" spans="2:20" ht="43.15">
      <c r="B75" s="238" t="s">
        <v>510</v>
      </c>
      <c r="C75" s="238">
        <v>75</v>
      </c>
      <c r="D75" s="238">
        <v>21</v>
      </c>
      <c r="E75" s="238"/>
      <c r="F75" s="238"/>
      <c r="G75" s="238"/>
      <c r="H75" s="238">
        <v>1</v>
      </c>
      <c r="I75" s="238">
        <v>1</v>
      </c>
      <c r="J75" s="238">
        <v>1</v>
      </c>
      <c r="K75" s="238"/>
      <c r="L75" s="145"/>
      <c r="M75" s="282" t="s">
        <v>4528</v>
      </c>
      <c r="N75" s="405" t="s">
        <v>4529</v>
      </c>
      <c r="O75" s="238" t="s">
        <v>4530</v>
      </c>
      <c r="P75" s="239"/>
      <c r="Q75" s="145"/>
      <c r="R75" s="282" t="s">
        <v>4531</v>
      </c>
      <c r="S75" s="282" t="s">
        <v>4532</v>
      </c>
      <c r="T75" s="282"/>
    </row>
    <row r="76" spans="2:20" ht="43.15">
      <c r="B76" s="238" t="s">
        <v>1661</v>
      </c>
      <c r="C76" s="238">
        <v>60</v>
      </c>
      <c r="D76" s="238">
        <v>20</v>
      </c>
      <c r="E76" s="238"/>
      <c r="F76" s="238"/>
      <c r="G76" s="238">
        <v>7</v>
      </c>
      <c r="H76" s="238">
        <v>2</v>
      </c>
      <c r="I76" s="238"/>
      <c r="J76" s="238"/>
      <c r="K76" s="238"/>
      <c r="L76" s="282" t="s">
        <v>4533</v>
      </c>
      <c r="M76" s="282" t="s">
        <v>4534</v>
      </c>
      <c r="N76" s="238"/>
      <c r="O76" s="238" t="s">
        <v>4530</v>
      </c>
      <c r="P76" s="238"/>
      <c r="Q76" s="282" t="s">
        <v>4535</v>
      </c>
      <c r="R76" s="239"/>
      <c r="S76" s="239"/>
      <c r="T76" s="239" t="s">
        <v>4536</v>
      </c>
    </row>
    <row r="77" spans="2:20">
      <c r="B77" s="145"/>
      <c r="C77" s="283">
        <f t="shared" ref="C77:J77" si="5">SUM(C73:C76)</f>
        <v>248</v>
      </c>
      <c r="D77" s="283">
        <f t="shared" si="5"/>
        <v>87</v>
      </c>
      <c r="E77" s="283">
        <f t="shared" si="5"/>
        <v>13</v>
      </c>
      <c r="F77" s="283">
        <f t="shared" si="5"/>
        <v>0</v>
      </c>
      <c r="G77" s="283">
        <f t="shared" si="5"/>
        <v>12</v>
      </c>
      <c r="H77" s="283">
        <f t="shared" si="5"/>
        <v>6</v>
      </c>
      <c r="I77" s="283">
        <f t="shared" si="5"/>
        <v>2</v>
      </c>
      <c r="J77" s="283">
        <f t="shared" si="5"/>
        <v>1</v>
      </c>
      <c r="K77" s="283"/>
      <c r="L77" s="145"/>
      <c r="M77" s="145"/>
      <c r="N77" s="238"/>
      <c r="O77" s="239"/>
      <c r="P77" s="145"/>
      <c r="Q77" s="145"/>
      <c r="R77" s="145"/>
      <c r="S77" s="145"/>
      <c r="T77" s="145"/>
    </row>
    <row r="80" spans="2:20">
      <c r="B80" s="54" t="s">
        <v>4478</v>
      </c>
      <c r="C80" s="54" t="s">
        <v>4537</v>
      </c>
      <c r="K80" s="279"/>
    </row>
    <row r="81" spans="2:20" ht="15.6">
      <c r="B81" s="54" t="s">
        <v>104</v>
      </c>
      <c r="C81" s="130"/>
      <c r="K81" s="279"/>
      <c r="L81" s="284"/>
    </row>
    <row r="82" spans="2:20" ht="15.6">
      <c r="B82" s="54" t="s">
        <v>510</v>
      </c>
      <c r="C82" s="130"/>
      <c r="K82" s="279"/>
      <c r="L82" s="284"/>
    </row>
    <row r="83" spans="2:20">
      <c r="B83" s="54" t="s">
        <v>1661</v>
      </c>
      <c r="C83" s="130"/>
      <c r="K83" s="279"/>
    </row>
    <row r="84" spans="2:20">
      <c r="B84" s="54" t="s">
        <v>259</v>
      </c>
      <c r="C84" s="130"/>
      <c r="K84" s="279"/>
    </row>
    <row r="85" spans="2:20">
      <c r="C85" s="279"/>
      <c r="K85" s="279"/>
      <c r="L85" s="279"/>
    </row>
    <row r="87" spans="2:20">
      <c r="B87" s="319">
        <v>46074</v>
      </c>
    </row>
    <row r="88" spans="2:20" ht="28.9">
      <c r="B88" s="280" t="s">
        <v>4426</v>
      </c>
      <c r="C88" s="280" t="s">
        <v>4427</v>
      </c>
      <c r="D88" s="280" t="s">
        <v>4428</v>
      </c>
      <c r="E88" s="280" t="s">
        <v>4429</v>
      </c>
      <c r="F88" s="280" t="s">
        <v>4430</v>
      </c>
      <c r="G88" s="280" t="s">
        <v>4431</v>
      </c>
      <c r="H88" s="280" t="s">
        <v>4432</v>
      </c>
      <c r="I88" s="280" t="s">
        <v>4433</v>
      </c>
      <c r="J88" s="280" t="s">
        <v>4460</v>
      </c>
      <c r="K88" s="280" t="s">
        <v>4461</v>
      </c>
      <c r="L88" s="280" t="s">
        <v>26</v>
      </c>
      <c r="M88" s="281" t="s">
        <v>4434</v>
      </c>
      <c r="N88" s="280" t="s">
        <v>146</v>
      </c>
      <c r="O88" s="280" t="s">
        <v>4522</v>
      </c>
      <c r="P88" s="281" t="s">
        <v>73</v>
      </c>
      <c r="Q88" s="281" t="s">
        <v>38</v>
      </c>
      <c r="R88" s="281" t="s">
        <v>62</v>
      </c>
      <c r="S88" s="281" t="s">
        <v>56</v>
      </c>
      <c r="T88" s="281" t="s">
        <v>132</v>
      </c>
    </row>
    <row r="89" spans="2:20" ht="46.9">
      <c r="B89" s="238" t="s">
        <v>104</v>
      </c>
      <c r="C89" s="238">
        <v>53</v>
      </c>
      <c r="D89" s="238">
        <v>23</v>
      </c>
      <c r="E89" s="238">
        <v>16</v>
      </c>
      <c r="F89" s="238"/>
      <c r="G89" s="238">
        <v>4</v>
      </c>
      <c r="H89" s="238"/>
      <c r="I89" s="238">
        <v>1</v>
      </c>
      <c r="J89" s="238"/>
      <c r="K89" s="238"/>
      <c r="L89" s="238" t="s">
        <v>4538</v>
      </c>
      <c r="M89" s="284" t="s">
        <v>4539</v>
      </c>
      <c r="N89" s="238" t="s">
        <v>4540</v>
      </c>
      <c r="O89" s="238"/>
      <c r="P89" s="238"/>
      <c r="Q89" s="95"/>
      <c r="R89" s="239"/>
      <c r="S89" s="239"/>
      <c r="T89" s="239"/>
    </row>
    <row r="90" spans="2:20" ht="28.9">
      <c r="B90" s="238" t="s">
        <v>259</v>
      </c>
      <c r="C90" s="238">
        <v>30</v>
      </c>
      <c r="D90" s="238">
        <v>15</v>
      </c>
      <c r="E90" s="238"/>
      <c r="F90" s="238"/>
      <c r="G90" s="238"/>
      <c r="H90" s="238"/>
      <c r="I90" s="238"/>
      <c r="J90" s="238"/>
      <c r="K90" s="238"/>
      <c r="L90" s="238"/>
      <c r="M90" s="95"/>
      <c r="N90" s="238"/>
      <c r="O90" s="238"/>
      <c r="P90" s="238"/>
      <c r="Q90" s="95"/>
      <c r="R90" s="239" t="s">
        <v>4541</v>
      </c>
      <c r="S90" s="239"/>
      <c r="T90" s="239"/>
    </row>
    <row r="91" spans="2:20" ht="43.15">
      <c r="B91" s="238" t="s">
        <v>510</v>
      </c>
      <c r="C91" s="238">
        <v>40</v>
      </c>
      <c r="D91" s="238">
        <v>15</v>
      </c>
      <c r="E91" s="238">
        <v>2</v>
      </c>
      <c r="F91" s="238">
        <v>8</v>
      </c>
      <c r="G91" s="238">
        <v>5</v>
      </c>
      <c r="H91" s="238"/>
      <c r="I91" s="238"/>
      <c r="J91" s="238"/>
      <c r="K91" s="238"/>
      <c r="L91" s="145"/>
      <c r="M91" s="282"/>
      <c r="N91" s="405"/>
      <c r="O91" s="238"/>
      <c r="P91" s="239"/>
      <c r="Q91" s="145"/>
      <c r="R91" s="282" t="s">
        <v>4542</v>
      </c>
      <c r="S91" s="282" t="s">
        <v>4543</v>
      </c>
      <c r="T91" s="282"/>
    </row>
    <row r="92" spans="2:20" ht="43.15">
      <c r="B92" s="238" t="s">
        <v>1661</v>
      </c>
      <c r="C92" s="238">
        <v>40</v>
      </c>
      <c r="D92" s="238">
        <v>18</v>
      </c>
      <c r="E92" s="238">
        <v>6</v>
      </c>
      <c r="F92" s="238">
        <v>3</v>
      </c>
      <c r="G92" s="238">
        <v>9</v>
      </c>
      <c r="H92" s="238">
        <v>5</v>
      </c>
      <c r="I92" s="238"/>
      <c r="J92" s="238"/>
      <c r="K92" s="238"/>
      <c r="L92" s="282"/>
      <c r="M92" s="282" t="s">
        <v>4544</v>
      </c>
      <c r="N92" s="238"/>
      <c r="O92" s="238"/>
      <c r="P92" s="238"/>
      <c r="Q92" s="282"/>
      <c r="R92" s="239"/>
      <c r="S92" s="239"/>
      <c r="T92" s="239" t="s">
        <v>4545</v>
      </c>
    </row>
    <row r="93" spans="2:20">
      <c r="B93" s="145"/>
      <c r="C93" s="283">
        <v>163</v>
      </c>
      <c r="D93" s="283">
        <f>SUM(D89:D92)</f>
        <v>71</v>
      </c>
      <c r="E93" s="283">
        <v>24</v>
      </c>
      <c r="F93" s="283">
        <v>11</v>
      </c>
      <c r="G93" s="283">
        <v>18</v>
      </c>
      <c r="H93" s="283">
        <v>5</v>
      </c>
      <c r="I93" s="283">
        <v>1</v>
      </c>
      <c r="J93" s="283"/>
      <c r="K93" s="283"/>
      <c r="L93" s="145"/>
      <c r="M93" s="145"/>
      <c r="N93" s="238"/>
      <c r="O93" s="239"/>
      <c r="P93" s="145"/>
      <c r="Q93" s="145"/>
      <c r="R93" s="145"/>
      <c r="S93" s="145"/>
      <c r="T93" s="145"/>
    </row>
    <row r="95" spans="2:20">
      <c r="B95" s="54" t="s">
        <v>4478</v>
      </c>
      <c r="C95" s="54" t="s">
        <v>4546</v>
      </c>
    </row>
    <row r="96" spans="2:20">
      <c r="B96" s="54" t="s">
        <v>104</v>
      </c>
      <c r="C96" s="130" t="s">
        <v>4547</v>
      </c>
    </row>
    <row r="97" spans="2:20">
      <c r="B97" s="54" t="s">
        <v>510</v>
      </c>
      <c r="C97" s="130" t="s">
        <v>4548</v>
      </c>
    </row>
    <row r="98" spans="2:20">
      <c r="B98" s="54" t="s">
        <v>1661</v>
      </c>
      <c r="C98" s="130" t="s">
        <v>4549</v>
      </c>
    </row>
    <row r="99" spans="2:20">
      <c r="B99" s="54" t="s">
        <v>259</v>
      </c>
      <c r="C99" s="130" t="s">
        <v>4550</v>
      </c>
    </row>
    <row r="101" spans="2:20">
      <c r="B101" s="364">
        <v>46081</v>
      </c>
    </row>
    <row r="102" spans="2:20" ht="28.9">
      <c r="B102" s="280" t="s">
        <v>4426</v>
      </c>
      <c r="C102" s="280" t="s">
        <v>4427</v>
      </c>
      <c r="D102" s="280" t="s">
        <v>4428</v>
      </c>
      <c r="E102" s="280" t="s">
        <v>4429</v>
      </c>
      <c r="F102" s="280" t="s">
        <v>4430</v>
      </c>
      <c r="G102" s="280" t="s">
        <v>4431</v>
      </c>
      <c r="H102" s="280" t="s">
        <v>4432</v>
      </c>
      <c r="I102" s="280" t="s">
        <v>4433</v>
      </c>
      <c r="J102" s="280" t="s">
        <v>4460</v>
      </c>
      <c r="K102" s="280" t="s">
        <v>4461</v>
      </c>
      <c r="L102" s="280" t="s">
        <v>26</v>
      </c>
      <c r="M102" s="281" t="s">
        <v>4434</v>
      </c>
      <c r="N102" s="280" t="s">
        <v>146</v>
      </c>
      <c r="O102" s="280" t="s">
        <v>4522</v>
      </c>
      <c r="P102" s="281" t="s">
        <v>73</v>
      </c>
      <c r="Q102" s="281" t="s">
        <v>38</v>
      </c>
      <c r="R102" s="281" t="s">
        <v>62</v>
      </c>
      <c r="S102" s="281" t="s">
        <v>56</v>
      </c>
      <c r="T102" s="281" t="s">
        <v>132</v>
      </c>
    </row>
    <row r="103" spans="2:20" ht="57.6" customHeight="1">
      <c r="B103" s="238" t="s">
        <v>104</v>
      </c>
      <c r="C103" s="238">
        <v>50</v>
      </c>
      <c r="D103" s="238">
        <v>15</v>
      </c>
      <c r="E103" s="238">
        <v>0</v>
      </c>
      <c r="F103" s="238">
        <v>6</v>
      </c>
      <c r="G103" s="238">
        <v>9</v>
      </c>
      <c r="H103" s="238">
        <v>4</v>
      </c>
      <c r="I103" s="238">
        <v>1</v>
      </c>
      <c r="J103" s="238"/>
      <c r="K103" s="238"/>
      <c r="L103" s="238" t="s">
        <v>4551</v>
      </c>
      <c r="M103" s="284" t="s">
        <v>4552</v>
      </c>
      <c r="N103" s="238"/>
      <c r="O103" s="238"/>
      <c r="P103" s="238"/>
      <c r="Q103" s="95"/>
      <c r="R103" s="239"/>
      <c r="S103" s="239"/>
      <c r="T103" s="239"/>
    </row>
    <row r="104" spans="2:20" ht="72">
      <c r="B104" s="238" t="s">
        <v>259</v>
      </c>
      <c r="C104" s="238">
        <v>50</v>
      </c>
      <c r="D104" s="238">
        <v>15</v>
      </c>
      <c r="E104" s="238">
        <v>10</v>
      </c>
      <c r="F104" s="238">
        <v>2</v>
      </c>
      <c r="G104" s="238">
        <v>3</v>
      </c>
      <c r="H104" s="238">
        <v>0</v>
      </c>
      <c r="I104" s="238">
        <v>0</v>
      </c>
      <c r="J104" s="238"/>
      <c r="K104" s="238"/>
      <c r="L104" s="238"/>
      <c r="M104" s="95"/>
      <c r="N104" s="238"/>
      <c r="O104" s="238"/>
      <c r="P104" s="238"/>
      <c r="Q104" s="95"/>
      <c r="R104" s="239" t="s">
        <v>4553</v>
      </c>
      <c r="S104" s="239" t="s">
        <v>4554</v>
      </c>
      <c r="T104" s="239"/>
    </row>
    <row r="105" spans="2:20" ht="72">
      <c r="B105" s="238" t="s">
        <v>510</v>
      </c>
      <c r="C105" s="238">
        <v>45</v>
      </c>
      <c r="D105" s="238">
        <v>14</v>
      </c>
      <c r="E105" s="238">
        <v>9</v>
      </c>
      <c r="F105" s="238">
        <v>3</v>
      </c>
      <c r="G105" s="238">
        <v>2</v>
      </c>
      <c r="H105" s="238">
        <v>0</v>
      </c>
      <c r="I105" s="238">
        <v>0</v>
      </c>
      <c r="J105" s="238"/>
      <c r="K105" s="238"/>
      <c r="L105" s="145"/>
      <c r="M105" s="282"/>
      <c r="N105" s="405"/>
      <c r="O105" s="238"/>
      <c r="P105" s="239"/>
      <c r="Q105" s="145"/>
      <c r="R105" s="282" t="s">
        <v>4555</v>
      </c>
      <c r="S105" s="282" t="s">
        <v>4556</v>
      </c>
      <c r="T105" s="282"/>
    </row>
    <row r="106" spans="2:20" ht="28.9">
      <c r="B106" s="238" t="s">
        <v>1661</v>
      </c>
      <c r="C106" s="238">
        <v>47</v>
      </c>
      <c r="D106" s="238">
        <v>5</v>
      </c>
      <c r="E106" s="238">
        <v>2</v>
      </c>
      <c r="F106" s="238">
        <v>2</v>
      </c>
      <c r="G106" s="238">
        <v>1</v>
      </c>
      <c r="H106" s="238" t="s">
        <v>4557</v>
      </c>
      <c r="I106" s="238" t="s">
        <v>4558</v>
      </c>
      <c r="J106" s="238" t="s">
        <v>4559</v>
      </c>
      <c r="K106" s="238"/>
      <c r="L106" s="282"/>
      <c r="M106" s="282" t="s">
        <v>4560</v>
      </c>
      <c r="N106" s="238"/>
      <c r="O106" s="238" t="s">
        <v>4561</v>
      </c>
      <c r="P106" s="238"/>
      <c r="Q106" s="282"/>
      <c r="R106" s="239" t="s">
        <v>4562</v>
      </c>
      <c r="S106" s="239"/>
      <c r="T106" s="239" t="s">
        <v>4563</v>
      </c>
    </row>
    <row r="107" spans="2:20">
      <c r="B107" s="145"/>
      <c r="C107" s="283">
        <v>192</v>
      </c>
      <c r="D107" s="283">
        <f>SUM(D103:D106)</f>
        <v>49</v>
      </c>
      <c r="E107" s="283">
        <f>SUM(E103:E106)</f>
        <v>21</v>
      </c>
      <c r="F107" s="283">
        <f>SUM(F103:F106)</f>
        <v>13</v>
      </c>
      <c r="G107" s="283">
        <f>SUM(G103:G106)</f>
        <v>15</v>
      </c>
      <c r="H107" s="283">
        <v>4</v>
      </c>
      <c r="I107" s="283">
        <v>1</v>
      </c>
      <c r="J107" s="283">
        <v>2</v>
      </c>
      <c r="K107" s="283"/>
      <c r="L107" s="145"/>
      <c r="M107" s="145"/>
      <c r="N107" s="238"/>
      <c r="O107" s="239"/>
      <c r="P107" s="145"/>
      <c r="Q107" s="145"/>
      <c r="R107" s="145"/>
      <c r="S107" s="145"/>
      <c r="T107" s="145"/>
    </row>
    <row r="109" spans="2:20">
      <c r="B109" s="54" t="s">
        <v>4478</v>
      </c>
      <c r="C109" s="54" t="s">
        <v>4546</v>
      </c>
    </row>
    <row r="110" spans="2:20">
      <c r="B110" s="54" t="s">
        <v>104</v>
      </c>
      <c r="C110" s="130"/>
    </row>
    <row r="111" spans="2:20">
      <c r="B111" s="54" t="s">
        <v>510</v>
      </c>
      <c r="C111" s="130"/>
    </row>
    <row r="112" spans="2:20">
      <c r="B112" s="54" t="s">
        <v>1661</v>
      </c>
      <c r="C112" s="130"/>
    </row>
    <row r="113" spans="2:21">
      <c r="B113" s="54" t="s">
        <v>259</v>
      </c>
      <c r="C113" s="130"/>
    </row>
    <row r="116" spans="2:21">
      <c r="B116" s="364">
        <v>46088</v>
      </c>
    </row>
    <row r="117" spans="2:21" s="70" customFormat="1" ht="49.5" customHeight="1">
      <c r="B117" s="280" t="s">
        <v>4426</v>
      </c>
      <c r="C117" s="280" t="s">
        <v>4427</v>
      </c>
      <c r="D117" s="280" t="s">
        <v>4428</v>
      </c>
      <c r="E117" s="280" t="s">
        <v>4429</v>
      </c>
      <c r="F117" s="280" t="s">
        <v>4430</v>
      </c>
      <c r="G117" s="280" t="s">
        <v>4431</v>
      </c>
      <c r="H117" s="280" t="s">
        <v>4432</v>
      </c>
      <c r="I117" s="280" t="s">
        <v>4433</v>
      </c>
      <c r="J117" s="280" t="s">
        <v>4460</v>
      </c>
      <c r="K117" s="280" t="s">
        <v>4461</v>
      </c>
      <c r="L117" s="280" t="s">
        <v>26</v>
      </c>
      <c r="M117" s="280" t="s">
        <v>4434</v>
      </c>
      <c r="N117" s="280" t="s">
        <v>146</v>
      </c>
      <c r="O117" s="280" t="s">
        <v>4522</v>
      </c>
      <c r="P117" s="280" t="s">
        <v>73</v>
      </c>
      <c r="Q117" s="280" t="s">
        <v>141</v>
      </c>
      <c r="R117" s="280" t="s">
        <v>62</v>
      </c>
      <c r="S117" s="280" t="s">
        <v>56</v>
      </c>
      <c r="T117" s="280" t="s">
        <v>132</v>
      </c>
      <c r="U117" s="403"/>
    </row>
    <row r="118" spans="2:21" ht="43.15">
      <c r="B118" s="238" t="s">
        <v>104</v>
      </c>
      <c r="C118" s="238">
        <v>40</v>
      </c>
      <c r="D118" s="238">
        <v>12</v>
      </c>
      <c r="E118" s="238">
        <v>10</v>
      </c>
      <c r="F118" s="238"/>
      <c r="G118" s="238">
        <v>2</v>
      </c>
      <c r="H118" s="238"/>
      <c r="I118" s="238"/>
      <c r="J118" s="238"/>
      <c r="K118" s="238"/>
      <c r="L118" s="238"/>
      <c r="M118" s="284"/>
      <c r="N118" s="238" t="s">
        <v>4564</v>
      </c>
      <c r="O118" s="238"/>
      <c r="P118" s="238"/>
      <c r="Q118" s="238" t="s">
        <v>4565</v>
      </c>
      <c r="R118" s="239"/>
      <c r="S118" s="239"/>
      <c r="T118" s="239"/>
    </row>
    <row r="119" spans="2:21" ht="28.9">
      <c r="B119" s="238" t="s">
        <v>259</v>
      </c>
      <c r="C119" s="238">
        <v>34</v>
      </c>
      <c r="D119" s="238">
        <v>6</v>
      </c>
      <c r="E119" s="238">
        <v>4</v>
      </c>
      <c r="F119" s="238"/>
      <c r="G119" s="238">
        <v>2</v>
      </c>
      <c r="H119" s="238"/>
      <c r="I119" s="238"/>
      <c r="J119" s="238"/>
      <c r="K119" s="238"/>
      <c r="L119" s="238"/>
      <c r="M119" s="95"/>
      <c r="N119" s="238" t="s">
        <v>4566</v>
      </c>
      <c r="O119" s="238"/>
      <c r="P119" s="238"/>
      <c r="Q119" s="95" t="s">
        <v>4567</v>
      </c>
      <c r="R119" s="239" t="s">
        <v>4568</v>
      </c>
      <c r="S119" s="239"/>
      <c r="T119" s="239"/>
    </row>
    <row r="120" spans="2:21">
      <c r="B120" s="238" t="s">
        <v>510</v>
      </c>
      <c r="C120" s="238">
        <v>40</v>
      </c>
      <c r="D120" s="238">
        <v>6</v>
      </c>
      <c r="E120" s="238">
        <v>1</v>
      </c>
      <c r="F120" s="238"/>
      <c r="G120" s="238">
        <v>5</v>
      </c>
      <c r="H120" s="238"/>
      <c r="I120" s="238"/>
      <c r="J120" s="238"/>
      <c r="K120" s="238"/>
      <c r="L120" s="145"/>
      <c r="M120" s="282"/>
      <c r="N120" s="405" t="s">
        <v>4569</v>
      </c>
      <c r="O120" s="238"/>
      <c r="P120" s="239"/>
      <c r="Q120" s="145"/>
      <c r="R120" s="282"/>
      <c r="S120" s="282"/>
      <c r="T120" s="282"/>
    </row>
    <row r="121" spans="2:21">
      <c r="B121" s="238" t="s">
        <v>1661</v>
      </c>
      <c r="C121" s="238"/>
      <c r="D121" s="238"/>
      <c r="E121" s="238"/>
      <c r="F121" s="238"/>
      <c r="G121" s="238"/>
      <c r="H121" s="238"/>
      <c r="I121" s="238"/>
      <c r="J121" s="238"/>
      <c r="K121" s="238"/>
      <c r="L121" s="282"/>
      <c r="M121" s="282"/>
      <c r="N121" s="238"/>
      <c r="O121" s="238"/>
      <c r="P121" s="238"/>
      <c r="Q121" s="282"/>
      <c r="R121" s="239"/>
      <c r="S121" s="239"/>
      <c r="T121" s="239"/>
    </row>
    <row r="122" spans="2:21">
      <c r="B122" s="145"/>
      <c r="C122" s="283">
        <v>114</v>
      </c>
      <c r="D122" s="283">
        <v>24</v>
      </c>
      <c r="E122" s="283">
        <v>15</v>
      </c>
      <c r="F122" s="283">
        <v>4</v>
      </c>
      <c r="G122" s="283">
        <v>9</v>
      </c>
      <c r="H122" s="283"/>
      <c r="I122" s="283"/>
      <c r="J122" s="283"/>
      <c r="K122" s="283"/>
      <c r="L122" s="283"/>
      <c r="M122" s="283"/>
      <c r="N122" s="407"/>
      <c r="O122" s="407"/>
      <c r="P122" s="283"/>
      <c r="Q122" s="283"/>
      <c r="R122" s="283"/>
      <c r="S122" s="283"/>
      <c r="T122" s="283"/>
    </row>
    <row r="125" spans="2:21">
      <c r="B125" s="364">
        <v>46095</v>
      </c>
    </row>
    <row r="126" spans="2:21" s="70" customFormat="1" ht="55.5" customHeight="1">
      <c r="B126" s="280" t="s">
        <v>4426</v>
      </c>
      <c r="C126" s="280" t="s">
        <v>4427</v>
      </c>
      <c r="D126" s="280" t="s">
        <v>4428</v>
      </c>
      <c r="E126" s="280" t="s">
        <v>4429</v>
      </c>
      <c r="F126" s="280" t="s">
        <v>4430</v>
      </c>
      <c r="G126" s="280" t="s">
        <v>4431</v>
      </c>
      <c r="H126" s="280" t="s">
        <v>4432</v>
      </c>
      <c r="I126" s="280" t="s">
        <v>4433</v>
      </c>
      <c r="J126" s="280" t="s">
        <v>4460</v>
      </c>
      <c r="K126" s="280" t="s">
        <v>4461</v>
      </c>
      <c r="L126" s="280" t="s">
        <v>26</v>
      </c>
      <c r="M126" s="280" t="s">
        <v>4434</v>
      </c>
      <c r="N126" s="280" t="s">
        <v>146</v>
      </c>
      <c r="O126" s="280" t="s">
        <v>4522</v>
      </c>
      <c r="P126" s="280" t="s">
        <v>73</v>
      </c>
      <c r="Q126" s="280" t="s">
        <v>141</v>
      </c>
      <c r="R126" s="280" t="s">
        <v>62</v>
      </c>
      <c r="S126" s="280" t="s">
        <v>56</v>
      </c>
      <c r="T126" s="280" t="s">
        <v>132</v>
      </c>
      <c r="U126" s="403"/>
    </row>
    <row r="127" spans="2:21" ht="43.15">
      <c r="B127" s="238" t="s">
        <v>104</v>
      </c>
      <c r="C127" s="238">
        <v>40</v>
      </c>
      <c r="D127" s="238">
        <v>16</v>
      </c>
      <c r="E127" s="238">
        <v>1</v>
      </c>
      <c r="F127" s="238">
        <v>8</v>
      </c>
      <c r="G127" s="238">
        <v>7</v>
      </c>
      <c r="H127" s="238">
        <v>7</v>
      </c>
      <c r="I127" s="238">
        <v>1</v>
      </c>
      <c r="J127" s="238"/>
      <c r="K127" s="238"/>
      <c r="L127" s="238" t="s">
        <v>4570</v>
      </c>
      <c r="M127" s="284"/>
      <c r="N127" s="238" t="s">
        <v>4571</v>
      </c>
      <c r="O127" s="238"/>
      <c r="P127" s="238"/>
      <c r="Q127" s="238" t="s">
        <v>4572</v>
      </c>
      <c r="R127" s="239"/>
      <c r="S127" s="239"/>
      <c r="T127" s="239"/>
    </row>
    <row r="128" spans="2:21" ht="37.15" customHeight="1">
      <c r="B128" s="238" t="s">
        <v>259</v>
      </c>
      <c r="C128" s="238">
        <v>43</v>
      </c>
      <c r="D128" s="238">
        <v>10</v>
      </c>
      <c r="E128" s="238">
        <v>1</v>
      </c>
      <c r="F128" s="238"/>
      <c r="G128" s="238">
        <v>1</v>
      </c>
      <c r="H128" s="238"/>
      <c r="I128" s="238"/>
      <c r="J128" s="238"/>
      <c r="K128" s="238"/>
      <c r="L128" s="238"/>
      <c r="M128" s="95"/>
      <c r="N128" s="238" t="s">
        <v>4573</v>
      </c>
      <c r="O128" s="238"/>
      <c r="P128" s="238"/>
      <c r="Q128" s="238" t="s">
        <v>4574</v>
      </c>
      <c r="R128" s="239"/>
      <c r="S128" s="239"/>
      <c r="T128" s="239"/>
    </row>
    <row r="129" spans="2:21" ht="44.45" customHeight="1">
      <c r="B129" s="238" t="s">
        <v>510</v>
      </c>
      <c r="C129" s="238">
        <v>50</v>
      </c>
      <c r="D129" s="238">
        <v>39</v>
      </c>
      <c r="E129" s="238">
        <v>0</v>
      </c>
      <c r="F129" s="238">
        <v>39</v>
      </c>
      <c r="G129" s="238">
        <v>0</v>
      </c>
      <c r="H129" s="238">
        <v>30</v>
      </c>
      <c r="I129" s="238">
        <v>9</v>
      </c>
      <c r="J129" s="238"/>
      <c r="K129" s="238"/>
      <c r="L129" s="145"/>
      <c r="M129" s="282"/>
      <c r="N129" s="405"/>
      <c r="O129" s="238"/>
      <c r="P129" s="239"/>
      <c r="Q129" s="239" t="s">
        <v>4575</v>
      </c>
      <c r="R129" s="282"/>
      <c r="S129" s="282"/>
      <c r="T129" s="282"/>
    </row>
    <row r="130" spans="2:21" ht="43.15">
      <c r="B130" s="238" t="s">
        <v>1661</v>
      </c>
      <c r="C130" s="238">
        <v>50</v>
      </c>
      <c r="D130" s="238">
        <v>11</v>
      </c>
      <c r="E130" s="238">
        <v>3</v>
      </c>
      <c r="F130" s="238"/>
      <c r="G130" s="238">
        <v>1</v>
      </c>
      <c r="H130" s="238">
        <v>7</v>
      </c>
      <c r="I130" s="238"/>
      <c r="J130" s="238"/>
      <c r="K130" s="238"/>
      <c r="L130" s="282" t="s">
        <v>4576</v>
      </c>
      <c r="M130" s="282"/>
      <c r="N130" s="238" t="s">
        <v>4577</v>
      </c>
      <c r="O130" s="238" t="s">
        <v>4578</v>
      </c>
      <c r="P130" s="238"/>
      <c r="Q130" s="282" t="s">
        <v>4579</v>
      </c>
      <c r="R130" s="239"/>
      <c r="S130" s="239"/>
      <c r="T130" s="239"/>
    </row>
    <row r="131" spans="2:21">
      <c r="B131" s="145"/>
      <c r="C131" s="283">
        <v>183</v>
      </c>
      <c r="D131" s="283">
        <v>76</v>
      </c>
      <c r="E131" s="283">
        <v>5</v>
      </c>
      <c r="F131" s="283">
        <v>47</v>
      </c>
      <c r="G131" s="283">
        <v>9</v>
      </c>
      <c r="H131" s="283">
        <v>44</v>
      </c>
      <c r="I131" s="283">
        <v>10</v>
      </c>
      <c r="J131" s="283"/>
      <c r="K131" s="283"/>
      <c r="L131" s="283"/>
      <c r="M131" s="283"/>
      <c r="N131" s="407"/>
      <c r="O131" s="407"/>
      <c r="P131" s="283"/>
      <c r="Q131" s="283"/>
      <c r="R131" s="283"/>
      <c r="S131" s="283"/>
      <c r="T131" s="283"/>
    </row>
    <row r="134" spans="2:21">
      <c r="B134" s="364">
        <v>46102</v>
      </c>
    </row>
    <row r="135" spans="2:21" ht="28.9">
      <c r="B135" s="280" t="s">
        <v>4426</v>
      </c>
      <c r="C135" s="280" t="s">
        <v>4427</v>
      </c>
      <c r="D135" s="280" t="s">
        <v>4428</v>
      </c>
      <c r="E135" s="280" t="s">
        <v>4429</v>
      </c>
      <c r="F135" s="280" t="s">
        <v>4430</v>
      </c>
      <c r="G135" s="280" t="s">
        <v>4431</v>
      </c>
      <c r="H135" s="280" t="s">
        <v>4432</v>
      </c>
      <c r="I135" s="280" t="s">
        <v>4433</v>
      </c>
      <c r="J135" s="280" t="s">
        <v>4460</v>
      </c>
      <c r="K135" s="280" t="s">
        <v>4461</v>
      </c>
      <c r="L135" s="280" t="s">
        <v>26</v>
      </c>
      <c r="M135" s="280" t="s">
        <v>4434</v>
      </c>
      <c r="N135" s="280" t="s">
        <v>146</v>
      </c>
      <c r="O135" s="280" t="s">
        <v>4522</v>
      </c>
      <c r="P135" s="280" t="s">
        <v>73</v>
      </c>
      <c r="Q135" s="280" t="s">
        <v>141</v>
      </c>
      <c r="R135" s="280" t="s">
        <v>62</v>
      </c>
      <c r="S135" s="280" t="s">
        <v>56</v>
      </c>
      <c r="T135" s="280" t="s">
        <v>132</v>
      </c>
      <c r="U135" s="280" t="s">
        <v>4580</v>
      </c>
    </row>
    <row r="136" spans="2:21" ht="43.15">
      <c r="B136" s="238" t="s">
        <v>104</v>
      </c>
      <c r="C136" s="238">
        <v>40</v>
      </c>
      <c r="D136" s="238">
        <v>12</v>
      </c>
      <c r="E136" s="238">
        <v>2</v>
      </c>
      <c r="F136" s="238">
        <v>12</v>
      </c>
      <c r="G136" s="238"/>
      <c r="H136" s="238">
        <v>10</v>
      </c>
      <c r="I136" s="238"/>
      <c r="J136" s="238"/>
      <c r="K136" s="238"/>
      <c r="L136" s="238" t="s">
        <v>4581</v>
      </c>
      <c r="M136" s="284"/>
      <c r="N136" s="238"/>
      <c r="O136" s="241"/>
      <c r="P136" s="238"/>
      <c r="Q136" s="238" t="s">
        <v>4582</v>
      </c>
      <c r="R136" s="239"/>
      <c r="S136" s="239"/>
      <c r="T136" s="239"/>
      <c r="U136" s="238"/>
    </row>
    <row r="137" spans="2:21" ht="36.6" customHeight="1">
      <c r="B137" s="238" t="s">
        <v>259</v>
      </c>
      <c r="C137" s="238">
        <v>40</v>
      </c>
      <c r="D137" s="238">
        <v>7</v>
      </c>
      <c r="E137" s="238"/>
      <c r="F137" s="238"/>
      <c r="G137" s="238"/>
      <c r="H137" s="238"/>
      <c r="I137" s="238"/>
      <c r="J137" s="238"/>
      <c r="K137" s="238"/>
      <c r="L137" s="238"/>
      <c r="M137" s="95"/>
      <c r="N137" s="237" t="s">
        <v>4583</v>
      </c>
      <c r="O137" s="7"/>
      <c r="P137" s="409"/>
      <c r="Q137" s="238" t="s">
        <v>4584</v>
      </c>
      <c r="R137" s="239"/>
      <c r="S137" s="239"/>
      <c r="T137" s="239"/>
      <c r="U137" s="238"/>
    </row>
    <row r="138" spans="2:21" ht="43.15" customHeight="1">
      <c r="B138" s="238" t="s">
        <v>510</v>
      </c>
      <c r="C138" s="238">
        <v>40</v>
      </c>
      <c r="D138" s="238">
        <v>21</v>
      </c>
      <c r="E138" s="238">
        <v>0</v>
      </c>
      <c r="F138" s="238">
        <v>19</v>
      </c>
      <c r="G138" s="238">
        <v>2</v>
      </c>
      <c r="H138" s="238">
        <v>19</v>
      </c>
      <c r="I138" s="238"/>
      <c r="J138" s="238"/>
      <c r="K138" s="238"/>
      <c r="L138" s="145"/>
      <c r="M138" s="282"/>
      <c r="N138" s="408"/>
      <c r="O138" s="7"/>
      <c r="P138" s="410"/>
      <c r="Q138" s="238" t="s">
        <v>4585</v>
      </c>
      <c r="R138" s="282"/>
      <c r="S138" s="282"/>
      <c r="T138" s="282"/>
      <c r="U138" s="405"/>
    </row>
    <row r="139" spans="2:21" ht="57.6">
      <c r="B139" s="238" t="s">
        <v>1661</v>
      </c>
      <c r="C139" s="238">
        <v>30</v>
      </c>
      <c r="D139" s="238">
        <v>8</v>
      </c>
      <c r="E139" s="238">
        <v>8</v>
      </c>
      <c r="F139" s="238"/>
      <c r="G139" s="238"/>
      <c r="H139" s="238"/>
      <c r="I139" s="238"/>
      <c r="J139" s="238"/>
      <c r="K139" s="238"/>
      <c r="L139" s="282"/>
      <c r="M139" s="402"/>
      <c r="N139" s="237" t="s">
        <v>4586</v>
      </c>
      <c r="O139" s="7"/>
      <c r="P139" s="409"/>
      <c r="Q139" s="238" t="s">
        <v>4587</v>
      </c>
      <c r="R139" s="239"/>
      <c r="S139" s="239"/>
      <c r="T139" s="239"/>
      <c r="U139" s="238">
        <v>3</v>
      </c>
    </row>
    <row r="140" spans="2:21">
      <c r="B140" s="145"/>
      <c r="C140" s="283">
        <v>150</v>
      </c>
      <c r="D140" s="283">
        <v>48</v>
      </c>
      <c r="E140" s="283">
        <v>10</v>
      </c>
      <c r="F140" s="283">
        <v>12</v>
      </c>
      <c r="G140" s="283">
        <v>2</v>
      </c>
      <c r="H140" s="283">
        <v>29</v>
      </c>
      <c r="I140" s="283"/>
      <c r="J140" s="283"/>
      <c r="K140" s="283"/>
      <c r="L140" s="283"/>
      <c r="M140" s="283"/>
      <c r="N140" s="407"/>
      <c r="O140" s="411"/>
      <c r="P140" s="283"/>
      <c r="Q140" s="283"/>
      <c r="R140" s="283"/>
      <c r="S140" s="283"/>
      <c r="T140" s="283"/>
      <c r="U140" s="283">
        <v>3</v>
      </c>
    </row>
    <row r="143" spans="2:21">
      <c r="B143" s="364">
        <v>46109</v>
      </c>
    </row>
    <row r="144" spans="2:21" ht="28.9">
      <c r="B144" s="280" t="s">
        <v>4426</v>
      </c>
      <c r="C144" s="280" t="s">
        <v>4427</v>
      </c>
      <c r="D144" s="280" t="s">
        <v>4428</v>
      </c>
      <c r="E144" s="280" t="s">
        <v>4429</v>
      </c>
      <c r="F144" s="280" t="s">
        <v>4430</v>
      </c>
      <c r="G144" s="280" t="s">
        <v>4431</v>
      </c>
      <c r="H144" s="280" t="s">
        <v>4432</v>
      </c>
      <c r="I144" s="280" t="s">
        <v>4433</v>
      </c>
      <c r="J144" s="280" t="s">
        <v>4460</v>
      </c>
      <c r="K144" s="280" t="s">
        <v>4461</v>
      </c>
      <c r="L144" s="280" t="s">
        <v>26</v>
      </c>
      <c r="M144" s="280" t="s">
        <v>4434</v>
      </c>
      <c r="N144" s="280" t="s">
        <v>146</v>
      </c>
      <c r="O144" s="280" t="s">
        <v>4522</v>
      </c>
      <c r="P144" s="280" t="s">
        <v>116</v>
      </c>
      <c r="Q144" s="280" t="s">
        <v>141</v>
      </c>
      <c r="R144" s="280" t="s">
        <v>62</v>
      </c>
      <c r="S144" s="280" t="s">
        <v>4437</v>
      </c>
      <c r="T144" s="280" t="s">
        <v>132</v>
      </c>
      <c r="U144" s="280" t="s">
        <v>4580</v>
      </c>
    </row>
    <row r="145" spans="2:21" ht="28.9">
      <c r="B145" s="238" t="s">
        <v>104</v>
      </c>
      <c r="C145" s="238">
        <v>50</v>
      </c>
      <c r="D145" s="238">
        <v>35</v>
      </c>
      <c r="E145" s="238">
        <v>8</v>
      </c>
      <c r="F145" s="238">
        <v>17</v>
      </c>
      <c r="G145" s="238">
        <v>7</v>
      </c>
      <c r="H145" s="238">
        <v>3</v>
      </c>
      <c r="I145" s="238"/>
      <c r="J145" s="238"/>
      <c r="K145" s="238"/>
      <c r="L145" s="238" t="s">
        <v>4588</v>
      </c>
      <c r="M145" s="284"/>
      <c r="N145" s="238"/>
      <c r="O145" s="241"/>
      <c r="P145" s="238"/>
      <c r="Q145" s="238"/>
      <c r="R145" s="239"/>
      <c r="S145" s="239" t="s">
        <v>4589</v>
      </c>
      <c r="T145" s="239"/>
      <c r="U145" s="238"/>
    </row>
    <row r="146" spans="2:21" ht="28.9">
      <c r="B146" s="238" t="s">
        <v>259</v>
      </c>
      <c r="C146" s="238">
        <v>50</v>
      </c>
      <c r="D146" s="238">
        <v>30</v>
      </c>
      <c r="E146" s="238">
        <v>11</v>
      </c>
      <c r="F146" s="238">
        <v>9</v>
      </c>
      <c r="G146" s="238">
        <v>10</v>
      </c>
      <c r="H146" s="238">
        <v>9</v>
      </c>
      <c r="I146" s="238"/>
      <c r="J146" s="238"/>
      <c r="K146" s="238"/>
      <c r="L146" s="238" t="s">
        <v>4590</v>
      </c>
      <c r="M146" s="95"/>
      <c r="N146" s="237" t="s">
        <v>4591</v>
      </c>
      <c r="O146" s="7"/>
      <c r="P146" s="409" t="s">
        <v>4592</v>
      </c>
      <c r="Q146" s="238" t="s">
        <v>4593</v>
      </c>
      <c r="R146" s="239" t="s">
        <v>4594</v>
      </c>
      <c r="S146" s="239"/>
      <c r="T146" s="239" t="s">
        <v>4595</v>
      </c>
      <c r="U146" s="238"/>
    </row>
    <row r="147" spans="2:21" ht="57.6">
      <c r="B147" s="238" t="s">
        <v>510</v>
      </c>
      <c r="C147" s="238">
        <v>50</v>
      </c>
      <c r="D147" s="238">
        <v>37</v>
      </c>
      <c r="E147" s="238">
        <v>0</v>
      </c>
      <c r="F147" s="238">
        <v>37</v>
      </c>
      <c r="G147" s="238">
        <v>0</v>
      </c>
      <c r="H147" s="238">
        <v>37</v>
      </c>
      <c r="I147" s="238"/>
      <c r="J147" s="238"/>
      <c r="K147" s="238"/>
      <c r="L147" s="145"/>
      <c r="M147" s="282"/>
      <c r="N147" s="408"/>
      <c r="O147" s="7"/>
      <c r="P147" s="410"/>
      <c r="Q147" s="238" t="s">
        <v>4596</v>
      </c>
      <c r="R147" s="282"/>
      <c r="S147" s="282"/>
      <c r="T147" s="282"/>
      <c r="U147" s="405"/>
    </row>
    <row r="148" spans="2:21" ht="28.9">
      <c r="B148" s="238" t="s">
        <v>1661</v>
      </c>
      <c r="C148" s="238">
        <v>50</v>
      </c>
      <c r="D148" s="238">
        <v>30</v>
      </c>
      <c r="E148" s="238">
        <v>18</v>
      </c>
      <c r="F148" s="238">
        <v>3</v>
      </c>
      <c r="G148" s="238">
        <v>5</v>
      </c>
      <c r="H148" s="238"/>
      <c r="I148" s="238"/>
      <c r="J148" s="238"/>
      <c r="K148" s="238"/>
      <c r="L148" s="282" t="s">
        <v>4597</v>
      </c>
      <c r="M148" s="402"/>
      <c r="N148" s="237"/>
      <c r="O148" s="7"/>
      <c r="P148" s="409" t="s">
        <v>4598</v>
      </c>
      <c r="Q148" s="238" t="s">
        <v>4599</v>
      </c>
      <c r="R148" s="239"/>
      <c r="S148" s="239"/>
      <c r="T148" s="239" t="s">
        <v>4600</v>
      </c>
      <c r="U148" s="238"/>
    </row>
    <row r="149" spans="2:21">
      <c r="B149" s="145"/>
      <c r="C149" s="14">
        <f>SUM(C145:C148)</f>
        <v>200</v>
      </c>
      <c r="D149" s="283">
        <f>SUM(D145:D148)</f>
        <v>132</v>
      </c>
      <c r="E149" s="283">
        <f>SUM(E145:E148)</f>
        <v>37</v>
      </c>
      <c r="F149" s="283">
        <f>SUM(F145:F148)</f>
        <v>66</v>
      </c>
      <c r="G149" s="283">
        <f>SUM(G145:G148)</f>
        <v>22</v>
      </c>
      <c r="H149" s="283">
        <v>49</v>
      </c>
      <c r="I149" s="283"/>
      <c r="J149" s="283"/>
      <c r="K149" s="283"/>
      <c r="L149" s="283"/>
      <c r="M149" s="283"/>
      <c r="N149" s="407"/>
      <c r="O149" s="411"/>
      <c r="P149" s="283"/>
      <c r="Q149" s="283"/>
      <c r="R149" s="283"/>
      <c r="S149" s="283"/>
      <c r="T149" s="283"/>
      <c r="U149" s="283">
        <v>3</v>
      </c>
    </row>
    <row r="151" spans="2:21">
      <c r="B151" s="364"/>
    </row>
    <row r="152" spans="2:21" s="642" customFormat="1">
      <c r="B152" s="646">
        <v>46116</v>
      </c>
      <c r="C152" s="643"/>
      <c r="D152" s="643"/>
      <c r="E152" s="643"/>
      <c r="F152" s="643"/>
      <c r="G152" s="643"/>
      <c r="H152" s="643"/>
      <c r="I152" s="643"/>
      <c r="J152" s="643"/>
      <c r="K152" s="643"/>
      <c r="L152" s="643"/>
      <c r="M152" s="643"/>
      <c r="N152" s="643"/>
      <c r="O152" s="643"/>
      <c r="P152" s="643"/>
      <c r="Q152" s="643"/>
      <c r="R152" s="643"/>
      <c r="S152" s="643"/>
      <c r="T152" s="643"/>
      <c r="U152" s="643"/>
    </row>
    <row r="153" spans="2:21" ht="28.9">
      <c r="B153" s="280" t="s">
        <v>4426</v>
      </c>
      <c r="C153" s="280" t="s">
        <v>4427</v>
      </c>
      <c r="D153" s="280" t="s">
        <v>4428</v>
      </c>
      <c r="E153" s="280" t="s">
        <v>4429</v>
      </c>
      <c r="F153" s="280" t="s">
        <v>4430</v>
      </c>
      <c r="G153" s="280" t="s">
        <v>4431</v>
      </c>
      <c r="H153" s="280" t="s">
        <v>4432</v>
      </c>
      <c r="I153" s="280" t="s">
        <v>4433</v>
      </c>
      <c r="J153" s="280" t="s">
        <v>4460</v>
      </c>
      <c r="K153" s="280" t="s">
        <v>4461</v>
      </c>
      <c r="L153" s="280" t="s">
        <v>26</v>
      </c>
      <c r="M153" s="280" t="s">
        <v>4434</v>
      </c>
      <c r="N153" s="280" t="s">
        <v>146</v>
      </c>
      <c r="O153" s="280" t="s">
        <v>4522</v>
      </c>
      <c r="P153" s="280" t="s">
        <v>4601</v>
      </c>
      <c r="Q153" s="280" t="s">
        <v>141</v>
      </c>
      <c r="R153" s="280" t="s">
        <v>62</v>
      </c>
      <c r="S153" s="280" t="s">
        <v>4602</v>
      </c>
      <c r="T153" s="280" t="s">
        <v>132</v>
      </c>
      <c r="U153" s="280" t="s">
        <v>4580</v>
      </c>
    </row>
    <row r="154" spans="2:21" ht="43.15">
      <c r="B154" s="428" t="s">
        <v>104</v>
      </c>
      <c r="C154" s="428">
        <v>30</v>
      </c>
      <c r="D154" s="428">
        <v>22</v>
      </c>
      <c r="E154" s="428">
        <v>17</v>
      </c>
      <c r="F154" s="428">
        <v>2</v>
      </c>
      <c r="G154" s="428">
        <v>1</v>
      </c>
      <c r="H154" s="428">
        <v>2</v>
      </c>
      <c r="I154" s="428"/>
      <c r="J154" s="428"/>
      <c r="K154" s="428"/>
      <c r="L154" s="428" t="s">
        <v>4603</v>
      </c>
      <c r="M154" s="284"/>
      <c r="N154" s="428"/>
      <c r="O154" s="644"/>
      <c r="P154" s="428"/>
      <c r="Q154" s="428"/>
      <c r="R154" s="645"/>
      <c r="S154" s="645"/>
      <c r="T154" s="645"/>
      <c r="U154" s="428">
        <v>2</v>
      </c>
    </row>
    <row r="155" spans="2:21">
      <c r="B155" s="238" t="s">
        <v>259</v>
      </c>
      <c r="C155" s="238">
        <v>40</v>
      </c>
      <c r="D155" s="238">
        <v>24</v>
      </c>
      <c r="E155" s="238">
        <v>20</v>
      </c>
      <c r="F155" s="238">
        <v>11</v>
      </c>
      <c r="G155" s="238">
        <v>4</v>
      </c>
      <c r="H155" s="238"/>
      <c r="I155" s="238"/>
      <c r="J155" s="238"/>
      <c r="K155" s="238"/>
      <c r="L155" s="238" t="s">
        <v>4604</v>
      </c>
      <c r="M155" s="95"/>
      <c r="N155" s="237" t="s">
        <v>4605</v>
      </c>
      <c r="O155" s="7"/>
      <c r="P155" s="409"/>
      <c r="Q155" s="238"/>
      <c r="R155" s="239"/>
      <c r="S155" s="239"/>
      <c r="T155" s="239" t="s">
        <v>4595</v>
      </c>
      <c r="U155" s="238"/>
    </row>
    <row r="156" spans="2:21" ht="57.6">
      <c r="B156" s="238" t="s">
        <v>510</v>
      </c>
      <c r="C156" s="238">
        <v>30</v>
      </c>
      <c r="D156" s="238">
        <v>22</v>
      </c>
      <c r="E156" s="238">
        <v>0</v>
      </c>
      <c r="F156" s="238">
        <v>22</v>
      </c>
      <c r="G156" s="238">
        <v>0</v>
      </c>
      <c r="H156" s="238">
        <v>22</v>
      </c>
      <c r="I156" s="238"/>
      <c r="J156" s="238"/>
      <c r="K156" s="238"/>
      <c r="L156" s="145"/>
      <c r="M156" s="282"/>
      <c r="N156" s="408"/>
      <c r="O156" s="7"/>
      <c r="P156" s="410"/>
      <c r="Q156" s="238" t="s">
        <v>4606</v>
      </c>
      <c r="R156" s="282"/>
      <c r="S156" s="282"/>
      <c r="T156" s="282"/>
      <c r="U156" s="405"/>
    </row>
    <row r="157" spans="2:21" ht="57.6">
      <c r="B157" s="238" t="s">
        <v>1661</v>
      </c>
      <c r="C157" s="238">
        <v>40</v>
      </c>
      <c r="D157" s="238">
        <v>21</v>
      </c>
      <c r="E157" s="238">
        <v>10</v>
      </c>
      <c r="F157" s="238">
        <v>9</v>
      </c>
      <c r="G157" s="238">
        <v>2</v>
      </c>
      <c r="H157" s="238">
        <v>7</v>
      </c>
      <c r="I157" s="238"/>
      <c r="J157" s="238">
        <v>2</v>
      </c>
      <c r="K157" s="238"/>
      <c r="L157" s="282"/>
      <c r="M157" s="402"/>
      <c r="N157" s="237" t="s">
        <v>4607</v>
      </c>
      <c r="O157" s="7"/>
      <c r="P157" s="409"/>
      <c r="Q157" s="238" t="s">
        <v>4608</v>
      </c>
      <c r="R157" s="239"/>
      <c r="S157" s="647" t="s">
        <v>4609</v>
      </c>
      <c r="T157" s="239" t="s">
        <v>4610</v>
      </c>
      <c r="U157" s="238"/>
    </row>
    <row r="158" spans="2:21" ht="28.9">
      <c r="B158" s="238" t="s">
        <v>4423</v>
      </c>
      <c r="C158" s="238">
        <v>40</v>
      </c>
      <c r="D158" s="238">
        <v>28</v>
      </c>
      <c r="E158" s="238">
        <v>9</v>
      </c>
      <c r="F158" s="238">
        <v>16</v>
      </c>
      <c r="G158" s="238">
        <v>1</v>
      </c>
      <c r="H158" s="238">
        <v>18</v>
      </c>
      <c r="I158" s="238"/>
      <c r="J158" s="238"/>
      <c r="K158" s="238"/>
      <c r="L158" s="282" t="s">
        <v>4611</v>
      </c>
      <c r="M158" s="402"/>
      <c r="N158" s="237" t="s">
        <v>4612</v>
      </c>
      <c r="O158" s="17"/>
      <c r="P158" s="409" t="s">
        <v>4613</v>
      </c>
      <c r="Q158" s="238" t="s">
        <v>4614</v>
      </c>
      <c r="R158" s="239"/>
      <c r="S158" s="239"/>
      <c r="T158" s="239"/>
      <c r="U158" s="238"/>
    </row>
    <row r="159" spans="2:21">
      <c r="B159" s="145"/>
      <c r="C159" s="14">
        <f>SUM(C154:C158)</f>
        <v>180</v>
      </c>
      <c r="D159" s="283">
        <f>SUM(D154:D158)</f>
        <v>117</v>
      </c>
      <c r="E159" s="283">
        <f>SUM(E154:E158)</f>
        <v>56</v>
      </c>
      <c r="F159" s="283">
        <f>SUM(F156:F158)</f>
        <v>47</v>
      </c>
      <c r="G159" s="283">
        <f>SUM(G154:G158)</f>
        <v>8</v>
      </c>
      <c r="H159" s="283">
        <f>SUM(H156:H158)</f>
        <v>47</v>
      </c>
      <c r="I159" s="283"/>
      <c r="J159" s="283">
        <v>2</v>
      </c>
      <c r="K159" s="283"/>
      <c r="L159" s="283"/>
      <c r="M159" s="283"/>
      <c r="N159" s="407"/>
      <c r="O159" s="411"/>
      <c r="P159" s="283"/>
      <c r="Q159" s="283"/>
      <c r="R159" s="283"/>
      <c r="S159" s="283"/>
      <c r="T159" s="283"/>
      <c r="U159" s="283">
        <v>2</v>
      </c>
    </row>
    <row r="163" spans="2:21">
      <c r="B163" s="364">
        <v>46123</v>
      </c>
    </row>
    <row r="164" spans="2:21" ht="30.75">
      <c r="B164" s="280" t="s">
        <v>4426</v>
      </c>
      <c r="C164" s="280" t="s">
        <v>4427</v>
      </c>
      <c r="D164" s="280" t="s">
        <v>4428</v>
      </c>
      <c r="E164" s="280" t="s">
        <v>4429</v>
      </c>
      <c r="F164" s="280" t="s">
        <v>4430</v>
      </c>
      <c r="G164" s="280" t="s">
        <v>4431</v>
      </c>
      <c r="H164" s="280" t="s">
        <v>4432</v>
      </c>
      <c r="I164" s="280" t="s">
        <v>4433</v>
      </c>
      <c r="J164" s="280" t="s">
        <v>4460</v>
      </c>
      <c r="K164" s="280" t="s">
        <v>4461</v>
      </c>
      <c r="L164" s="280" t="s">
        <v>26</v>
      </c>
      <c r="M164" s="280" t="s">
        <v>4434</v>
      </c>
      <c r="N164" s="280" t="s">
        <v>146</v>
      </c>
      <c r="O164" s="280" t="s">
        <v>4522</v>
      </c>
      <c r="P164" s="280" t="s">
        <v>4601</v>
      </c>
      <c r="Q164" s="280" t="s">
        <v>141</v>
      </c>
      <c r="R164" s="280" t="s">
        <v>62</v>
      </c>
      <c r="S164" s="280" t="s">
        <v>4602</v>
      </c>
      <c r="T164" s="280" t="s">
        <v>132</v>
      </c>
      <c r="U164" s="280" t="s">
        <v>4580</v>
      </c>
    </row>
    <row r="165" spans="2:21" ht="45.75">
      <c r="B165" s="428" t="s">
        <v>104</v>
      </c>
      <c r="C165" s="428">
        <v>50</v>
      </c>
      <c r="D165" s="428">
        <v>34</v>
      </c>
      <c r="E165" s="428">
        <v>20</v>
      </c>
      <c r="F165" s="428">
        <v>19</v>
      </c>
      <c r="G165" s="428">
        <v>6</v>
      </c>
      <c r="H165" s="428">
        <v>7</v>
      </c>
      <c r="I165" s="428"/>
      <c r="J165" s="428"/>
      <c r="K165" s="428"/>
      <c r="L165" s="428" t="s">
        <v>4615</v>
      </c>
      <c r="M165" s="284"/>
      <c r="N165" s="428" t="s">
        <v>4616</v>
      </c>
      <c r="O165" s="644"/>
      <c r="P165" s="428"/>
      <c r="Q165" s="428" t="s">
        <v>4617</v>
      </c>
      <c r="R165" s="645"/>
      <c r="S165" s="645"/>
      <c r="T165" s="645"/>
      <c r="U165" s="428"/>
    </row>
    <row r="166" spans="2:21" ht="60.75">
      <c r="B166" s="238" t="s">
        <v>259</v>
      </c>
      <c r="C166" s="238">
        <v>40</v>
      </c>
      <c r="D166" s="238">
        <v>40</v>
      </c>
      <c r="E166" s="238">
        <v>16</v>
      </c>
      <c r="F166" s="238">
        <v>8</v>
      </c>
      <c r="G166" s="238">
        <v>16</v>
      </c>
      <c r="H166" s="238">
        <v>3</v>
      </c>
      <c r="I166" s="238"/>
      <c r="J166" s="238"/>
      <c r="K166" s="238"/>
      <c r="L166" s="238" t="s">
        <v>4618</v>
      </c>
      <c r="M166" s="95"/>
      <c r="N166" s="237" t="s">
        <v>4619</v>
      </c>
      <c r="O166" s="238" t="s">
        <v>4620</v>
      </c>
      <c r="P166" s="409"/>
      <c r="Q166" s="238"/>
      <c r="R166" s="239"/>
      <c r="S166" s="239"/>
      <c r="T166" s="239"/>
      <c r="U166" s="238"/>
    </row>
    <row r="167" spans="2:21" ht="30.75">
      <c r="B167" s="238" t="s">
        <v>510</v>
      </c>
      <c r="C167" s="238">
        <v>35</v>
      </c>
      <c r="D167" s="238">
        <v>30</v>
      </c>
      <c r="E167" s="238">
        <v>0</v>
      </c>
      <c r="F167" s="238">
        <v>30</v>
      </c>
      <c r="G167" s="238">
        <v>0</v>
      </c>
      <c r="H167" s="238">
        <v>30</v>
      </c>
      <c r="I167" s="238"/>
      <c r="J167" s="238"/>
      <c r="K167" s="238"/>
      <c r="L167" s="145"/>
      <c r="M167" s="282"/>
      <c r="N167" s="408"/>
      <c r="O167" s="7"/>
      <c r="P167" s="410"/>
      <c r="Q167" s="238" t="s">
        <v>4621</v>
      </c>
      <c r="R167" s="282"/>
      <c r="S167" s="282"/>
      <c r="T167" s="282"/>
      <c r="U167" s="405"/>
    </row>
    <row r="168" spans="2:21" ht="30.75">
      <c r="B168" s="238" t="s">
        <v>4423</v>
      </c>
      <c r="C168" s="238">
        <v>50</v>
      </c>
      <c r="D168" s="238">
        <v>24</v>
      </c>
      <c r="E168" s="238">
        <v>0</v>
      </c>
      <c r="F168" s="238">
        <v>24</v>
      </c>
      <c r="G168" s="238">
        <v>0</v>
      </c>
      <c r="H168" s="238">
        <v>24</v>
      </c>
      <c r="I168" s="238"/>
      <c r="J168" s="238"/>
      <c r="K168" s="238"/>
      <c r="L168" s="282"/>
      <c r="M168" s="402"/>
      <c r="N168" s="237"/>
      <c r="O168" s="17"/>
      <c r="P168" s="409"/>
      <c r="Q168" s="238" t="s">
        <v>4622</v>
      </c>
      <c r="R168" s="239"/>
      <c r="S168" s="239"/>
      <c r="T168" s="239"/>
      <c r="U168" s="238"/>
    </row>
    <row r="169" spans="2:21" ht="15">
      <c r="B169" s="145"/>
      <c r="C169" s="14">
        <f>SUM(C165:C168)</f>
        <v>175</v>
      </c>
      <c r="D169" s="283">
        <f>SUM(D165:D168)</f>
        <v>128</v>
      </c>
      <c r="E169" s="283">
        <f>SUM(E165:E168)</f>
        <v>36</v>
      </c>
      <c r="F169" s="283">
        <f>SUM(F165:F168)</f>
        <v>81</v>
      </c>
      <c r="G169" s="283">
        <f>SUM(G165:G168)</f>
        <v>22</v>
      </c>
      <c r="H169" s="283">
        <f>SUM(H165:H168)</f>
        <v>64</v>
      </c>
      <c r="I169" s="283"/>
      <c r="J169" s="283"/>
      <c r="K169" s="283"/>
      <c r="L169" s="283">
        <v>26</v>
      </c>
      <c r="M169" s="283"/>
      <c r="N169" s="407">
        <v>45</v>
      </c>
      <c r="O169" s="411">
        <v>3</v>
      </c>
      <c r="P169" s="283"/>
      <c r="Q169" s="283">
        <v>59</v>
      </c>
      <c r="R169" s="283"/>
      <c r="S169" s="283"/>
      <c r="T169" s="283"/>
      <c r="U169" s="283"/>
    </row>
    <row r="170" spans="2:21" ht="15"/>
    <row r="172" spans="2:21">
      <c r="B172" s="364">
        <v>46137</v>
      </c>
    </row>
    <row r="173" spans="2:21" ht="30" customHeight="1">
      <c r="B173" s="280" t="s">
        <v>4426</v>
      </c>
      <c r="C173" s="280" t="s">
        <v>4427</v>
      </c>
      <c r="D173" s="280" t="s">
        <v>4428</v>
      </c>
      <c r="E173" s="280" t="s">
        <v>4429</v>
      </c>
      <c r="F173" s="280" t="s">
        <v>4430</v>
      </c>
      <c r="G173" s="280" t="s">
        <v>4431</v>
      </c>
      <c r="H173" s="280" t="s">
        <v>4432</v>
      </c>
      <c r="I173" s="280" t="s">
        <v>4433</v>
      </c>
      <c r="J173" s="280" t="s">
        <v>4460</v>
      </c>
      <c r="K173" s="280" t="s">
        <v>4461</v>
      </c>
      <c r="L173" s="280" t="s">
        <v>26</v>
      </c>
      <c r="M173" s="280" t="s">
        <v>4434</v>
      </c>
      <c r="N173" s="280" t="s">
        <v>146</v>
      </c>
      <c r="O173" s="280" t="s">
        <v>4522</v>
      </c>
      <c r="P173" s="280" t="s">
        <v>4601</v>
      </c>
      <c r="Q173" s="280" t="s">
        <v>141</v>
      </c>
      <c r="R173" s="280" t="s">
        <v>62</v>
      </c>
      <c r="S173" s="280" t="s">
        <v>4602</v>
      </c>
      <c r="T173" s="280" t="s">
        <v>132</v>
      </c>
      <c r="U173" s="280" t="s">
        <v>4580</v>
      </c>
    </row>
    <row r="174" spans="2:21" ht="15.75">
      <c r="B174" s="428" t="s">
        <v>104</v>
      </c>
      <c r="C174" s="428">
        <v>20</v>
      </c>
      <c r="D174" s="428">
        <v>14</v>
      </c>
      <c r="E174" s="428">
        <v>6</v>
      </c>
      <c r="F174" s="428">
        <v>3</v>
      </c>
      <c r="G174" s="428">
        <v>5</v>
      </c>
      <c r="H174" s="428">
        <v>3</v>
      </c>
      <c r="I174" s="428"/>
      <c r="J174" s="428"/>
      <c r="K174" s="428"/>
      <c r="L174" s="428" t="s">
        <v>4623</v>
      </c>
      <c r="M174" s="284"/>
      <c r="N174" s="428"/>
      <c r="O174" s="644"/>
      <c r="P174" s="428"/>
      <c r="Q174" s="428"/>
      <c r="R174" s="645"/>
      <c r="S174" s="645"/>
      <c r="T174" s="645"/>
      <c r="U174" s="428"/>
    </row>
    <row r="175" spans="2:21" ht="15">
      <c r="B175" s="238" t="s">
        <v>259</v>
      </c>
      <c r="C175" s="238">
        <v>40</v>
      </c>
      <c r="D175" s="238">
        <v>26</v>
      </c>
      <c r="E175" s="238">
        <v>15</v>
      </c>
      <c r="F175" s="238">
        <v>1</v>
      </c>
      <c r="G175" s="238">
        <v>10</v>
      </c>
      <c r="H175" s="238"/>
      <c r="I175" s="238">
        <v>1</v>
      </c>
      <c r="J175" s="238"/>
      <c r="K175" s="238"/>
      <c r="L175" s="238" t="s">
        <v>4624</v>
      </c>
      <c r="M175" s="95"/>
      <c r="N175" s="237"/>
      <c r="O175" s="238"/>
      <c r="P175" s="409"/>
      <c r="Q175" s="238"/>
      <c r="R175" s="239" t="s">
        <v>4625</v>
      </c>
      <c r="S175" s="239"/>
      <c r="T175" s="239"/>
      <c r="U175" s="238"/>
    </row>
    <row r="176" spans="2:21" ht="60.75">
      <c r="B176" s="238" t="s">
        <v>510</v>
      </c>
      <c r="C176" s="238">
        <v>50</v>
      </c>
      <c r="D176" s="238">
        <v>37</v>
      </c>
      <c r="E176" s="238">
        <v>4</v>
      </c>
      <c r="F176" s="238">
        <v>33</v>
      </c>
      <c r="G176" s="238">
        <v>0</v>
      </c>
      <c r="H176" s="238">
        <v>33</v>
      </c>
      <c r="I176" s="238"/>
      <c r="J176" s="238"/>
      <c r="K176" s="238"/>
      <c r="L176" s="145"/>
      <c r="M176" s="282"/>
      <c r="N176" s="408"/>
      <c r="O176" s="7"/>
      <c r="P176" s="410"/>
      <c r="Q176" s="238" t="s">
        <v>4626</v>
      </c>
      <c r="R176" s="282"/>
      <c r="S176" s="282"/>
      <c r="T176" s="282"/>
      <c r="U176" s="405"/>
    </row>
    <row r="177" spans="2:21" ht="60.75">
      <c r="B177" s="238" t="s">
        <v>4423</v>
      </c>
      <c r="C177" s="238">
        <v>50</v>
      </c>
      <c r="D177" s="238">
        <v>72</v>
      </c>
      <c r="E177" s="238">
        <v>3</v>
      </c>
      <c r="F177" s="238">
        <v>67</v>
      </c>
      <c r="G177" s="238">
        <v>2</v>
      </c>
      <c r="H177" s="238">
        <v>64</v>
      </c>
      <c r="I177" s="238"/>
      <c r="J177" s="238"/>
      <c r="K177" s="238"/>
      <c r="L177" s="282" t="s">
        <v>4627</v>
      </c>
      <c r="M177" s="402"/>
      <c r="N177" s="237"/>
      <c r="O177" s="17"/>
      <c r="P177" s="409"/>
      <c r="Q177" s="238" t="s">
        <v>4628</v>
      </c>
      <c r="R177" s="239"/>
      <c r="S177" s="239"/>
      <c r="T177" s="239"/>
      <c r="U177" s="238"/>
    </row>
    <row r="178" spans="2:21" ht="15">
      <c r="B178" s="145"/>
      <c r="C178" s="14">
        <f>SUM(C174:C177)</f>
        <v>160</v>
      </c>
      <c r="D178" s="283">
        <v>149</v>
      </c>
      <c r="E178" s="283">
        <v>28</v>
      </c>
      <c r="F178" s="283">
        <v>104</v>
      </c>
      <c r="G178" s="283">
        <v>17</v>
      </c>
      <c r="H178" s="283">
        <v>100</v>
      </c>
      <c r="I178" s="283">
        <v>1</v>
      </c>
      <c r="J178" s="283"/>
      <c r="K178" s="283"/>
      <c r="L178" s="283">
        <v>34</v>
      </c>
      <c r="M178" s="283"/>
      <c r="N178" s="407"/>
      <c r="O178" s="411"/>
      <c r="P178" s="283"/>
      <c r="Q178" s="283">
        <v>108</v>
      </c>
      <c r="R178" s="283">
        <v>7</v>
      </c>
      <c r="S178" s="283"/>
      <c r="T178" s="283"/>
      <c r="U178" s="283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C02EBE5-8F33-48D0-82C1-23653C059D3F}">
          <x14:formula1>
            <xm:f>Dropdowns!$AB$2:$AB$208</xm:f>
          </x14:formula1>
          <xm:sqref>V3:V9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79C5-06D2-4317-BEF9-A5BB21857FF8}">
  <dimension ref="A1:H24"/>
  <sheetViews>
    <sheetView workbookViewId="0">
      <selection activeCell="B1" sqref="B1"/>
    </sheetView>
  </sheetViews>
  <sheetFormatPr defaultRowHeight="14.45"/>
  <cols>
    <col min="2" max="2" width="13.28515625" bestFit="1" customWidth="1"/>
    <col min="3" max="3" width="8.140625" bestFit="1" customWidth="1"/>
    <col min="4" max="4" width="31.28515625" bestFit="1" customWidth="1"/>
    <col min="5" max="5" width="37.28515625" customWidth="1"/>
    <col min="6" max="6" width="27.140625" customWidth="1"/>
  </cols>
  <sheetData>
    <row r="1" spans="1:8">
      <c r="A1" s="86" t="s">
        <v>4629</v>
      </c>
      <c r="B1" s="86" t="s">
        <v>6</v>
      </c>
      <c r="C1" s="86" t="s">
        <v>7</v>
      </c>
      <c r="D1" s="85" t="s">
        <v>8</v>
      </c>
      <c r="E1" s="85" t="s">
        <v>4630</v>
      </c>
      <c r="F1" s="85" t="s">
        <v>4631</v>
      </c>
      <c r="G1" s="85" t="s">
        <v>207</v>
      </c>
      <c r="H1" s="54"/>
    </row>
    <row r="2" spans="1:8">
      <c r="A2" s="54">
        <v>1</v>
      </c>
      <c r="B2" s="3" t="s">
        <v>38</v>
      </c>
      <c r="C2" s="3" t="s">
        <v>27</v>
      </c>
      <c r="D2" s="54" t="s">
        <v>39</v>
      </c>
      <c r="E2" s="54"/>
      <c r="F2" s="54"/>
      <c r="G2" s="54"/>
      <c r="H2" s="54"/>
    </row>
    <row r="3" spans="1:8">
      <c r="A3" s="54">
        <v>2</v>
      </c>
      <c r="B3" s="3" t="s">
        <v>38</v>
      </c>
      <c r="C3" s="3" t="s">
        <v>27</v>
      </c>
      <c r="D3" s="54" t="s">
        <v>41</v>
      </c>
      <c r="E3" s="54"/>
      <c r="F3" s="54"/>
      <c r="G3" s="54"/>
      <c r="H3" s="54"/>
    </row>
    <row r="4" spans="1:8">
      <c r="A4" s="54">
        <v>3</v>
      </c>
      <c r="B4" s="3" t="s">
        <v>38</v>
      </c>
      <c r="C4" s="3" t="s">
        <v>27</v>
      </c>
      <c r="D4" s="54" t="s">
        <v>43</v>
      </c>
      <c r="E4" s="54"/>
      <c r="F4" s="54"/>
      <c r="G4" s="54"/>
      <c r="H4" s="54"/>
    </row>
    <row r="5" spans="1:8">
      <c r="A5" s="54">
        <v>4</v>
      </c>
      <c r="B5" s="3" t="s">
        <v>45</v>
      </c>
      <c r="C5" s="3" t="s">
        <v>27</v>
      </c>
      <c r="D5" s="54" t="s">
        <v>32</v>
      </c>
      <c r="E5" s="54"/>
      <c r="F5" s="54"/>
      <c r="G5" s="54"/>
      <c r="H5" s="54"/>
    </row>
    <row r="6" spans="1:8">
      <c r="A6" s="54">
        <v>5</v>
      </c>
      <c r="B6" s="3" t="s">
        <v>45</v>
      </c>
      <c r="C6" s="3" t="s">
        <v>27</v>
      </c>
      <c r="D6" s="54" t="s">
        <v>48</v>
      </c>
      <c r="E6" s="54" t="s">
        <v>4632</v>
      </c>
      <c r="F6" s="54" t="s">
        <v>4633</v>
      </c>
      <c r="G6" s="54"/>
      <c r="H6" s="54"/>
    </row>
    <row r="7" spans="1:8">
      <c r="A7" s="54">
        <v>6</v>
      </c>
      <c r="B7" s="3" t="s">
        <v>45</v>
      </c>
      <c r="C7" s="3" t="s">
        <v>27</v>
      </c>
      <c r="D7" s="54" t="s">
        <v>50</v>
      </c>
      <c r="E7" s="54" t="s">
        <v>4632</v>
      </c>
      <c r="F7" s="54" t="s">
        <v>4633</v>
      </c>
      <c r="G7" s="54"/>
      <c r="H7" s="54"/>
    </row>
    <row r="8" spans="1:8">
      <c r="A8" s="54">
        <v>7</v>
      </c>
      <c r="B8" s="3" t="s">
        <v>45</v>
      </c>
      <c r="C8" s="3" t="s">
        <v>27</v>
      </c>
      <c r="D8" s="54" t="s">
        <v>106</v>
      </c>
      <c r="E8" s="54"/>
      <c r="F8" s="54"/>
      <c r="G8" s="54"/>
      <c r="H8" s="54"/>
    </row>
    <row r="9" spans="1:8">
      <c r="A9" s="54">
        <v>8</v>
      </c>
      <c r="B9" s="3" t="s">
        <v>45</v>
      </c>
      <c r="C9" s="3" t="s">
        <v>27</v>
      </c>
      <c r="D9" s="54" t="s">
        <v>119</v>
      </c>
      <c r="E9" s="54" t="s">
        <v>4634</v>
      </c>
      <c r="F9" s="54" t="s">
        <v>4635</v>
      </c>
      <c r="G9" s="54"/>
      <c r="H9" s="54"/>
    </row>
    <row r="10" spans="1:8">
      <c r="A10" s="54">
        <v>9</v>
      </c>
      <c r="B10" s="3" t="s">
        <v>56</v>
      </c>
      <c r="C10" s="3" t="s">
        <v>57</v>
      </c>
      <c r="D10" s="54" t="s">
        <v>58</v>
      </c>
      <c r="E10" s="54" t="s">
        <v>4636</v>
      </c>
      <c r="F10" s="54" t="s">
        <v>4637</v>
      </c>
      <c r="G10" s="54"/>
      <c r="H10" s="54"/>
    </row>
    <row r="11" spans="1:8">
      <c r="A11" s="54">
        <v>10</v>
      </c>
      <c r="B11" s="3" t="s">
        <v>56</v>
      </c>
      <c r="C11" s="3" t="s">
        <v>57</v>
      </c>
      <c r="D11" s="54" t="s">
        <v>60</v>
      </c>
      <c r="E11" s="54"/>
      <c r="F11" s="54"/>
      <c r="G11" s="54"/>
      <c r="H11" s="54"/>
    </row>
    <row r="12" spans="1:8">
      <c r="A12" s="54">
        <v>11</v>
      </c>
      <c r="B12" s="3" t="s">
        <v>62</v>
      </c>
      <c r="C12" s="3" t="s">
        <v>57</v>
      </c>
      <c r="D12" s="54" t="s">
        <v>63</v>
      </c>
      <c r="E12" s="54" t="s">
        <v>4638</v>
      </c>
      <c r="F12" s="54"/>
      <c r="G12" s="54"/>
      <c r="H12" s="54"/>
    </row>
    <row r="13" spans="1:8">
      <c r="A13" s="54">
        <v>12</v>
      </c>
      <c r="B13" s="3" t="s">
        <v>62</v>
      </c>
      <c r="C13" s="3" t="s">
        <v>57</v>
      </c>
      <c r="D13" s="54" t="s">
        <v>65</v>
      </c>
      <c r="E13" s="54" t="s">
        <v>4638</v>
      </c>
      <c r="F13" s="54"/>
      <c r="G13" s="54"/>
      <c r="H13" s="54"/>
    </row>
    <row r="14" spans="1:8">
      <c r="A14" s="54">
        <v>13</v>
      </c>
      <c r="B14" s="3" t="s">
        <v>62</v>
      </c>
      <c r="C14" s="3" t="s">
        <v>57</v>
      </c>
      <c r="D14" s="54" t="s">
        <v>67</v>
      </c>
      <c r="E14" s="54" t="s">
        <v>4638</v>
      </c>
      <c r="F14" s="54"/>
      <c r="G14" s="54"/>
      <c r="H14" s="54"/>
    </row>
    <row r="15" spans="1:8">
      <c r="A15" s="54">
        <v>14</v>
      </c>
      <c r="B15" s="3" t="s">
        <v>62</v>
      </c>
      <c r="C15" s="3" t="s">
        <v>57</v>
      </c>
      <c r="D15" s="54" t="s">
        <v>69</v>
      </c>
      <c r="E15" s="54" t="s">
        <v>4638</v>
      </c>
      <c r="F15" s="54"/>
      <c r="G15" s="54"/>
      <c r="H15" s="54"/>
    </row>
    <row r="16" spans="1:8">
      <c r="A16" s="54">
        <v>15</v>
      </c>
      <c r="B16" s="3" t="s">
        <v>62</v>
      </c>
      <c r="C16" s="3" t="s">
        <v>57</v>
      </c>
      <c r="D16" s="54" t="s">
        <v>71</v>
      </c>
      <c r="E16" s="54" t="s">
        <v>4638</v>
      </c>
      <c r="F16" s="54"/>
      <c r="G16" s="54"/>
      <c r="H16" s="54"/>
    </row>
    <row r="17" spans="1:8">
      <c r="A17" s="54">
        <v>16</v>
      </c>
      <c r="B17" s="3" t="s">
        <v>73</v>
      </c>
      <c r="C17" s="3" t="s">
        <v>57</v>
      </c>
      <c r="D17" s="54" t="s">
        <v>76</v>
      </c>
      <c r="E17" s="54"/>
      <c r="F17" s="54"/>
      <c r="G17" s="54"/>
      <c r="H17" s="54"/>
    </row>
    <row r="18" spans="1:8">
      <c r="A18" s="54">
        <v>17</v>
      </c>
      <c r="B18" s="3" t="s">
        <v>73</v>
      </c>
      <c r="C18" s="3" t="s">
        <v>57</v>
      </c>
      <c r="D18" s="54" t="s">
        <v>78</v>
      </c>
      <c r="E18" s="54"/>
      <c r="F18" s="54"/>
      <c r="G18" s="54"/>
      <c r="H18" s="54"/>
    </row>
    <row r="19" spans="1:8">
      <c r="A19" s="54">
        <v>18</v>
      </c>
      <c r="B19" s="3" t="s">
        <v>73</v>
      </c>
      <c r="C19" s="3" t="s">
        <v>27</v>
      </c>
      <c r="D19" s="54" t="s">
        <v>123</v>
      </c>
      <c r="E19" s="54" t="s">
        <v>4639</v>
      </c>
      <c r="F19" s="54" t="s">
        <v>4640</v>
      </c>
      <c r="G19" s="54"/>
      <c r="H19" s="54"/>
    </row>
    <row r="20" spans="1:8">
      <c r="A20" s="54">
        <v>19</v>
      </c>
      <c r="B20" s="3" t="s">
        <v>73</v>
      </c>
      <c r="C20" s="3" t="s">
        <v>27</v>
      </c>
      <c r="D20" s="54" t="s">
        <v>125</v>
      </c>
      <c r="E20" s="54" t="s">
        <v>4641</v>
      </c>
      <c r="F20" s="54" t="s">
        <v>4640</v>
      </c>
      <c r="G20" s="54"/>
      <c r="H20" s="54"/>
    </row>
    <row r="21" spans="1:8">
      <c r="A21" s="54">
        <v>20</v>
      </c>
      <c r="B21" s="3" t="s">
        <v>26</v>
      </c>
      <c r="C21" s="3" t="s">
        <v>27</v>
      </c>
      <c r="D21" s="54" t="s">
        <v>121</v>
      </c>
      <c r="E21" s="54" t="s">
        <v>4642</v>
      </c>
      <c r="F21" s="54" t="s">
        <v>4643</v>
      </c>
      <c r="G21" s="54" t="s">
        <v>4644</v>
      </c>
      <c r="H21" s="54"/>
    </row>
    <row r="22" spans="1:8">
      <c r="A22" s="54">
        <v>21</v>
      </c>
      <c r="B22" s="54" t="s">
        <v>4645</v>
      </c>
      <c r="C22" s="3" t="s">
        <v>27</v>
      </c>
      <c r="D22" s="54" t="s">
        <v>4095</v>
      </c>
      <c r="E22" s="54" t="s">
        <v>4646</v>
      </c>
      <c r="F22" s="54" t="s">
        <v>351</v>
      </c>
      <c r="G22" s="54" t="s">
        <v>4647</v>
      </c>
      <c r="H22" s="54" t="s">
        <v>757</v>
      </c>
    </row>
    <row r="23" spans="1:8">
      <c r="A23" s="54">
        <v>22</v>
      </c>
      <c r="B23" s="54" t="s">
        <v>4648</v>
      </c>
      <c r="C23" s="3" t="s">
        <v>27</v>
      </c>
      <c r="D23" s="54"/>
      <c r="E23" s="54" t="s">
        <v>4649</v>
      </c>
      <c r="F23" s="54"/>
      <c r="G23" s="54"/>
      <c r="H23" s="54"/>
    </row>
    <row r="24" spans="1:8">
      <c r="A24" s="54">
        <v>23</v>
      </c>
      <c r="B24" s="54" t="s">
        <v>4650</v>
      </c>
      <c r="C24" s="3" t="s">
        <v>27</v>
      </c>
      <c r="D24" s="54"/>
      <c r="E24" s="54"/>
      <c r="F24" s="54"/>
      <c r="G24" s="54"/>
      <c r="H24" s="54"/>
    </row>
  </sheetData>
  <autoFilter ref="B1:D22" xr:uid="{9E8079C5-06D2-4317-BEF9-A5BB21857FF8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ED46D79-A234-4021-8A13-39FC6F8AAEB9}">
          <x14:formula1>
            <xm:f>Dropdowns!$AB$2:$AB$208</xm:f>
          </x14:formula1>
          <xm:sqref>D2:D21</xm:sqref>
        </x14:dataValidation>
        <x14:dataValidation type="list" allowBlank="1" showInputMessage="1" showErrorMessage="1" xr:uid="{883A0FE0-F723-4B47-96A1-BB923B77578D}">
          <x14:formula1>
            <xm:f>Dropdowns!$V$2:$V$79</xm:f>
          </x14:formula1>
          <xm:sqref>C2:C24</xm:sqref>
        </x14:dataValidation>
        <x14:dataValidation type="list" allowBlank="1" showInputMessage="1" showErrorMessage="1" xr:uid="{43453CA3-4C0A-430D-82BA-DF2F8C4D4C19}">
          <x14:formula1>
            <xm:f>Dropdowns!$T$2:$T$64</xm:f>
          </x14:formula1>
          <xm:sqref>B2:B21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0C0CE-1155-4CCC-A285-06553301D50B}">
  <dimension ref="A1:AD75"/>
  <sheetViews>
    <sheetView topLeftCell="L69" workbookViewId="0">
      <selection activeCell="AB78" sqref="AB78"/>
    </sheetView>
  </sheetViews>
  <sheetFormatPr defaultColWidth="8.85546875" defaultRowHeight="14.45"/>
  <cols>
    <col min="1" max="1" width="11.140625" bestFit="1" customWidth="1"/>
    <col min="3" max="3" width="20.42578125" bestFit="1" customWidth="1"/>
    <col min="5" max="5" width="18.28515625" bestFit="1" customWidth="1"/>
    <col min="7" max="7" width="19.42578125" bestFit="1" customWidth="1"/>
    <col min="9" max="9" width="17.5703125" bestFit="1" customWidth="1"/>
    <col min="11" max="11" width="22" bestFit="1" customWidth="1"/>
    <col min="13" max="13" width="24.28515625" bestFit="1" customWidth="1"/>
    <col min="16" max="16" width="12.42578125" bestFit="1" customWidth="1"/>
    <col min="18" max="18" width="11.7109375" bestFit="1" customWidth="1"/>
    <col min="20" max="20" width="21.42578125" bestFit="1" customWidth="1"/>
    <col min="26" max="26" width="21.7109375" bestFit="1" customWidth="1"/>
    <col min="28" max="28" width="31.42578125" bestFit="1" customWidth="1"/>
    <col min="29" max="29" width="8.140625" customWidth="1"/>
    <col min="30" max="30" width="12.42578125" bestFit="1" customWidth="1"/>
  </cols>
  <sheetData>
    <row r="1" spans="1:30">
      <c r="A1" t="s">
        <v>4651</v>
      </c>
      <c r="C1" t="s">
        <v>230</v>
      </c>
      <c r="E1" t="s">
        <v>232</v>
      </c>
      <c r="G1" t="s">
        <v>19</v>
      </c>
      <c r="I1" t="s">
        <v>4652</v>
      </c>
      <c r="K1" t="s">
        <v>234</v>
      </c>
      <c r="M1" t="s">
        <v>4653</v>
      </c>
      <c r="P1" t="s">
        <v>4654</v>
      </c>
      <c r="R1" t="s">
        <v>5</v>
      </c>
      <c r="T1" t="s">
        <v>6</v>
      </c>
      <c r="V1" t="s">
        <v>7</v>
      </c>
      <c r="X1" t="s">
        <v>9</v>
      </c>
      <c r="Z1" t="s">
        <v>11</v>
      </c>
      <c r="AB1" t="s">
        <v>8</v>
      </c>
      <c r="AD1" t="s">
        <v>1</v>
      </c>
    </row>
    <row r="2" spans="1:30">
      <c r="A2" t="s">
        <v>784</v>
      </c>
      <c r="C2" t="s">
        <v>2761</v>
      </c>
      <c r="E2" t="s">
        <v>2762</v>
      </c>
      <c r="G2" t="s">
        <v>103</v>
      </c>
      <c r="I2" t="s">
        <v>4418</v>
      </c>
      <c r="K2" t="s">
        <v>3127</v>
      </c>
      <c r="M2" t="s">
        <v>470</v>
      </c>
      <c r="P2" t="s">
        <v>25</v>
      </c>
      <c r="T2" t="s">
        <v>73</v>
      </c>
      <c r="V2" t="s">
        <v>27</v>
      </c>
      <c r="X2" t="s">
        <v>29</v>
      </c>
      <c r="Z2" t="s">
        <v>30</v>
      </c>
      <c r="AB2" t="s">
        <v>46</v>
      </c>
      <c r="AD2" t="s">
        <v>23</v>
      </c>
    </row>
    <row r="3" spans="1:30">
      <c r="A3" t="s">
        <v>362</v>
      </c>
      <c r="C3" t="s">
        <v>3129</v>
      </c>
      <c r="E3" t="s">
        <v>3228</v>
      </c>
      <c r="G3" t="s">
        <v>271</v>
      </c>
      <c r="I3" t="s">
        <v>104</v>
      </c>
      <c r="K3" t="s">
        <v>802</v>
      </c>
      <c r="M3" t="s">
        <v>542</v>
      </c>
      <c r="T3" t="s">
        <v>45</v>
      </c>
      <c r="V3" t="s">
        <v>27</v>
      </c>
      <c r="X3" t="s">
        <v>86</v>
      </c>
      <c r="Z3" t="s">
        <v>4655</v>
      </c>
      <c r="AB3" t="s">
        <v>39</v>
      </c>
      <c r="AD3" t="s">
        <v>89</v>
      </c>
    </row>
    <row r="4" spans="1:30">
      <c r="A4" t="s">
        <v>54</v>
      </c>
      <c r="C4" t="s">
        <v>4656</v>
      </c>
      <c r="G4" t="s">
        <v>1012</v>
      </c>
      <c r="I4" t="s">
        <v>259</v>
      </c>
      <c r="K4" t="s">
        <v>3483</v>
      </c>
      <c r="M4" t="s">
        <v>270</v>
      </c>
      <c r="T4" t="s">
        <v>26</v>
      </c>
      <c r="V4" t="s">
        <v>27</v>
      </c>
      <c r="X4" t="s">
        <v>53</v>
      </c>
      <c r="Z4" t="s">
        <v>4657</v>
      </c>
      <c r="AB4" t="s">
        <v>41</v>
      </c>
    </row>
    <row r="5" spans="1:30">
      <c r="A5" t="s">
        <v>802</v>
      </c>
      <c r="C5" t="s">
        <v>3482</v>
      </c>
      <c r="G5" t="s">
        <v>3245</v>
      </c>
      <c r="I5" t="s">
        <v>510</v>
      </c>
      <c r="M5" t="s">
        <v>375</v>
      </c>
      <c r="T5" t="s">
        <v>38</v>
      </c>
      <c r="V5" t="s">
        <v>27</v>
      </c>
      <c r="Z5" t="s">
        <v>100</v>
      </c>
      <c r="AB5" t="s">
        <v>43</v>
      </c>
    </row>
    <row r="6" spans="1:30">
      <c r="I6" t="s">
        <v>1661</v>
      </c>
      <c r="M6" t="s">
        <v>1380</v>
      </c>
      <c r="T6" t="s">
        <v>80</v>
      </c>
      <c r="V6" t="s">
        <v>27</v>
      </c>
      <c r="Z6" t="s">
        <v>54</v>
      </c>
      <c r="AB6" t="s">
        <v>65</v>
      </c>
    </row>
    <row r="7" spans="1:30">
      <c r="I7" t="s">
        <v>4423</v>
      </c>
      <c r="M7" t="s">
        <v>360</v>
      </c>
      <c r="T7" t="s">
        <v>56</v>
      </c>
      <c r="V7" t="s">
        <v>57</v>
      </c>
      <c r="AB7" t="s">
        <v>67</v>
      </c>
    </row>
    <row r="8" spans="1:30">
      <c r="I8" t="s">
        <v>4425</v>
      </c>
      <c r="M8" t="s">
        <v>1511</v>
      </c>
      <c r="T8" t="s">
        <v>62</v>
      </c>
      <c r="V8" t="s">
        <v>57</v>
      </c>
      <c r="AB8" t="s">
        <v>71</v>
      </c>
    </row>
    <row r="9" spans="1:30">
      <c r="M9" t="s">
        <v>1993</v>
      </c>
      <c r="T9" t="s">
        <v>84</v>
      </c>
      <c r="V9" t="s">
        <v>57</v>
      </c>
      <c r="AB9" t="s">
        <v>69</v>
      </c>
    </row>
    <row r="10" spans="1:30">
      <c r="M10" t="s">
        <v>1021</v>
      </c>
      <c r="T10" t="s">
        <v>96</v>
      </c>
      <c r="V10" t="s">
        <v>27</v>
      </c>
      <c r="AB10" t="s">
        <v>63</v>
      </c>
    </row>
    <row r="11" spans="1:30">
      <c r="M11" t="s">
        <v>4658</v>
      </c>
      <c r="T11" t="s">
        <v>108</v>
      </c>
      <c r="V11" t="s">
        <v>27</v>
      </c>
      <c r="AB11" t="s">
        <v>3981</v>
      </c>
    </row>
    <row r="12" spans="1:30">
      <c r="M12" t="s">
        <v>4659</v>
      </c>
      <c r="T12" t="s">
        <v>113</v>
      </c>
      <c r="V12" t="s">
        <v>27</v>
      </c>
      <c r="AB12" t="s">
        <v>32</v>
      </c>
    </row>
    <row r="13" spans="1:30">
      <c r="M13" t="s">
        <v>783</v>
      </c>
      <c r="T13" t="s">
        <v>116</v>
      </c>
      <c r="V13" t="s">
        <v>27</v>
      </c>
      <c r="AB13" t="s">
        <v>28</v>
      </c>
    </row>
    <row r="14" spans="1:30">
      <c r="M14" t="s">
        <v>1536</v>
      </c>
      <c r="T14" t="s">
        <v>132</v>
      </c>
      <c r="V14" t="s">
        <v>27</v>
      </c>
      <c r="AB14" t="s">
        <v>4660</v>
      </c>
    </row>
    <row r="15" spans="1:30">
      <c r="M15" t="s">
        <v>949</v>
      </c>
      <c r="T15" t="s">
        <v>135</v>
      </c>
      <c r="V15" t="s">
        <v>57</v>
      </c>
      <c r="AB15" t="s">
        <v>99</v>
      </c>
    </row>
    <row r="16" spans="1:30">
      <c r="M16" t="s">
        <v>3129</v>
      </c>
      <c r="T16" t="s">
        <v>138</v>
      </c>
      <c r="V16" t="s">
        <v>27</v>
      </c>
      <c r="AB16" t="s">
        <v>74</v>
      </c>
    </row>
    <row r="17" spans="13:28">
      <c r="M17" t="s">
        <v>2760</v>
      </c>
      <c r="T17" t="s">
        <v>146</v>
      </c>
      <c r="V17" t="s">
        <v>27</v>
      </c>
      <c r="AB17" t="s">
        <v>76</v>
      </c>
    </row>
    <row r="18" spans="13:28">
      <c r="M18" t="s">
        <v>3228</v>
      </c>
      <c r="T18" t="s">
        <v>141</v>
      </c>
      <c r="V18" t="s">
        <v>27</v>
      </c>
      <c r="AB18" t="s">
        <v>4661</v>
      </c>
    </row>
    <row r="19" spans="13:28">
      <c r="M19" t="s">
        <v>3127</v>
      </c>
      <c r="AB19" t="s">
        <v>4662</v>
      </c>
    </row>
    <row r="20" spans="13:28">
      <c r="M20" t="s">
        <v>802</v>
      </c>
      <c r="AB20" t="s">
        <v>48</v>
      </c>
    </row>
    <row r="21" spans="13:28">
      <c r="M21" t="s">
        <v>518</v>
      </c>
      <c r="AB21" t="s">
        <v>50</v>
      </c>
    </row>
    <row r="22" spans="13:28">
      <c r="M22" t="s">
        <v>612</v>
      </c>
      <c r="AB22" t="s">
        <v>52</v>
      </c>
    </row>
    <row r="23" spans="13:28">
      <c r="M23" t="s">
        <v>601</v>
      </c>
      <c r="AB23" t="s">
        <v>34</v>
      </c>
    </row>
    <row r="24" spans="13:28">
      <c r="M24" t="s">
        <v>3971</v>
      </c>
      <c r="AB24" t="s">
        <v>36</v>
      </c>
    </row>
    <row r="25" spans="13:28">
      <c r="M25" t="s">
        <v>1185</v>
      </c>
      <c r="AB25" t="s">
        <v>58</v>
      </c>
    </row>
    <row r="26" spans="13:28">
      <c r="AB26" t="s">
        <v>60</v>
      </c>
    </row>
    <row r="27" spans="13:28">
      <c r="AB27" t="s">
        <v>81</v>
      </c>
    </row>
    <row r="28" spans="13:28">
      <c r="AB28" t="s">
        <v>78</v>
      </c>
    </row>
    <row r="29" spans="13:28">
      <c r="AB29" t="s">
        <v>78</v>
      </c>
    </row>
    <row r="30" spans="13:28">
      <c r="AB30" t="s">
        <v>85</v>
      </c>
    </row>
    <row r="31" spans="13:28">
      <c r="AB31" t="s">
        <v>88</v>
      </c>
    </row>
    <row r="32" spans="13:28">
      <c r="AB32" t="s">
        <v>91</v>
      </c>
    </row>
    <row r="33" spans="28:28">
      <c r="AB33" t="s">
        <v>97</v>
      </c>
    </row>
    <row r="34" spans="28:28">
      <c r="AB34" t="s">
        <v>94</v>
      </c>
    </row>
    <row r="35" spans="28:28">
      <c r="AB35" t="s">
        <v>106</v>
      </c>
    </row>
    <row r="36" spans="28:28">
      <c r="AB36" t="s">
        <v>109</v>
      </c>
    </row>
    <row r="37" spans="28:28">
      <c r="AB37" t="s">
        <v>114</v>
      </c>
    </row>
    <row r="38" spans="28:28">
      <c r="AB38" t="s">
        <v>111</v>
      </c>
    </row>
    <row r="39" spans="28:28">
      <c r="AB39" t="s">
        <v>117</v>
      </c>
    </row>
    <row r="40" spans="28:28">
      <c r="AB40" t="s">
        <v>119</v>
      </c>
    </row>
    <row r="41" spans="28:28">
      <c r="AB41" t="s">
        <v>121</v>
      </c>
    </row>
    <row r="42" spans="28:28">
      <c r="AB42" t="s">
        <v>123</v>
      </c>
    </row>
    <row r="43" spans="28:28">
      <c r="AB43" t="s">
        <v>125</v>
      </c>
    </row>
    <row r="44" spans="28:28">
      <c r="AB44" t="s">
        <v>128</v>
      </c>
    </row>
    <row r="45" spans="28:28">
      <c r="AB45" t="s">
        <v>130</v>
      </c>
    </row>
    <row r="46" spans="28:28">
      <c r="AB46" t="s">
        <v>133</v>
      </c>
    </row>
    <row r="47" spans="28:28">
      <c r="AB47" t="s">
        <v>136</v>
      </c>
    </row>
    <row r="48" spans="28:28">
      <c r="AB48" t="s">
        <v>139</v>
      </c>
    </row>
    <row r="49" spans="28:28">
      <c r="AB49" t="s">
        <v>142</v>
      </c>
    </row>
    <row r="50" spans="28:28">
      <c r="AB50" t="s">
        <v>144</v>
      </c>
    </row>
    <row r="51" spans="28:28">
      <c r="AB51" t="s">
        <v>157</v>
      </c>
    </row>
    <row r="52" spans="28:28">
      <c r="AB52" t="s">
        <v>147</v>
      </c>
    </row>
    <row r="53" spans="28:28">
      <c r="AB53" t="s">
        <v>149</v>
      </c>
    </row>
    <row r="54" spans="28:28">
      <c r="AB54" t="s">
        <v>193</v>
      </c>
    </row>
    <row r="55" spans="28:28">
      <c r="AB55" t="s">
        <v>151</v>
      </c>
    </row>
    <row r="56" spans="28:28">
      <c r="AB56" t="s">
        <v>153</v>
      </c>
    </row>
    <row r="57" spans="28:28">
      <c r="AB57" t="s">
        <v>155</v>
      </c>
    </row>
    <row r="58" spans="28:28">
      <c r="AB58" t="s">
        <v>159</v>
      </c>
    </row>
    <row r="59" spans="28:28">
      <c r="AB59" t="s">
        <v>161</v>
      </c>
    </row>
    <row r="60" spans="28:28">
      <c r="AB60" t="s">
        <v>163</v>
      </c>
    </row>
    <row r="61" spans="28:28">
      <c r="AB61" t="s">
        <v>165</v>
      </c>
    </row>
    <row r="62" spans="28:28">
      <c r="AB62" t="s">
        <v>167</v>
      </c>
    </row>
    <row r="63" spans="28:28">
      <c r="AB63" t="s">
        <v>169</v>
      </c>
    </row>
    <row r="64" spans="28:28">
      <c r="AB64" t="s">
        <v>173</v>
      </c>
    </row>
    <row r="65" spans="28:28">
      <c r="AB65" t="s">
        <v>171</v>
      </c>
    </row>
    <row r="66" spans="28:28">
      <c r="AB66" t="s">
        <v>175</v>
      </c>
    </row>
    <row r="67" spans="28:28">
      <c r="AB67" t="s">
        <v>177</v>
      </c>
    </row>
    <row r="68" spans="28:28">
      <c r="AB68" t="s">
        <v>179</v>
      </c>
    </row>
    <row r="69" spans="28:28">
      <c r="AB69" t="s">
        <v>181</v>
      </c>
    </row>
    <row r="70" spans="28:28">
      <c r="AB70" t="s">
        <v>183</v>
      </c>
    </row>
    <row r="71" spans="28:28">
      <c r="AB71" t="s">
        <v>185</v>
      </c>
    </row>
    <row r="72" spans="28:28">
      <c r="AB72" t="s">
        <v>187</v>
      </c>
    </row>
    <row r="73" spans="28:28">
      <c r="AB73" t="s">
        <v>189</v>
      </c>
    </row>
    <row r="74" spans="28:28">
      <c r="AB74" t="s">
        <v>191</v>
      </c>
    </row>
    <row r="75" spans="28:28">
      <c r="AB75" t="s">
        <v>195</v>
      </c>
    </row>
  </sheetData>
  <sheetProtection algorithmName="SHA-512" hashValue="0veYRav2mmlMNXudUcOSe4nmaGBBpzsbN8hgLTKOeWD8Y0tJhVygDKcf5Ujko0OVVb+cqHv44LwmWLSVWahxQQ==" saltValue="Pd1tneLaz/W42uehdyzayQ==" spinCount="100000"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2C67F-EF2E-A74C-955A-303676E7E0A3}">
  <dimension ref="A2:C181"/>
  <sheetViews>
    <sheetView topLeftCell="A92" workbookViewId="0"/>
  </sheetViews>
  <sheetFormatPr defaultColWidth="11.42578125" defaultRowHeight="14.45"/>
  <cols>
    <col min="1" max="1" width="14.7109375" bestFit="1" customWidth="1"/>
    <col min="2" max="2" width="29.85546875" bestFit="1" customWidth="1"/>
    <col min="3" max="3" width="14.5703125" bestFit="1" customWidth="1"/>
  </cols>
  <sheetData>
    <row r="2" spans="1:3">
      <c r="A2" s="72" t="s">
        <v>6</v>
      </c>
      <c r="B2" s="72" t="s">
        <v>204</v>
      </c>
      <c r="C2" t="s">
        <v>4663</v>
      </c>
    </row>
    <row r="3" spans="1:3">
      <c r="A3" t="s">
        <v>4664</v>
      </c>
      <c r="B3" t="s">
        <v>4665</v>
      </c>
      <c r="C3">
        <v>24</v>
      </c>
    </row>
    <row r="4" spans="1:3">
      <c r="A4" t="s">
        <v>4666</v>
      </c>
      <c r="C4">
        <v>24</v>
      </c>
    </row>
    <row r="5" spans="1:3">
      <c r="A5" t="s">
        <v>62</v>
      </c>
      <c r="B5" t="s">
        <v>4665</v>
      </c>
      <c r="C5">
        <v>13</v>
      </c>
    </row>
    <row r="6" spans="1:3">
      <c r="B6" t="s">
        <v>708</v>
      </c>
      <c r="C6">
        <v>5</v>
      </c>
    </row>
    <row r="7" spans="1:3">
      <c r="B7" t="s">
        <v>636</v>
      </c>
      <c r="C7">
        <v>4</v>
      </c>
    </row>
    <row r="8" spans="1:3">
      <c r="B8" t="s">
        <v>499</v>
      </c>
      <c r="C8">
        <v>3</v>
      </c>
    </row>
    <row r="9" spans="1:3">
      <c r="B9" t="s">
        <v>573</v>
      </c>
      <c r="C9">
        <v>3</v>
      </c>
    </row>
    <row r="10" spans="1:3">
      <c r="B10" t="s">
        <v>390</v>
      </c>
      <c r="C10">
        <v>2</v>
      </c>
    </row>
    <row r="11" spans="1:3">
      <c r="B11" t="s">
        <v>642</v>
      </c>
      <c r="C11">
        <v>2</v>
      </c>
    </row>
    <row r="12" spans="1:3">
      <c r="B12" t="s">
        <v>279</v>
      </c>
      <c r="C12">
        <v>2</v>
      </c>
    </row>
    <row r="13" spans="1:3">
      <c r="B13" t="s">
        <v>899</v>
      </c>
      <c r="C13">
        <v>2</v>
      </c>
    </row>
    <row r="14" spans="1:3">
      <c r="B14" t="s">
        <v>1241</v>
      </c>
      <c r="C14">
        <v>2</v>
      </c>
    </row>
    <row r="15" spans="1:3">
      <c r="B15" t="s">
        <v>566</v>
      </c>
      <c r="C15">
        <v>2</v>
      </c>
    </row>
    <row r="16" spans="1:3">
      <c r="B16" t="s">
        <v>414</v>
      </c>
      <c r="C16">
        <v>2</v>
      </c>
    </row>
    <row r="17" spans="2:3">
      <c r="B17" t="s">
        <v>365</v>
      </c>
      <c r="C17">
        <v>2</v>
      </c>
    </row>
    <row r="18" spans="2:3">
      <c r="B18" t="s">
        <v>696</v>
      </c>
      <c r="C18">
        <v>1</v>
      </c>
    </row>
    <row r="19" spans="2:3">
      <c r="B19" t="s">
        <v>819</v>
      </c>
      <c r="C19">
        <v>1</v>
      </c>
    </row>
    <row r="20" spans="2:3">
      <c r="B20" t="s">
        <v>593</v>
      </c>
      <c r="C20">
        <v>1</v>
      </c>
    </row>
    <row r="21" spans="2:3">
      <c r="B21" t="s">
        <v>986</v>
      </c>
      <c r="C21">
        <v>1</v>
      </c>
    </row>
    <row r="22" spans="2:3">
      <c r="B22" t="s">
        <v>1355</v>
      </c>
      <c r="C22">
        <v>1</v>
      </c>
    </row>
    <row r="23" spans="2:3">
      <c r="B23" t="s">
        <v>265</v>
      </c>
      <c r="C23">
        <v>1</v>
      </c>
    </row>
    <row r="24" spans="2:3">
      <c r="B24" t="s">
        <v>379</v>
      </c>
      <c r="C24">
        <v>1</v>
      </c>
    </row>
    <row r="25" spans="2:3">
      <c r="B25" t="s">
        <v>506</v>
      </c>
      <c r="C25">
        <v>1</v>
      </c>
    </row>
    <row r="26" spans="2:3">
      <c r="B26" t="s">
        <v>969</v>
      </c>
      <c r="C26">
        <v>1</v>
      </c>
    </row>
    <row r="27" spans="2:3">
      <c r="B27" t="s">
        <v>1065</v>
      </c>
      <c r="C27">
        <v>1</v>
      </c>
    </row>
    <row r="28" spans="2:3">
      <c r="B28" t="s">
        <v>395</v>
      </c>
      <c r="C28">
        <v>1</v>
      </c>
    </row>
    <row r="29" spans="2:3">
      <c r="B29" t="s">
        <v>442</v>
      </c>
      <c r="C29">
        <v>1</v>
      </c>
    </row>
    <row r="30" spans="2:3">
      <c r="B30" t="s">
        <v>1040</v>
      </c>
      <c r="C30">
        <v>1</v>
      </c>
    </row>
    <row r="31" spans="2:3">
      <c r="B31" t="s">
        <v>1351</v>
      </c>
      <c r="C31">
        <v>1</v>
      </c>
    </row>
    <row r="32" spans="2:3">
      <c r="B32" t="s">
        <v>724</v>
      </c>
      <c r="C32">
        <v>1</v>
      </c>
    </row>
    <row r="33" spans="1:3">
      <c r="B33" t="s">
        <v>598</v>
      </c>
      <c r="C33">
        <v>1</v>
      </c>
    </row>
    <row r="34" spans="1:3">
      <c r="B34" t="s">
        <v>587</v>
      </c>
      <c r="C34">
        <v>1</v>
      </c>
    </row>
    <row r="35" spans="1:3">
      <c r="B35" t="s">
        <v>917</v>
      </c>
      <c r="C35">
        <v>1</v>
      </c>
    </row>
    <row r="36" spans="1:3">
      <c r="B36" t="s">
        <v>533</v>
      </c>
      <c r="C36">
        <v>1</v>
      </c>
    </row>
    <row r="37" spans="1:3">
      <c r="B37" t="s">
        <v>1045</v>
      </c>
      <c r="C37">
        <v>1</v>
      </c>
    </row>
    <row r="38" spans="1:3">
      <c r="B38" t="s">
        <v>755</v>
      </c>
      <c r="C38">
        <v>1</v>
      </c>
    </row>
    <row r="39" spans="1:3">
      <c r="B39" t="s">
        <v>647</v>
      </c>
      <c r="C39">
        <v>1</v>
      </c>
    </row>
    <row r="40" spans="1:3">
      <c r="B40" t="s">
        <v>851</v>
      </c>
      <c r="C40">
        <v>1</v>
      </c>
    </row>
    <row r="41" spans="1:3">
      <c r="B41" t="s">
        <v>978</v>
      </c>
      <c r="C41">
        <v>1</v>
      </c>
    </row>
    <row r="42" spans="1:3">
      <c r="B42" t="s">
        <v>761</v>
      </c>
      <c r="C42">
        <v>1</v>
      </c>
    </row>
    <row r="43" spans="1:3">
      <c r="B43" t="s">
        <v>1371</v>
      </c>
      <c r="C43">
        <v>1</v>
      </c>
    </row>
    <row r="44" spans="1:3">
      <c r="B44" t="s">
        <v>351</v>
      </c>
      <c r="C44">
        <v>1</v>
      </c>
    </row>
    <row r="45" spans="1:3">
      <c r="B45" t="s">
        <v>306</v>
      </c>
      <c r="C45">
        <v>1</v>
      </c>
    </row>
    <row r="46" spans="1:3">
      <c r="A46" t="s">
        <v>4667</v>
      </c>
      <c r="C46">
        <v>72</v>
      </c>
    </row>
    <row r="47" spans="1:3">
      <c r="A47" t="s">
        <v>26</v>
      </c>
      <c r="B47" t="s">
        <v>395</v>
      </c>
      <c r="C47">
        <v>11</v>
      </c>
    </row>
    <row r="48" spans="1:3">
      <c r="B48" t="s">
        <v>379</v>
      </c>
      <c r="C48">
        <v>11</v>
      </c>
    </row>
    <row r="49" spans="2:3">
      <c r="B49" t="s">
        <v>390</v>
      </c>
      <c r="C49">
        <v>7</v>
      </c>
    </row>
    <row r="50" spans="2:3">
      <c r="B50" t="s">
        <v>414</v>
      </c>
      <c r="C50">
        <v>4</v>
      </c>
    </row>
    <row r="51" spans="2:3">
      <c r="B51" t="s">
        <v>788</v>
      </c>
      <c r="C51">
        <v>4</v>
      </c>
    </row>
    <row r="52" spans="2:3">
      <c r="B52" t="s">
        <v>343</v>
      </c>
      <c r="C52">
        <v>3</v>
      </c>
    </row>
    <row r="53" spans="2:3">
      <c r="B53" t="s">
        <v>558</v>
      </c>
      <c r="C53">
        <v>3</v>
      </c>
    </row>
    <row r="54" spans="2:3">
      <c r="B54" t="s">
        <v>405</v>
      </c>
      <c r="C54">
        <v>2</v>
      </c>
    </row>
    <row r="55" spans="2:3">
      <c r="B55" t="s">
        <v>399</v>
      </c>
      <c r="C55">
        <v>2</v>
      </c>
    </row>
    <row r="56" spans="2:3">
      <c r="B56" t="s">
        <v>351</v>
      </c>
      <c r="C56">
        <v>2</v>
      </c>
    </row>
    <row r="57" spans="2:3">
      <c r="B57" t="s">
        <v>947</v>
      </c>
      <c r="C57">
        <v>2</v>
      </c>
    </row>
    <row r="58" spans="2:3">
      <c r="B58" t="s">
        <v>437</v>
      </c>
      <c r="C58">
        <v>2</v>
      </c>
    </row>
    <row r="59" spans="2:3">
      <c r="B59" t="s">
        <v>734</v>
      </c>
      <c r="C59">
        <v>2</v>
      </c>
    </row>
    <row r="60" spans="2:3">
      <c r="B60" t="s">
        <v>371</v>
      </c>
      <c r="C60">
        <v>2</v>
      </c>
    </row>
    <row r="61" spans="2:3">
      <c r="B61" t="s">
        <v>487</v>
      </c>
      <c r="C61">
        <v>2</v>
      </c>
    </row>
    <row r="62" spans="2:3">
      <c r="B62" t="s">
        <v>524</v>
      </c>
      <c r="C62">
        <v>2</v>
      </c>
    </row>
    <row r="63" spans="2:3">
      <c r="B63" t="s">
        <v>1454</v>
      </c>
      <c r="C63">
        <v>2</v>
      </c>
    </row>
    <row r="64" spans="2:3">
      <c r="B64" t="s">
        <v>279</v>
      </c>
      <c r="C64">
        <v>2</v>
      </c>
    </row>
    <row r="65" spans="2:3">
      <c r="B65" t="s">
        <v>923</v>
      </c>
      <c r="C65">
        <v>2</v>
      </c>
    </row>
    <row r="66" spans="2:3">
      <c r="B66" t="s">
        <v>942</v>
      </c>
      <c r="C66">
        <v>2</v>
      </c>
    </row>
    <row r="67" spans="2:3">
      <c r="B67" t="s">
        <v>365</v>
      </c>
      <c r="C67">
        <v>2</v>
      </c>
    </row>
    <row r="68" spans="2:3">
      <c r="B68" t="s">
        <v>1001</v>
      </c>
      <c r="C68">
        <v>2</v>
      </c>
    </row>
    <row r="69" spans="2:3">
      <c r="B69" t="s">
        <v>956</v>
      </c>
      <c r="C69">
        <v>2</v>
      </c>
    </row>
    <row r="70" spans="2:3">
      <c r="B70" t="s">
        <v>819</v>
      </c>
      <c r="C70">
        <v>2</v>
      </c>
    </row>
    <row r="71" spans="2:3">
      <c r="B71" t="s">
        <v>1312</v>
      </c>
      <c r="C71">
        <v>1</v>
      </c>
    </row>
    <row r="72" spans="2:3">
      <c r="B72" t="s">
        <v>937</v>
      </c>
      <c r="C72">
        <v>1</v>
      </c>
    </row>
    <row r="73" spans="2:3">
      <c r="B73" t="s">
        <v>1330</v>
      </c>
      <c r="C73">
        <v>1</v>
      </c>
    </row>
    <row r="74" spans="2:3">
      <c r="B74" t="s">
        <v>448</v>
      </c>
      <c r="C74">
        <v>1</v>
      </c>
    </row>
    <row r="75" spans="2:3">
      <c r="B75" t="s">
        <v>889</v>
      </c>
      <c r="C75">
        <v>1</v>
      </c>
    </row>
    <row r="76" spans="2:3">
      <c r="B76" t="s">
        <v>356</v>
      </c>
      <c r="C76">
        <v>1</v>
      </c>
    </row>
    <row r="77" spans="2:3">
      <c r="B77" t="s">
        <v>671</v>
      </c>
      <c r="C77">
        <v>1</v>
      </c>
    </row>
    <row r="78" spans="2:3">
      <c r="B78" t="s">
        <v>928</v>
      </c>
      <c r="C78">
        <v>1</v>
      </c>
    </row>
    <row r="79" spans="2:3">
      <c r="B79" t="s">
        <v>831</v>
      </c>
      <c r="C79">
        <v>1</v>
      </c>
    </row>
    <row r="80" spans="2:3">
      <c r="B80" t="s">
        <v>665</v>
      </c>
      <c r="C80">
        <v>1</v>
      </c>
    </row>
    <row r="81" spans="1:3">
      <c r="B81" t="s">
        <v>658</v>
      </c>
      <c r="C81">
        <v>1</v>
      </c>
    </row>
    <row r="82" spans="1:3">
      <c r="B82" t="s">
        <v>453</v>
      </c>
      <c r="C82">
        <v>1</v>
      </c>
    </row>
    <row r="83" spans="1:3">
      <c r="B83" t="s">
        <v>768</v>
      </c>
      <c r="C83">
        <v>1</v>
      </c>
    </row>
    <row r="84" spans="1:3">
      <c r="B84" t="s">
        <v>442</v>
      </c>
      <c r="C84">
        <v>1</v>
      </c>
    </row>
    <row r="85" spans="1:3">
      <c r="B85" t="s">
        <v>1150</v>
      </c>
      <c r="C85">
        <v>1</v>
      </c>
    </row>
    <row r="86" spans="1:3">
      <c r="B86" t="s">
        <v>533</v>
      </c>
      <c r="C86">
        <v>1</v>
      </c>
    </row>
    <row r="87" spans="1:3">
      <c r="B87" t="s">
        <v>1317</v>
      </c>
      <c r="C87">
        <v>1</v>
      </c>
    </row>
    <row r="88" spans="1:3">
      <c r="B88" t="s">
        <v>1445</v>
      </c>
      <c r="C88">
        <v>1</v>
      </c>
    </row>
    <row r="89" spans="1:3">
      <c r="A89" t="s">
        <v>4668</v>
      </c>
      <c r="C89">
        <v>95</v>
      </c>
    </row>
    <row r="90" spans="1:3">
      <c r="A90" t="s">
        <v>73</v>
      </c>
      <c r="B90" t="s">
        <v>379</v>
      </c>
      <c r="C90">
        <v>1</v>
      </c>
    </row>
    <row r="91" spans="1:3">
      <c r="A91" t="s">
        <v>4669</v>
      </c>
      <c r="C91">
        <v>1</v>
      </c>
    </row>
    <row r="92" spans="1:3">
      <c r="A92" t="s">
        <v>38</v>
      </c>
      <c r="B92" t="s">
        <v>4665</v>
      </c>
      <c r="C92">
        <v>7</v>
      </c>
    </row>
    <row r="93" spans="1:3">
      <c r="B93" t="s">
        <v>239</v>
      </c>
      <c r="C93">
        <v>3</v>
      </c>
    </row>
    <row r="94" spans="1:3">
      <c r="B94" t="s">
        <v>365</v>
      </c>
      <c r="C94">
        <v>1</v>
      </c>
    </row>
    <row r="95" spans="1:3">
      <c r="B95" t="s">
        <v>685</v>
      </c>
      <c r="C95">
        <v>1</v>
      </c>
    </row>
    <row r="96" spans="1:3">
      <c r="B96" t="s">
        <v>379</v>
      </c>
      <c r="C96">
        <v>1</v>
      </c>
    </row>
    <row r="97" spans="1:3">
      <c r="B97">
        <v>12</v>
      </c>
      <c r="C97">
        <v>1</v>
      </c>
    </row>
    <row r="98" spans="1:3">
      <c r="B98" t="s">
        <v>558</v>
      </c>
      <c r="C98">
        <v>1</v>
      </c>
    </row>
    <row r="99" spans="1:3">
      <c r="B99" t="s">
        <v>414</v>
      </c>
      <c r="C99">
        <v>1</v>
      </c>
    </row>
    <row r="100" spans="1:3">
      <c r="B100">
        <v>10.8</v>
      </c>
      <c r="C100">
        <v>1</v>
      </c>
    </row>
    <row r="101" spans="1:3">
      <c r="B101">
        <v>6.8</v>
      </c>
      <c r="C101">
        <v>1</v>
      </c>
    </row>
    <row r="102" spans="1:3">
      <c r="B102">
        <v>5.1100000000000003</v>
      </c>
      <c r="C102">
        <v>1</v>
      </c>
    </row>
    <row r="103" spans="1:3">
      <c r="B103" t="s">
        <v>546</v>
      </c>
      <c r="C103">
        <v>1</v>
      </c>
    </row>
    <row r="104" spans="1:3">
      <c r="A104" t="s">
        <v>4670</v>
      </c>
      <c r="C104">
        <v>20</v>
      </c>
    </row>
    <row r="105" spans="1:3">
      <c r="A105" t="s">
        <v>96</v>
      </c>
      <c r="B105" t="s">
        <v>414</v>
      </c>
      <c r="C105">
        <v>1</v>
      </c>
    </row>
    <row r="106" spans="1:3">
      <c r="B106" t="s">
        <v>487</v>
      </c>
      <c r="C106">
        <v>1</v>
      </c>
    </row>
    <row r="107" spans="1:3">
      <c r="A107" t="s">
        <v>4671</v>
      </c>
      <c r="C107">
        <v>2</v>
      </c>
    </row>
    <row r="108" spans="1:3">
      <c r="A108" t="s">
        <v>56</v>
      </c>
      <c r="B108" t="s">
        <v>4665</v>
      </c>
      <c r="C108">
        <v>10</v>
      </c>
    </row>
    <row r="109" spans="1:3">
      <c r="B109" t="s">
        <v>306</v>
      </c>
      <c r="C109">
        <v>2</v>
      </c>
    </row>
    <row r="110" spans="1:3">
      <c r="B110" t="s">
        <v>566</v>
      </c>
      <c r="C110">
        <v>2</v>
      </c>
    </row>
    <row r="111" spans="1:3">
      <c r="B111" t="s">
        <v>265</v>
      </c>
      <c r="C111">
        <v>2</v>
      </c>
    </row>
    <row r="112" spans="1:3">
      <c r="B112" t="s">
        <v>319</v>
      </c>
      <c r="C112">
        <v>1</v>
      </c>
    </row>
    <row r="113" spans="2:3">
      <c r="B113" t="s">
        <v>1284</v>
      </c>
      <c r="C113">
        <v>1</v>
      </c>
    </row>
    <row r="114" spans="2:3">
      <c r="B114" t="s">
        <v>331</v>
      </c>
      <c r="C114">
        <v>1</v>
      </c>
    </row>
    <row r="115" spans="2:3">
      <c r="B115" t="s">
        <v>1362</v>
      </c>
      <c r="C115">
        <v>1</v>
      </c>
    </row>
    <row r="116" spans="2:3">
      <c r="B116" t="s">
        <v>1035</v>
      </c>
      <c r="C116">
        <v>1</v>
      </c>
    </row>
    <row r="117" spans="2:3">
      <c r="B117" t="s">
        <v>291</v>
      </c>
      <c r="C117">
        <v>1</v>
      </c>
    </row>
    <row r="118" spans="2:3">
      <c r="B118" t="s">
        <v>514</v>
      </c>
      <c r="C118">
        <v>1</v>
      </c>
    </row>
    <row r="119" spans="2:3">
      <c r="B119" t="s">
        <v>1280</v>
      </c>
      <c r="C119">
        <v>1</v>
      </c>
    </row>
    <row r="120" spans="2:3">
      <c r="B120" t="s">
        <v>1165</v>
      </c>
      <c r="C120">
        <v>1</v>
      </c>
    </row>
    <row r="121" spans="2:3">
      <c r="B121" t="s">
        <v>1258</v>
      </c>
      <c r="C121">
        <v>1</v>
      </c>
    </row>
    <row r="122" spans="2:3">
      <c r="B122" t="s">
        <v>337</v>
      </c>
      <c r="C122">
        <v>1</v>
      </c>
    </row>
    <row r="123" spans="2:3">
      <c r="B123" t="s">
        <v>324</v>
      </c>
      <c r="C123">
        <v>1</v>
      </c>
    </row>
    <row r="124" spans="2:3">
      <c r="B124" t="s">
        <v>1029</v>
      </c>
      <c r="C124">
        <v>1</v>
      </c>
    </row>
    <row r="125" spans="2:3">
      <c r="B125" t="s">
        <v>312</v>
      </c>
      <c r="C125">
        <v>1</v>
      </c>
    </row>
    <row r="126" spans="2:3">
      <c r="B126" t="s">
        <v>986</v>
      </c>
      <c r="C126">
        <v>1</v>
      </c>
    </row>
    <row r="127" spans="2:3">
      <c r="B127" t="s">
        <v>1253</v>
      </c>
      <c r="C127">
        <v>1</v>
      </c>
    </row>
    <row r="128" spans="2:3">
      <c r="B128" t="s">
        <v>379</v>
      </c>
      <c r="C128">
        <v>1</v>
      </c>
    </row>
    <row r="129" spans="1:3">
      <c r="B129" t="s">
        <v>1275</v>
      </c>
      <c r="C129">
        <v>1</v>
      </c>
    </row>
    <row r="130" spans="1:3">
      <c r="B130" t="s">
        <v>978</v>
      </c>
      <c r="C130">
        <v>1</v>
      </c>
    </row>
    <row r="131" spans="1:3">
      <c r="B131" t="s">
        <v>1269</v>
      </c>
      <c r="C131">
        <v>1</v>
      </c>
    </row>
    <row r="132" spans="1:3">
      <c r="A132" t="s">
        <v>4672</v>
      </c>
      <c r="C132">
        <v>36</v>
      </c>
    </row>
    <row r="133" spans="1:3">
      <c r="A133" t="s">
        <v>260</v>
      </c>
      <c r="B133" t="s">
        <v>4665</v>
      </c>
      <c r="C133">
        <v>6</v>
      </c>
    </row>
    <row r="134" spans="1:3">
      <c r="B134" t="s">
        <v>265</v>
      </c>
      <c r="C134">
        <v>1</v>
      </c>
    </row>
    <row r="135" spans="1:3">
      <c r="B135" t="s">
        <v>279</v>
      </c>
      <c r="C135">
        <v>1</v>
      </c>
    </row>
    <row r="136" spans="1:3">
      <c r="A136" t="s">
        <v>4673</v>
      </c>
      <c r="C136">
        <v>8</v>
      </c>
    </row>
    <row r="137" spans="1:3">
      <c r="A137" t="s">
        <v>84</v>
      </c>
      <c r="B137" t="s">
        <v>1219</v>
      </c>
      <c r="C137">
        <v>1</v>
      </c>
    </row>
    <row r="138" spans="1:3">
      <c r="B138" t="s">
        <v>1230</v>
      </c>
      <c r="C138">
        <v>1</v>
      </c>
    </row>
    <row r="139" spans="1:3">
      <c r="B139" t="s">
        <v>1045</v>
      </c>
      <c r="C139">
        <v>1</v>
      </c>
    </row>
    <row r="140" spans="1:3">
      <c r="B140" t="s">
        <v>506</v>
      </c>
      <c r="C140">
        <v>1</v>
      </c>
    </row>
    <row r="141" spans="1:3">
      <c r="B141" t="s">
        <v>499</v>
      </c>
      <c r="C141">
        <v>1</v>
      </c>
    </row>
    <row r="142" spans="1:3">
      <c r="B142" t="s">
        <v>1215</v>
      </c>
      <c r="C142">
        <v>1</v>
      </c>
    </row>
    <row r="143" spans="1:3">
      <c r="A143" t="s">
        <v>4674</v>
      </c>
      <c r="C143">
        <v>6</v>
      </c>
    </row>
    <row r="144" spans="1:3">
      <c r="A144" t="s">
        <v>108</v>
      </c>
      <c r="B144" t="s">
        <v>279</v>
      </c>
      <c r="C144">
        <v>3</v>
      </c>
    </row>
    <row r="145" spans="1:3">
      <c r="B145" t="s">
        <v>947</v>
      </c>
      <c r="C145">
        <v>2</v>
      </c>
    </row>
    <row r="146" spans="1:3">
      <c r="B146" t="s">
        <v>371</v>
      </c>
      <c r="C146">
        <v>1</v>
      </c>
    </row>
    <row r="147" spans="1:3">
      <c r="B147" t="s">
        <v>1445</v>
      </c>
      <c r="C147">
        <v>1</v>
      </c>
    </row>
    <row r="148" spans="1:3">
      <c r="B148" t="s">
        <v>1400</v>
      </c>
      <c r="C148">
        <v>1</v>
      </c>
    </row>
    <row r="149" spans="1:3">
      <c r="B149" t="s">
        <v>708</v>
      </c>
      <c r="C149">
        <v>1</v>
      </c>
    </row>
    <row r="150" spans="1:3">
      <c r="B150" t="s">
        <v>395</v>
      </c>
      <c r="C150">
        <v>1</v>
      </c>
    </row>
    <row r="151" spans="1:3">
      <c r="B151" t="s">
        <v>1181</v>
      </c>
      <c r="C151">
        <v>1</v>
      </c>
    </row>
    <row r="152" spans="1:3">
      <c r="B152" t="s">
        <v>1395</v>
      </c>
      <c r="C152">
        <v>1</v>
      </c>
    </row>
    <row r="153" spans="1:3">
      <c r="B153" t="s">
        <v>390</v>
      </c>
      <c r="C153">
        <v>1</v>
      </c>
    </row>
    <row r="154" spans="1:3">
      <c r="B154" t="s">
        <v>487</v>
      </c>
      <c r="C154">
        <v>1</v>
      </c>
    </row>
    <row r="155" spans="1:3">
      <c r="B155" t="s">
        <v>923</v>
      </c>
      <c r="C155">
        <v>1</v>
      </c>
    </row>
    <row r="156" spans="1:3">
      <c r="B156" t="s">
        <v>1001</v>
      </c>
      <c r="C156">
        <v>1</v>
      </c>
    </row>
    <row r="157" spans="1:3">
      <c r="A157" t="s">
        <v>4675</v>
      </c>
      <c r="C157">
        <v>16</v>
      </c>
    </row>
    <row r="158" spans="1:3">
      <c r="A158" t="s">
        <v>80</v>
      </c>
      <c r="B158" t="s">
        <v>573</v>
      </c>
      <c r="C158">
        <v>9</v>
      </c>
    </row>
    <row r="159" spans="1:3">
      <c r="B159" t="s">
        <v>4665</v>
      </c>
      <c r="C159">
        <v>6</v>
      </c>
    </row>
    <row r="160" spans="1:3">
      <c r="B160" t="s">
        <v>566</v>
      </c>
      <c r="C160">
        <v>1</v>
      </c>
    </row>
    <row r="161" spans="1:3">
      <c r="A161" t="s">
        <v>4676</v>
      </c>
      <c r="C161">
        <v>16</v>
      </c>
    </row>
    <row r="162" spans="1:3">
      <c r="A162" t="s">
        <v>45</v>
      </c>
      <c r="B162" t="s">
        <v>343</v>
      </c>
      <c r="C162">
        <v>3</v>
      </c>
    </row>
    <row r="163" spans="1:3">
      <c r="B163" t="s">
        <v>487</v>
      </c>
      <c r="C163">
        <v>2</v>
      </c>
    </row>
    <row r="164" spans="1:3">
      <c r="B164" t="s">
        <v>708</v>
      </c>
      <c r="C164">
        <v>2</v>
      </c>
    </row>
    <row r="165" spans="1:3">
      <c r="B165" t="s">
        <v>627</v>
      </c>
      <c r="C165">
        <v>2</v>
      </c>
    </row>
    <row r="166" spans="1:3">
      <c r="B166" t="s">
        <v>956</v>
      </c>
      <c r="C166">
        <v>1</v>
      </c>
    </row>
    <row r="167" spans="1:3">
      <c r="B167" t="s">
        <v>390</v>
      </c>
      <c r="C167">
        <v>1</v>
      </c>
    </row>
    <row r="168" spans="1:3">
      <c r="B168" t="s">
        <v>379</v>
      </c>
      <c r="C168">
        <v>1</v>
      </c>
    </row>
    <row r="169" spans="1:3">
      <c r="B169" t="s">
        <v>702</v>
      </c>
      <c r="C169">
        <v>1</v>
      </c>
    </row>
    <row r="170" spans="1:3">
      <c r="B170" t="s">
        <v>478</v>
      </c>
      <c r="C170">
        <v>1</v>
      </c>
    </row>
    <row r="171" spans="1:3">
      <c r="B171" t="s">
        <v>1425</v>
      </c>
      <c r="C171">
        <v>1</v>
      </c>
    </row>
    <row r="172" spans="1:3">
      <c r="B172" t="s">
        <v>395</v>
      </c>
      <c r="C172">
        <v>1</v>
      </c>
    </row>
    <row r="173" spans="1:3">
      <c r="B173" t="s">
        <v>696</v>
      </c>
      <c r="C173">
        <v>1</v>
      </c>
    </row>
    <row r="174" spans="1:3">
      <c r="B174" t="s">
        <v>685</v>
      </c>
      <c r="C174">
        <v>1</v>
      </c>
    </row>
    <row r="175" spans="1:3">
      <c r="B175" t="s">
        <v>365</v>
      </c>
      <c r="C175">
        <v>1</v>
      </c>
    </row>
    <row r="176" spans="1:3">
      <c r="B176" t="s">
        <v>598</v>
      </c>
      <c r="C176">
        <v>1</v>
      </c>
    </row>
    <row r="177" spans="1:3">
      <c r="B177" t="s">
        <v>483</v>
      </c>
      <c r="C177">
        <v>1</v>
      </c>
    </row>
    <row r="178" spans="1:3">
      <c r="B178" t="s">
        <v>279</v>
      </c>
      <c r="C178">
        <v>1</v>
      </c>
    </row>
    <row r="179" spans="1:3">
      <c r="B179" t="s">
        <v>1123</v>
      </c>
      <c r="C179">
        <v>1</v>
      </c>
    </row>
    <row r="180" spans="1:3">
      <c r="A180" t="s">
        <v>4677</v>
      </c>
      <c r="C180">
        <v>23</v>
      </c>
    </row>
    <row r="181" spans="1:3">
      <c r="A181" t="s">
        <v>4678</v>
      </c>
      <c r="C181">
        <v>319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A503D-93A6-A147-852C-77718AE3C809}">
  <dimension ref="A2:B28"/>
  <sheetViews>
    <sheetView topLeftCell="A16" workbookViewId="0"/>
  </sheetViews>
  <sheetFormatPr defaultRowHeight="14.45"/>
  <cols>
    <col min="1" max="1" width="34.85546875" bestFit="1" customWidth="1"/>
    <col min="2" max="2" width="14.5703125" bestFit="1" customWidth="1"/>
  </cols>
  <sheetData>
    <row r="2" spans="1:2">
      <c r="A2" s="72" t="s">
        <v>8</v>
      </c>
      <c r="B2" t="s">
        <v>4679</v>
      </c>
    </row>
    <row r="3" spans="1:2">
      <c r="A3" t="s">
        <v>36</v>
      </c>
      <c r="B3">
        <v>55</v>
      </c>
    </row>
    <row r="4" spans="1:2">
      <c r="A4" t="s">
        <v>58</v>
      </c>
      <c r="B4">
        <v>31</v>
      </c>
    </row>
    <row r="5" spans="1:2">
      <c r="A5" t="s">
        <v>65</v>
      </c>
      <c r="B5">
        <v>25</v>
      </c>
    </row>
    <row r="6" spans="1:2">
      <c r="A6" t="s">
        <v>71</v>
      </c>
      <c r="B6">
        <v>21</v>
      </c>
    </row>
    <row r="7" spans="1:2">
      <c r="A7" t="s">
        <v>94</v>
      </c>
      <c r="B7">
        <v>20</v>
      </c>
    </row>
    <row r="8" spans="1:2">
      <c r="A8" t="s">
        <v>34</v>
      </c>
      <c r="B8">
        <v>20</v>
      </c>
    </row>
    <row r="9" spans="1:2">
      <c r="A9" t="s">
        <v>39</v>
      </c>
      <c r="B9">
        <v>18</v>
      </c>
    </row>
    <row r="10" spans="1:2">
      <c r="A10" t="s">
        <v>63</v>
      </c>
      <c r="B10">
        <v>17</v>
      </c>
    </row>
    <row r="11" spans="1:2">
      <c r="A11" t="s">
        <v>91</v>
      </c>
      <c r="B11">
        <v>16</v>
      </c>
    </row>
    <row r="12" spans="1:2">
      <c r="A12" t="s">
        <v>109</v>
      </c>
      <c r="B12">
        <v>14</v>
      </c>
    </row>
    <row r="13" spans="1:2">
      <c r="A13" t="s">
        <v>32</v>
      </c>
      <c r="B13">
        <v>13</v>
      </c>
    </row>
    <row r="14" spans="1:2">
      <c r="A14" t="s">
        <v>85</v>
      </c>
      <c r="B14">
        <v>12</v>
      </c>
    </row>
    <row r="15" spans="1:2">
      <c r="A15" t="s">
        <v>69</v>
      </c>
      <c r="B15">
        <v>8</v>
      </c>
    </row>
    <row r="16" spans="1:2">
      <c r="A16" t="s">
        <v>46</v>
      </c>
      <c r="B16">
        <v>5</v>
      </c>
    </row>
    <row r="17" spans="1:2">
      <c r="A17" t="s">
        <v>106</v>
      </c>
      <c r="B17">
        <v>4</v>
      </c>
    </row>
    <row r="18" spans="1:2">
      <c r="A18" t="s">
        <v>60</v>
      </c>
      <c r="B18">
        <v>4</v>
      </c>
    </row>
    <row r="19" spans="1:2">
      <c r="A19" t="s">
        <v>41</v>
      </c>
      <c r="B19">
        <v>2</v>
      </c>
    </row>
    <row r="20" spans="1:2">
      <c r="A20" t="s">
        <v>88</v>
      </c>
      <c r="B20">
        <v>2</v>
      </c>
    </row>
    <row r="21" spans="1:2">
      <c r="A21" t="s">
        <v>97</v>
      </c>
      <c r="B21">
        <v>2</v>
      </c>
    </row>
    <row r="22" spans="1:2">
      <c r="A22" t="s">
        <v>111</v>
      </c>
      <c r="B22">
        <v>2</v>
      </c>
    </row>
    <row r="23" spans="1:2">
      <c r="A23" t="s">
        <v>74</v>
      </c>
      <c r="B23">
        <v>1</v>
      </c>
    </row>
    <row r="24" spans="1:2">
      <c r="A24" t="s">
        <v>511</v>
      </c>
      <c r="B24">
        <v>1</v>
      </c>
    </row>
    <row r="25" spans="1:2">
      <c r="A25" t="s">
        <v>50</v>
      </c>
      <c r="B25">
        <v>1</v>
      </c>
    </row>
    <row r="26" spans="1:2">
      <c r="A26" t="s">
        <v>606</v>
      </c>
      <c r="B26">
        <v>1</v>
      </c>
    </row>
    <row r="28" spans="1:2">
      <c r="A28" t="s">
        <v>4678</v>
      </c>
      <c r="B28">
        <v>295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BCC9E-5952-EC43-B900-4984DEC285BE}">
  <dimension ref="A2:B15"/>
  <sheetViews>
    <sheetView workbookViewId="0"/>
  </sheetViews>
  <sheetFormatPr defaultRowHeight="14.45"/>
  <cols>
    <col min="1" max="1" width="16.7109375" bestFit="1" customWidth="1"/>
    <col min="2" max="2" width="14.5703125" bestFit="1" customWidth="1"/>
  </cols>
  <sheetData>
    <row r="2" spans="1:2">
      <c r="A2" s="72" t="s">
        <v>6</v>
      </c>
      <c r="B2" t="s">
        <v>4679</v>
      </c>
    </row>
    <row r="3" spans="1:2">
      <c r="A3" t="s">
        <v>26</v>
      </c>
      <c r="B3">
        <v>95</v>
      </c>
    </row>
    <row r="4" spans="1:2">
      <c r="A4" t="s">
        <v>62</v>
      </c>
      <c r="B4">
        <v>72</v>
      </c>
    </row>
    <row r="5" spans="1:2">
      <c r="A5" t="s">
        <v>56</v>
      </c>
      <c r="B5">
        <v>36</v>
      </c>
    </row>
    <row r="6" spans="1:2">
      <c r="A6" t="s">
        <v>45</v>
      </c>
      <c r="B6">
        <v>23</v>
      </c>
    </row>
    <row r="7" spans="1:2">
      <c r="A7" t="s">
        <v>38</v>
      </c>
      <c r="B7">
        <v>20</v>
      </c>
    </row>
    <row r="8" spans="1:2">
      <c r="A8" t="s">
        <v>108</v>
      </c>
      <c r="B8">
        <v>16</v>
      </c>
    </row>
    <row r="9" spans="1:2">
      <c r="A9" t="s">
        <v>80</v>
      </c>
      <c r="B9">
        <v>16</v>
      </c>
    </row>
    <row r="10" spans="1:2">
      <c r="A10" t="s">
        <v>260</v>
      </c>
      <c r="B10">
        <v>8</v>
      </c>
    </row>
    <row r="11" spans="1:2">
      <c r="A11" t="s">
        <v>84</v>
      </c>
      <c r="B11">
        <v>6</v>
      </c>
    </row>
    <row r="12" spans="1:2">
      <c r="A12" t="s">
        <v>96</v>
      </c>
      <c r="B12">
        <v>2</v>
      </c>
    </row>
    <row r="13" spans="1:2">
      <c r="A13" t="s">
        <v>73</v>
      </c>
      <c r="B13">
        <v>1</v>
      </c>
    </row>
    <row r="15" spans="1:2">
      <c r="A15" t="s">
        <v>4678</v>
      </c>
      <c r="B15">
        <v>295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5AD2E-7CBD-4F78-BC5C-217E1DD026CF}">
  <dimension ref="A1"/>
  <sheetViews>
    <sheetView topLeftCell="A7" workbookViewId="0">
      <selection activeCell="P24" sqref="P24"/>
    </sheetView>
  </sheetViews>
  <sheetFormatPr defaultRowHeight="14.4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Technology Development</cp:lastModifiedBy>
  <cp:revision/>
  <dcterms:created xsi:type="dcterms:W3CDTF">2026-01-04T13:42:51Z</dcterms:created>
  <dcterms:modified xsi:type="dcterms:W3CDTF">2026-04-27T04:07:14Z</dcterms:modified>
  <cp:category/>
  <cp:contentStatus/>
</cp:coreProperties>
</file>